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guile1\Desktop\app_rene\python_scripts\"/>
    </mc:Choice>
  </mc:AlternateContent>
  <bookViews>
    <workbookView xWindow="0" yWindow="465" windowWidth="4785" windowHeight="1320" tabRatio="596" firstSheet="1" activeTab="1"/>
  </bookViews>
  <sheets>
    <sheet name="Base2" sheetId="6" state="hidden" r:id="rId1"/>
    <sheet name="Simulador" sheetId="7" r:id="rId2"/>
    <sheet name="Base" sheetId="9" r:id="rId3"/>
    <sheet name="Hoja1" sheetId="8" state="hidden" r:id="rId4"/>
    <sheet name="Tasas" sheetId="5" state="hidden" r:id="rId5"/>
  </sheets>
  <definedNames>
    <definedName name="_xlnm._FilterDatabase" localSheetId="2" hidden="1">Base!$A$1:$Z$5815</definedName>
    <definedName name="_xlnm._FilterDatabase" localSheetId="0" hidden="1">Base2!$A$1:$AJ$16350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5" i="7" l="1"/>
  <c r="D10" i="7" l="1"/>
  <c r="D9" i="7"/>
  <c r="D8" i="7"/>
  <c r="D7" i="7"/>
  <c r="D6" i="7"/>
  <c r="D5" i="7"/>
  <c r="D4" i="7"/>
  <c r="D3" i="7"/>
  <c r="D36" i="7" l="1"/>
  <c r="F11376" i="6" l="1"/>
  <c r="G11376" i="6"/>
  <c r="H11376" i="6" s="1"/>
  <c r="I11376" i="6"/>
  <c r="J11376" i="6"/>
  <c r="F11377" i="6"/>
  <c r="G11377" i="6"/>
  <c r="H11377" i="6" s="1"/>
  <c r="I11377" i="6"/>
  <c r="J11377" i="6"/>
  <c r="F11378" i="6"/>
  <c r="G11378" i="6"/>
  <c r="H11378" i="6" s="1"/>
  <c r="I11378" i="6"/>
  <c r="J11378" i="6"/>
  <c r="F11379" i="6"/>
  <c r="G11379" i="6"/>
  <c r="H11379" i="6" s="1"/>
  <c r="I11379" i="6"/>
  <c r="J11379" i="6"/>
  <c r="F11380" i="6"/>
  <c r="G11380" i="6"/>
  <c r="H11380" i="6" s="1"/>
  <c r="I11380" i="6"/>
  <c r="J11380" i="6"/>
  <c r="F11381" i="6"/>
  <c r="G11381" i="6"/>
  <c r="H11381" i="6" s="1"/>
  <c r="I11381" i="6"/>
  <c r="J11381" i="6"/>
  <c r="F11382" i="6"/>
  <c r="G11382" i="6"/>
  <c r="H11382" i="6" s="1"/>
  <c r="I11382" i="6"/>
  <c r="J11382" i="6"/>
  <c r="F11383" i="6"/>
  <c r="G11383" i="6"/>
  <c r="H11383" i="6" s="1"/>
  <c r="I11383" i="6"/>
  <c r="J11383" i="6"/>
  <c r="F11384" i="6"/>
  <c r="G11384" i="6"/>
  <c r="H11384" i="6" s="1"/>
  <c r="I11384" i="6"/>
  <c r="J11384" i="6"/>
  <c r="F11385" i="6"/>
  <c r="G11385" i="6"/>
  <c r="H11385" i="6" s="1"/>
  <c r="I11385" i="6"/>
  <c r="J11385" i="6"/>
  <c r="F11386" i="6"/>
  <c r="G11386" i="6"/>
  <c r="H11386" i="6" s="1"/>
  <c r="I11386" i="6"/>
  <c r="J11386" i="6"/>
  <c r="F11387" i="6"/>
  <c r="G11387" i="6"/>
  <c r="H11387" i="6" s="1"/>
  <c r="I11387" i="6"/>
  <c r="J11387" i="6"/>
  <c r="F11388" i="6"/>
  <c r="G11388" i="6"/>
  <c r="H11388" i="6" s="1"/>
  <c r="I11388" i="6"/>
  <c r="J11388" i="6"/>
  <c r="F11389" i="6"/>
  <c r="G11389" i="6"/>
  <c r="H11389" i="6" s="1"/>
  <c r="I11389" i="6"/>
  <c r="J11389" i="6"/>
  <c r="F11390" i="6"/>
  <c r="G11390" i="6"/>
  <c r="H11390" i="6" s="1"/>
  <c r="I11390" i="6"/>
  <c r="J11390" i="6"/>
  <c r="F11391" i="6"/>
  <c r="G11391" i="6"/>
  <c r="H11391" i="6" s="1"/>
  <c r="I11391" i="6"/>
  <c r="J11391" i="6"/>
  <c r="F11392" i="6"/>
  <c r="G11392" i="6"/>
  <c r="H11392" i="6" s="1"/>
  <c r="I11392" i="6"/>
  <c r="J11392" i="6"/>
  <c r="F11393" i="6"/>
  <c r="G11393" i="6"/>
  <c r="H11393" i="6" s="1"/>
  <c r="I11393" i="6"/>
  <c r="J11393" i="6"/>
  <c r="F11394" i="6"/>
  <c r="G11394" i="6"/>
  <c r="H11394" i="6" s="1"/>
  <c r="I11394" i="6"/>
  <c r="J11394" i="6"/>
  <c r="F11395" i="6"/>
  <c r="G11395" i="6"/>
  <c r="H11395" i="6" s="1"/>
  <c r="I11395" i="6"/>
  <c r="J11395" i="6"/>
  <c r="F11396" i="6"/>
  <c r="G11396" i="6"/>
  <c r="H11396" i="6" s="1"/>
  <c r="I11396" i="6"/>
  <c r="J11396" i="6"/>
  <c r="F11397" i="6"/>
  <c r="G11397" i="6"/>
  <c r="H11397" i="6" s="1"/>
  <c r="I11397" i="6"/>
  <c r="J11397" i="6"/>
  <c r="F11398" i="6"/>
  <c r="G11398" i="6"/>
  <c r="H11398" i="6" s="1"/>
  <c r="I11398" i="6"/>
  <c r="J11398" i="6"/>
  <c r="F11399" i="6"/>
  <c r="G11399" i="6"/>
  <c r="H11399" i="6" s="1"/>
  <c r="I11399" i="6"/>
  <c r="J11399" i="6"/>
  <c r="F11400" i="6"/>
  <c r="G11400" i="6"/>
  <c r="H11400" i="6" s="1"/>
  <c r="I11400" i="6"/>
  <c r="J11400" i="6"/>
  <c r="F11401" i="6"/>
  <c r="G11401" i="6"/>
  <c r="H11401" i="6" s="1"/>
  <c r="I11401" i="6"/>
  <c r="J11401" i="6"/>
  <c r="F11402" i="6"/>
  <c r="G11402" i="6"/>
  <c r="H11402" i="6" s="1"/>
  <c r="I11402" i="6"/>
  <c r="J11402" i="6"/>
  <c r="F11403" i="6"/>
  <c r="G11403" i="6"/>
  <c r="H11403" i="6" s="1"/>
  <c r="I11403" i="6"/>
  <c r="J11403" i="6"/>
  <c r="F11404" i="6"/>
  <c r="G11404" i="6"/>
  <c r="H11404" i="6" s="1"/>
  <c r="I11404" i="6"/>
  <c r="J11404" i="6"/>
  <c r="F11405" i="6"/>
  <c r="G11405" i="6"/>
  <c r="H11405" i="6" s="1"/>
  <c r="I11405" i="6"/>
  <c r="J11405" i="6"/>
  <c r="F11406" i="6"/>
  <c r="G11406" i="6"/>
  <c r="H11406" i="6" s="1"/>
  <c r="I11406" i="6"/>
  <c r="J11406" i="6"/>
  <c r="F11407" i="6"/>
  <c r="G11407" i="6"/>
  <c r="H11407" i="6" s="1"/>
  <c r="I11407" i="6"/>
  <c r="J11407" i="6"/>
  <c r="F11408" i="6"/>
  <c r="G11408" i="6"/>
  <c r="H11408" i="6" s="1"/>
  <c r="I11408" i="6"/>
  <c r="J11408" i="6"/>
  <c r="F11409" i="6"/>
  <c r="G11409" i="6"/>
  <c r="H11409" i="6" s="1"/>
  <c r="I11409" i="6"/>
  <c r="J11409" i="6"/>
  <c r="F11410" i="6"/>
  <c r="G11410" i="6"/>
  <c r="H11410" i="6" s="1"/>
  <c r="I11410" i="6"/>
  <c r="J11410" i="6"/>
  <c r="F11411" i="6"/>
  <c r="G11411" i="6"/>
  <c r="H11411" i="6" s="1"/>
  <c r="I11411" i="6"/>
  <c r="J11411" i="6"/>
  <c r="F11412" i="6"/>
  <c r="G11412" i="6"/>
  <c r="H11412" i="6" s="1"/>
  <c r="I11412" i="6"/>
  <c r="J11412" i="6"/>
  <c r="F11413" i="6"/>
  <c r="G11413" i="6"/>
  <c r="H11413" i="6" s="1"/>
  <c r="I11413" i="6"/>
  <c r="J11413" i="6"/>
  <c r="F11414" i="6"/>
  <c r="G11414" i="6"/>
  <c r="H11414" i="6" s="1"/>
  <c r="I11414" i="6"/>
  <c r="J11414" i="6"/>
  <c r="F11415" i="6"/>
  <c r="G11415" i="6"/>
  <c r="H11415" i="6" s="1"/>
  <c r="I11415" i="6"/>
  <c r="J11415" i="6"/>
  <c r="F11416" i="6"/>
  <c r="G11416" i="6"/>
  <c r="H11416" i="6" s="1"/>
  <c r="I11416" i="6"/>
  <c r="J11416" i="6"/>
  <c r="F11417" i="6"/>
  <c r="G11417" i="6"/>
  <c r="H11417" i="6" s="1"/>
  <c r="I11417" i="6"/>
  <c r="J11417" i="6"/>
  <c r="F11418" i="6"/>
  <c r="G11418" i="6"/>
  <c r="H11418" i="6" s="1"/>
  <c r="I11418" i="6"/>
  <c r="J11418" i="6"/>
  <c r="F11419" i="6"/>
  <c r="G11419" i="6"/>
  <c r="H11419" i="6" s="1"/>
  <c r="I11419" i="6"/>
  <c r="J11419" i="6"/>
  <c r="F11420" i="6"/>
  <c r="G11420" i="6"/>
  <c r="H11420" i="6" s="1"/>
  <c r="I11420" i="6"/>
  <c r="J11420" i="6"/>
  <c r="F11421" i="6"/>
  <c r="G11421" i="6"/>
  <c r="H11421" i="6" s="1"/>
  <c r="I11421" i="6"/>
  <c r="J11421" i="6"/>
  <c r="F11422" i="6"/>
  <c r="G11422" i="6"/>
  <c r="H11422" i="6" s="1"/>
  <c r="I11422" i="6"/>
  <c r="J11422" i="6"/>
  <c r="F11423" i="6"/>
  <c r="G11423" i="6"/>
  <c r="H11423" i="6" s="1"/>
  <c r="I11423" i="6"/>
  <c r="J11423" i="6"/>
  <c r="F11424" i="6"/>
  <c r="G11424" i="6"/>
  <c r="H11424" i="6" s="1"/>
  <c r="I11424" i="6"/>
  <c r="J11424" i="6"/>
  <c r="F11425" i="6"/>
  <c r="G11425" i="6"/>
  <c r="H11425" i="6" s="1"/>
  <c r="I11425" i="6"/>
  <c r="J11425" i="6"/>
  <c r="F11426" i="6"/>
  <c r="G11426" i="6"/>
  <c r="H11426" i="6" s="1"/>
  <c r="I11426" i="6"/>
  <c r="J11426" i="6"/>
  <c r="F11427" i="6"/>
  <c r="G11427" i="6"/>
  <c r="H11427" i="6" s="1"/>
  <c r="I11427" i="6"/>
  <c r="J11427" i="6"/>
  <c r="F11428" i="6"/>
  <c r="G11428" i="6"/>
  <c r="H11428" i="6" s="1"/>
  <c r="I11428" i="6"/>
  <c r="J11428" i="6"/>
  <c r="F11429" i="6"/>
  <c r="G11429" i="6"/>
  <c r="H11429" i="6" s="1"/>
  <c r="I11429" i="6"/>
  <c r="J11429" i="6"/>
  <c r="F11430" i="6"/>
  <c r="G11430" i="6"/>
  <c r="H11430" i="6" s="1"/>
  <c r="I11430" i="6"/>
  <c r="J11430" i="6"/>
  <c r="F11431" i="6"/>
  <c r="G11431" i="6"/>
  <c r="H11431" i="6" s="1"/>
  <c r="I11431" i="6"/>
  <c r="J11431" i="6"/>
  <c r="F11432" i="6"/>
  <c r="G11432" i="6"/>
  <c r="H11432" i="6" s="1"/>
  <c r="I11432" i="6"/>
  <c r="J11432" i="6"/>
  <c r="F11433" i="6"/>
  <c r="G11433" i="6"/>
  <c r="H11433" i="6" s="1"/>
  <c r="I11433" i="6"/>
  <c r="J11433" i="6"/>
  <c r="F11434" i="6"/>
  <c r="G11434" i="6"/>
  <c r="H11434" i="6" s="1"/>
  <c r="I11434" i="6"/>
  <c r="J11434" i="6"/>
  <c r="F11435" i="6"/>
  <c r="G11435" i="6"/>
  <c r="H11435" i="6" s="1"/>
  <c r="I11435" i="6"/>
  <c r="J11435" i="6"/>
  <c r="F11436" i="6"/>
  <c r="G11436" i="6"/>
  <c r="H11436" i="6" s="1"/>
  <c r="I11436" i="6"/>
  <c r="J11436" i="6"/>
  <c r="F11437" i="6"/>
  <c r="G11437" i="6"/>
  <c r="H11437" i="6" s="1"/>
  <c r="I11437" i="6"/>
  <c r="J11437" i="6"/>
  <c r="F11438" i="6"/>
  <c r="G11438" i="6"/>
  <c r="H11438" i="6" s="1"/>
  <c r="I11438" i="6"/>
  <c r="J11438" i="6"/>
  <c r="F11439" i="6"/>
  <c r="G11439" i="6"/>
  <c r="H11439" i="6" s="1"/>
  <c r="I11439" i="6"/>
  <c r="J11439" i="6"/>
  <c r="F11440" i="6"/>
  <c r="G11440" i="6"/>
  <c r="H11440" i="6" s="1"/>
  <c r="I11440" i="6"/>
  <c r="J11440" i="6"/>
  <c r="F11441" i="6"/>
  <c r="G11441" i="6"/>
  <c r="H11441" i="6" s="1"/>
  <c r="I11441" i="6"/>
  <c r="J11441" i="6"/>
  <c r="F11442" i="6"/>
  <c r="G11442" i="6"/>
  <c r="H11442" i="6" s="1"/>
  <c r="I11442" i="6"/>
  <c r="J11442" i="6"/>
  <c r="F11443" i="6"/>
  <c r="G11443" i="6"/>
  <c r="H11443" i="6" s="1"/>
  <c r="I11443" i="6"/>
  <c r="J11443" i="6"/>
  <c r="F11444" i="6"/>
  <c r="G11444" i="6"/>
  <c r="H11444" i="6" s="1"/>
  <c r="I11444" i="6"/>
  <c r="J11444" i="6"/>
  <c r="F11445" i="6"/>
  <c r="G11445" i="6"/>
  <c r="H11445" i="6" s="1"/>
  <c r="I11445" i="6"/>
  <c r="J11445" i="6"/>
  <c r="F11446" i="6"/>
  <c r="G11446" i="6"/>
  <c r="H11446" i="6" s="1"/>
  <c r="I11446" i="6"/>
  <c r="J11446" i="6"/>
  <c r="F11447" i="6"/>
  <c r="G11447" i="6"/>
  <c r="H11447" i="6" s="1"/>
  <c r="I11447" i="6"/>
  <c r="J11447" i="6"/>
  <c r="F11448" i="6"/>
  <c r="G11448" i="6"/>
  <c r="H11448" i="6" s="1"/>
  <c r="I11448" i="6"/>
  <c r="J11448" i="6"/>
  <c r="F11449" i="6"/>
  <c r="G11449" i="6"/>
  <c r="H11449" i="6" s="1"/>
  <c r="I11449" i="6"/>
  <c r="J11449" i="6"/>
  <c r="F11450" i="6"/>
  <c r="G11450" i="6"/>
  <c r="H11450" i="6" s="1"/>
  <c r="I11450" i="6"/>
  <c r="J11450" i="6"/>
  <c r="F11451" i="6"/>
  <c r="G11451" i="6"/>
  <c r="H11451" i="6" s="1"/>
  <c r="I11451" i="6"/>
  <c r="J11451" i="6"/>
  <c r="F11452" i="6"/>
  <c r="G11452" i="6"/>
  <c r="H11452" i="6" s="1"/>
  <c r="I11452" i="6"/>
  <c r="J11452" i="6"/>
  <c r="F11453" i="6"/>
  <c r="G11453" i="6"/>
  <c r="H11453" i="6" s="1"/>
  <c r="I11453" i="6"/>
  <c r="J11453" i="6"/>
  <c r="F11454" i="6"/>
  <c r="G11454" i="6"/>
  <c r="H11454" i="6" s="1"/>
  <c r="I11454" i="6"/>
  <c r="J11454" i="6"/>
  <c r="F11455" i="6"/>
  <c r="G11455" i="6"/>
  <c r="H11455" i="6" s="1"/>
  <c r="I11455" i="6"/>
  <c r="J11455" i="6"/>
  <c r="F11456" i="6"/>
  <c r="G11456" i="6"/>
  <c r="H11456" i="6" s="1"/>
  <c r="I11456" i="6"/>
  <c r="J11456" i="6"/>
  <c r="F11457" i="6"/>
  <c r="G11457" i="6"/>
  <c r="H11457" i="6" s="1"/>
  <c r="I11457" i="6"/>
  <c r="J11457" i="6"/>
  <c r="F11458" i="6"/>
  <c r="G11458" i="6"/>
  <c r="H11458" i="6" s="1"/>
  <c r="I11458" i="6"/>
  <c r="J11458" i="6"/>
  <c r="F11459" i="6"/>
  <c r="G11459" i="6"/>
  <c r="H11459" i="6" s="1"/>
  <c r="I11459" i="6"/>
  <c r="J11459" i="6"/>
  <c r="F11460" i="6"/>
  <c r="G11460" i="6"/>
  <c r="H11460" i="6" s="1"/>
  <c r="I11460" i="6"/>
  <c r="J11460" i="6"/>
  <c r="F11461" i="6"/>
  <c r="G11461" i="6"/>
  <c r="H11461" i="6" s="1"/>
  <c r="I11461" i="6"/>
  <c r="J11461" i="6"/>
  <c r="F11462" i="6"/>
  <c r="G11462" i="6"/>
  <c r="H11462" i="6" s="1"/>
  <c r="I11462" i="6"/>
  <c r="J11462" i="6"/>
  <c r="F11463" i="6"/>
  <c r="G11463" i="6"/>
  <c r="H11463" i="6" s="1"/>
  <c r="I11463" i="6"/>
  <c r="J11463" i="6"/>
  <c r="F11464" i="6"/>
  <c r="G11464" i="6"/>
  <c r="H11464" i="6" s="1"/>
  <c r="I11464" i="6"/>
  <c r="J11464" i="6"/>
  <c r="F11465" i="6"/>
  <c r="G11465" i="6"/>
  <c r="H11465" i="6" s="1"/>
  <c r="I11465" i="6"/>
  <c r="J11465" i="6"/>
  <c r="F11466" i="6"/>
  <c r="G11466" i="6"/>
  <c r="H11466" i="6" s="1"/>
  <c r="I11466" i="6"/>
  <c r="J11466" i="6"/>
  <c r="F11467" i="6"/>
  <c r="G11467" i="6"/>
  <c r="H11467" i="6" s="1"/>
  <c r="I11467" i="6"/>
  <c r="J11467" i="6"/>
  <c r="F11468" i="6"/>
  <c r="G11468" i="6"/>
  <c r="H11468" i="6" s="1"/>
  <c r="I11468" i="6"/>
  <c r="J11468" i="6"/>
  <c r="F11469" i="6"/>
  <c r="G11469" i="6"/>
  <c r="H11469" i="6" s="1"/>
  <c r="I11469" i="6"/>
  <c r="J11469" i="6"/>
  <c r="F11470" i="6"/>
  <c r="G11470" i="6"/>
  <c r="H11470" i="6" s="1"/>
  <c r="I11470" i="6"/>
  <c r="J11470" i="6"/>
  <c r="F11471" i="6"/>
  <c r="G11471" i="6"/>
  <c r="H11471" i="6" s="1"/>
  <c r="I11471" i="6"/>
  <c r="J11471" i="6"/>
  <c r="F11472" i="6"/>
  <c r="G11472" i="6"/>
  <c r="H11472" i="6" s="1"/>
  <c r="I11472" i="6"/>
  <c r="J11472" i="6"/>
  <c r="F11473" i="6"/>
  <c r="G11473" i="6"/>
  <c r="H11473" i="6" s="1"/>
  <c r="I11473" i="6"/>
  <c r="J11473" i="6"/>
  <c r="F11474" i="6"/>
  <c r="G11474" i="6"/>
  <c r="H11474" i="6" s="1"/>
  <c r="I11474" i="6"/>
  <c r="J11474" i="6"/>
  <c r="F11475" i="6"/>
  <c r="G11475" i="6"/>
  <c r="H11475" i="6" s="1"/>
  <c r="I11475" i="6"/>
  <c r="J11475" i="6"/>
  <c r="F11476" i="6"/>
  <c r="G11476" i="6"/>
  <c r="H11476" i="6" s="1"/>
  <c r="I11476" i="6"/>
  <c r="J11476" i="6"/>
  <c r="F11477" i="6"/>
  <c r="G11477" i="6"/>
  <c r="H11477" i="6" s="1"/>
  <c r="I11477" i="6"/>
  <c r="J11477" i="6"/>
  <c r="F11478" i="6"/>
  <c r="G11478" i="6"/>
  <c r="H11478" i="6" s="1"/>
  <c r="I11478" i="6"/>
  <c r="J11478" i="6"/>
  <c r="F11479" i="6"/>
  <c r="G11479" i="6"/>
  <c r="H11479" i="6" s="1"/>
  <c r="I11479" i="6"/>
  <c r="J11479" i="6"/>
  <c r="F11480" i="6"/>
  <c r="G11480" i="6"/>
  <c r="H11480" i="6" s="1"/>
  <c r="I11480" i="6"/>
  <c r="J11480" i="6"/>
  <c r="F11481" i="6"/>
  <c r="G11481" i="6"/>
  <c r="H11481" i="6" s="1"/>
  <c r="I11481" i="6"/>
  <c r="J11481" i="6"/>
  <c r="F11482" i="6"/>
  <c r="G11482" i="6"/>
  <c r="H11482" i="6" s="1"/>
  <c r="I11482" i="6"/>
  <c r="J11482" i="6"/>
  <c r="F11483" i="6"/>
  <c r="G11483" i="6"/>
  <c r="H11483" i="6" s="1"/>
  <c r="I11483" i="6"/>
  <c r="J11483" i="6"/>
  <c r="F11484" i="6"/>
  <c r="G11484" i="6"/>
  <c r="H11484" i="6" s="1"/>
  <c r="I11484" i="6"/>
  <c r="J11484" i="6"/>
  <c r="F11485" i="6"/>
  <c r="G11485" i="6"/>
  <c r="H11485" i="6" s="1"/>
  <c r="I11485" i="6"/>
  <c r="J11485" i="6"/>
  <c r="F11486" i="6"/>
  <c r="G11486" i="6"/>
  <c r="H11486" i="6" s="1"/>
  <c r="I11486" i="6"/>
  <c r="J11486" i="6"/>
  <c r="F11487" i="6"/>
  <c r="G11487" i="6"/>
  <c r="H11487" i="6" s="1"/>
  <c r="I11487" i="6"/>
  <c r="J11487" i="6"/>
  <c r="F11488" i="6"/>
  <c r="G11488" i="6"/>
  <c r="H11488" i="6" s="1"/>
  <c r="I11488" i="6"/>
  <c r="J11488" i="6"/>
  <c r="F11489" i="6"/>
  <c r="G11489" i="6"/>
  <c r="H11489" i="6" s="1"/>
  <c r="I11489" i="6"/>
  <c r="J11489" i="6"/>
  <c r="F11490" i="6"/>
  <c r="G11490" i="6"/>
  <c r="H11490" i="6" s="1"/>
  <c r="I11490" i="6"/>
  <c r="J11490" i="6"/>
  <c r="F11491" i="6"/>
  <c r="G11491" i="6"/>
  <c r="H11491" i="6" s="1"/>
  <c r="I11491" i="6"/>
  <c r="J11491" i="6"/>
  <c r="F11492" i="6"/>
  <c r="G11492" i="6"/>
  <c r="H11492" i="6" s="1"/>
  <c r="I11492" i="6"/>
  <c r="J11492" i="6"/>
  <c r="F11493" i="6"/>
  <c r="G11493" i="6"/>
  <c r="H11493" i="6" s="1"/>
  <c r="I11493" i="6"/>
  <c r="J11493" i="6"/>
  <c r="F11494" i="6"/>
  <c r="G11494" i="6"/>
  <c r="H11494" i="6" s="1"/>
  <c r="I11494" i="6"/>
  <c r="J11494" i="6"/>
  <c r="F11495" i="6"/>
  <c r="G11495" i="6"/>
  <c r="H11495" i="6" s="1"/>
  <c r="I11495" i="6"/>
  <c r="J11495" i="6"/>
  <c r="F11496" i="6"/>
  <c r="G11496" i="6"/>
  <c r="H11496" i="6" s="1"/>
  <c r="I11496" i="6"/>
  <c r="J11496" i="6"/>
  <c r="F11497" i="6"/>
  <c r="G11497" i="6"/>
  <c r="H11497" i="6" s="1"/>
  <c r="I11497" i="6"/>
  <c r="J11497" i="6"/>
  <c r="F11498" i="6"/>
  <c r="G11498" i="6"/>
  <c r="H11498" i="6" s="1"/>
  <c r="I11498" i="6"/>
  <c r="J11498" i="6"/>
  <c r="F11499" i="6"/>
  <c r="G11499" i="6"/>
  <c r="H11499" i="6" s="1"/>
  <c r="I11499" i="6"/>
  <c r="J11499" i="6"/>
  <c r="F11500" i="6"/>
  <c r="G11500" i="6"/>
  <c r="H11500" i="6" s="1"/>
  <c r="I11500" i="6"/>
  <c r="J11500" i="6"/>
  <c r="F11501" i="6"/>
  <c r="G11501" i="6"/>
  <c r="H11501" i="6" s="1"/>
  <c r="I11501" i="6"/>
  <c r="J11501" i="6"/>
  <c r="F11502" i="6"/>
  <c r="G11502" i="6"/>
  <c r="H11502" i="6" s="1"/>
  <c r="I11502" i="6"/>
  <c r="J11502" i="6"/>
  <c r="F11503" i="6"/>
  <c r="G11503" i="6"/>
  <c r="H11503" i="6" s="1"/>
  <c r="I11503" i="6"/>
  <c r="J11503" i="6"/>
  <c r="F11504" i="6"/>
  <c r="G11504" i="6"/>
  <c r="H11504" i="6" s="1"/>
  <c r="I11504" i="6"/>
  <c r="J11504" i="6"/>
  <c r="F11505" i="6"/>
  <c r="G11505" i="6"/>
  <c r="H11505" i="6" s="1"/>
  <c r="I11505" i="6"/>
  <c r="J11505" i="6"/>
  <c r="F11506" i="6"/>
  <c r="G11506" i="6"/>
  <c r="H11506" i="6" s="1"/>
  <c r="I11506" i="6"/>
  <c r="J11506" i="6"/>
  <c r="F11507" i="6"/>
  <c r="G11507" i="6"/>
  <c r="H11507" i="6" s="1"/>
  <c r="I11507" i="6"/>
  <c r="J11507" i="6"/>
  <c r="F11508" i="6"/>
  <c r="G11508" i="6"/>
  <c r="H11508" i="6" s="1"/>
  <c r="I11508" i="6"/>
  <c r="J11508" i="6"/>
  <c r="F11509" i="6"/>
  <c r="G11509" i="6"/>
  <c r="H11509" i="6" s="1"/>
  <c r="I11509" i="6"/>
  <c r="J11509" i="6"/>
  <c r="F11510" i="6"/>
  <c r="G11510" i="6"/>
  <c r="H11510" i="6" s="1"/>
  <c r="I11510" i="6"/>
  <c r="J11510" i="6"/>
  <c r="F11511" i="6"/>
  <c r="G11511" i="6"/>
  <c r="H11511" i="6" s="1"/>
  <c r="I11511" i="6"/>
  <c r="J11511" i="6"/>
  <c r="F11512" i="6"/>
  <c r="G11512" i="6"/>
  <c r="H11512" i="6" s="1"/>
  <c r="I11512" i="6"/>
  <c r="J11512" i="6"/>
  <c r="F11513" i="6"/>
  <c r="G11513" i="6"/>
  <c r="H11513" i="6" s="1"/>
  <c r="I11513" i="6"/>
  <c r="J11513" i="6"/>
  <c r="F11514" i="6"/>
  <c r="G11514" i="6"/>
  <c r="H11514" i="6" s="1"/>
  <c r="I11514" i="6"/>
  <c r="J11514" i="6"/>
  <c r="F11515" i="6"/>
  <c r="G11515" i="6"/>
  <c r="H11515" i="6" s="1"/>
  <c r="I11515" i="6"/>
  <c r="J11515" i="6"/>
  <c r="F11516" i="6"/>
  <c r="G11516" i="6"/>
  <c r="H11516" i="6" s="1"/>
  <c r="I11516" i="6"/>
  <c r="J11516" i="6"/>
  <c r="F11517" i="6"/>
  <c r="G11517" i="6"/>
  <c r="H11517" i="6" s="1"/>
  <c r="I11517" i="6"/>
  <c r="J11517" i="6"/>
  <c r="F11518" i="6"/>
  <c r="G11518" i="6"/>
  <c r="H11518" i="6" s="1"/>
  <c r="I11518" i="6"/>
  <c r="J11518" i="6"/>
  <c r="F11519" i="6"/>
  <c r="G11519" i="6"/>
  <c r="H11519" i="6" s="1"/>
  <c r="I11519" i="6"/>
  <c r="J11519" i="6"/>
  <c r="F11520" i="6"/>
  <c r="G11520" i="6"/>
  <c r="H11520" i="6" s="1"/>
  <c r="I11520" i="6"/>
  <c r="J11520" i="6"/>
  <c r="F11521" i="6"/>
  <c r="G11521" i="6"/>
  <c r="H11521" i="6" s="1"/>
  <c r="I11521" i="6"/>
  <c r="J11521" i="6"/>
  <c r="F11522" i="6"/>
  <c r="G11522" i="6"/>
  <c r="H11522" i="6" s="1"/>
  <c r="I11522" i="6"/>
  <c r="J11522" i="6"/>
  <c r="F11523" i="6"/>
  <c r="G11523" i="6"/>
  <c r="H11523" i="6" s="1"/>
  <c r="I11523" i="6"/>
  <c r="J11523" i="6"/>
  <c r="F11524" i="6"/>
  <c r="G11524" i="6"/>
  <c r="H11524" i="6" s="1"/>
  <c r="I11524" i="6"/>
  <c r="J11524" i="6"/>
  <c r="F11525" i="6"/>
  <c r="G11525" i="6"/>
  <c r="H11525" i="6" s="1"/>
  <c r="I11525" i="6"/>
  <c r="J11525" i="6"/>
  <c r="F11526" i="6"/>
  <c r="G11526" i="6"/>
  <c r="H11526" i="6" s="1"/>
  <c r="I11526" i="6"/>
  <c r="J11526" i="6"/>
  <c r="F11527" i="6"/>
  <c r="G11527" i="6"/>
  <c r="H11527" i="6" s="1"/>
  <c r="I11527" i="6"/>
  <c r="J11527" i="6"/>
  <c r="F11528" i="6"/>
  <c r="G11528" i="6"/>
  <c r="H11528" i="6" s="1"/>
  <c r="I11528" i="6"/>
  <c r="J11528" i="6"/>
  <c r="F11529" i="6"/>
  <c r="G11529" i="6"/>
  <c r="H11529" i="6" s="1"/>
  <c r="I11529" i="6"/>
  <c r="J11529" i="6"/>
  <c r="F11530" i="6"/>
  <c r="G11530" i="6"/>
  <c r="H11530" i="6" s="1"/>
  <c r="I11530" i="6"/>
  <c r="J11530" i="6"/>
  <c r="F11531" i="6"/>
  <c r="G11531" i="6"/>
  <c r="H11531" i="6" s="1"/>
  <c r="I11531" i="6"/>
  <c r="J11531" i="6"/>
  <c r="F11532" i="6"/>
  <c r="G11532" i="6"/>
  <c r="H11532" i="6" s="1"/>
  <c r="I11532" i="6"/>
  <c r="J11532" i="6"/>
  <c r="F11533" i="6"/>
  <c r="G11533" i="6"/>
  <c r="H11533" i="6" s="1"/>
  <c r="I11533" i="6"/>
  <c r="J11533" i="6"/>
  <c r="F11534" i="6"/>
  <c r="G11534" i="6"/>
  <c r="H11534" i="6" s="1"/>
  <c r="I11534" i="6"/>
  <c r="J11534" i="6"/>
  <c r="F11535" i="6"/>
  <c r="G11535" i="6"/>
  <c r="H11535" i="6" s="1"/>
  <c r="I11535" i="6"/>
  <c r="J11535" i="6"/>
  <c r="F11536" i="6"/>
  <c r="G11536" i="6"/>
  <c r="H11536" i="6" s="1"/>
  <c r="I11536" i="6"/>
  <c r="J11536" i="6"/>
  <c r="F11537" i="6"/>
  <c r="G11537" i="6"/>
  <c r="H11537" i="6" s="1"/>
  <c r="I11537" i="6"/>
  <c r="J11537" i="6"/>
  <c r="F11538" i="6"/>
  <c r="G11538" i="6"/>
  <c r="H11538" i="6" s="1"/>
  <c r="I11538" i="6"/>
  <c r="J11538" i="6"/>
  <c r="F11539" i="6"/>
  <c r="G11539" i="6"/>
  <c r="H11539" i="6" s="1"/>
  <c r="I11539" i="6"/>
  <c r="J11539" i="6"/>
  <c r="F11540" i="6"/>
  <c r="G11540" i="6"/>
  <c r="H11540" i="6" s="1"/>
  <c r="I11540" i="6"/>
  <c r="J11540" i="6"/>
  <c r="F11541" i="6"/>
  <c r="G11541" i="6"/>
  <c r="H11541" i="6" s="1"/>
  <c r="I11541" i="6"/>
  <c r="J11541" i="6"/>
  <c r="F11542" i="6"/>
  <c r="G11542" i="6"/>
  <c r="H11542" i="6" s="1"/>
  <c r="I11542" i="6"/>
  <c r="J11542" i="6"/>
  <c r="F11543" i="6"/>
  <c r="G11543" i="6"/>
  <c r="H11543" i="6" s="1"/>
  <c r="I11543" i="6"/>
  <c r="J11543" i="6"/>
  <c r="F11544" i="6"/>
  <c r="G11544" i="6"/>
  <c r="H11544" i="6" s="1"/>
  <c r="I11544" i="6"/>
  <c r="J11544" i="6"/>
  <c r="F11545" i="6"/>
  <c r="G11545" i="6"/>
  <c r="H11545" i="6" s="1"/>
  <c r="I11545" i="6"/>
  <c r="J11545" i="6"/>
  <c r="F11546" i="6"/>
  <c r="G11546" i="6"/>
  <c r="H11546" i="6" s="1"/>
  <c r="I11546" i="6"/>
  <c r="J11546" i="6"/>
  <c r="F11547" i="6"/>
  <c r="G11547" i="6"/>
  <c r="H11547" i="6" s="1"/>
  <c r="I11547" i="6"/>
  <c r="J11547" i="6"/>
  <c r="F11548" i="6"/>
  <c r="G11548" i="6"/>
  <c r="H11548" i="6" s="1"/>
  <c r="I11548" i="6"/>
  <c r="J11548" i="6"/>
  <c r="F11549" i="6"/>
  <c r="G11549" i="6"/>
  <c r="H11549" i="6" s="1"/>
  <c r="I11549" i="6"/>
  <c r="J11549" i="6"/>
  <c r="F11550" i="6"/>
  <c r="G11550" i="6"/>
  <c r="H11550" i="6" s="1"/>
  <c r="I11550" i="6"/>
  <c r="J11550" i="6"/>
  <c r="F11551" i="6"/>
  <c r="G11551" i="6"/>
  <c r="H11551" i="6" s="1"/>
  <c r="I11551" i="6"/>
  <c r="J11551" i="6"/>
  <c r="F11552" i="6"/>
  <c r="G11552" i="6"/>
  <c r="H11552" i="6" s="1"/>
  <c r="I11552" i="6"/>
  <c r="J11552" i="6"/>
  <c r="F11553" i="6"/>
  <c r="G11553" i="6"/>
  <c r="H11553" i="6" s="1"/>
  <c r="I11553" i="6"/>
  <c r="J11553" i="6"/>
  <c r="F11554" i="6"/>
  <c r="G11554" i="6"/>
  <c r="H11554" i="6" s="1"/>
  <c r="I11554" i="6"/>
  <c r="J11554" i="6"/>
  <c r="F11555" i="6"/>
  <c r="G11555" i="6"/>
  <c r="H11555" i="6" s="1"/>
  <c r="I11555" i="6"/>
  <c r="J11555" i="6"/>
  <c r="F11556" i="6"/>
  <c r="G11556" i="6"/>
  <c r="H11556" i="6" s="1"/>
  <c r="I11556" i="6"/>
  <c r="J11556" i="6"/>
  <c r="F11557" i="6"/>
  <c r="G11557" i="6"/>
  <c r="H11557" i="6" s="1"/>
  <c r="I11557" i="6"/>
  <c r="J11557" i="6"/>
  <c r="F11558" i="6"/>
  <c r="G11558" i="6"/>
  <c r="H11558" i="6" s="1"/>
  <c r="I11558" i="6"/>
  <c r="J11558" i="6"/>
  <c r="F11559" i="6"/>
  <c r="G11559" i="6"/>
  <c r="H11559" i="6" s="1"/>
  <c r="I11559" i="6"/>
  <c r="J11559" i="6"/>
  <c r="F11560" i="6"/>
  <c r="G11560" i="6"/>
  <c r="H11560" i="6" s="1"/>
  <c r="I11560" i="6"/>
  <c r="J11560" i="6"/>
  <c r="F11561" i="6"/>
  <c r="G11561" i="6"/>
  <c r="H11561" i="6" s="1"/>
  <c r="I11561" i="6"/>
  <c r="J11561" i="6"/>
  <c r="F11562" i="6"/>
  <c r="G11562" i="6"/>
  <c r="H11562" i="6" s="1"/>
  <c r="I11562" i="6"/>
  <c r="J11562" i="6"/>
  <c r="F11563" i="6"/>
  <c r="G11563" i="6"/>
  <c r="H11563" i="6" s="1"/>
  <c r="I11563" i="6"/>
  <c r="J11563" i="6"/>
  <c r="F11564" i="6"/>
  <c r="G11564" i="6"/>
  <c r="H11564" i="6" s="1"/>
  <c r="I11564" i="6"/>
  <c r="J11564" i="6"/>
  <c r="F11565" i="6"/>
  <c r="G11565" i="6"/>
  <c r="H11565" i="6" s="1"/>
  <c r="I11565" i="6"/>
  <c r="J11565" i="6"/>
  <c r="F11566" i="6"/>
  <c r="G11566" i="6"/>
  <c r="H11566" i="6" s="1"/>
  <c r="I11566" i="6"/>
  <c r="J11566" i="6"/>
  <c r="F11567" i="6"/>
  <c r="G11567" i="6"/>
  <c r="H11567" i="6" s="1"/>
  <c r="I11567" i="6"/>
  <c r="J11567" i="6"/>
  <c r="F11568" i="6"/>
  <c r="G11568" i="6"/>
  <c r="H11568" i="6" s="1"/>
  <c r="I11568" i="6"/>
  <c r="J11568" i="6"/>
  <c r="F11569" i="6"/>
  <c r="G11569" i="6"/>
  <c r="H11569" i="6" s="1"/>
  <c r="I11569" i="6"/>
  <c r="J11569" i="6"/>
  <c r="F11570" i="6"/>
  <c r="G11570" i="6"/>
  <c r="H11570" i="6" s="1"/>
  <c r="I11570" i="6"/>
  <c r="J11570" i="6"/>
  <c r="F11571" i="6"/>
  <c r="G11571" i="6"/>
  <c r="H11571" i="6" s="1"/>
  <c r="I11571" i="6"/>
  <c r="J11571" i="6"/>
  <c r="F11572" i="6"/>
  <c r="G11572" i="6"/>
  <c r="H11572" i="6" s="1"/>
  <c r="I11572" i="6"/>
  <c r="J11572" i="6"/>
  <c r="F11573" i="6"/>
  <c r="G11573" i="6"/>
  <c r="H11573" i="6" s="1"/>
  <c r="I11573" i="6"/>
  <c r="J11573" i="6"/>
  <c r="F11574" i="6"/>
  <c r="G11574" i="6"/>
  <c r="H11574" i="6" s="1"/>
  <c r="I11574" i="6"/>
  <c r="J11574" i="6"/>
  <c r="F11575" i="6"/>
  <c r="G11575" i="6"/>
  <c r="H11575" i="6" s="1"/>
  <c r="I11575" i="6"/>
  <c r="J11575" i="6"/>
  <c r="F11576" i="6"/>
  <c r="G11576" i="6"/>
  <c r="H11576" i="6" s="1"/>
  <c r="I11576" i="6"/>
  <c r="J11576" i="6"/>
  <c r="F11577" i="6"/>
  <c r="G11577" i="6"/>
  <c r="H11577" i="6" s="1"/>
  <c r="I11577" i="6"/>
  <c r="J11577" i="6"/>
  <c r="F11578" i="6"/>
  <c r="G11578" i="6"/>
  <c r="H11578" i="6" s="1"/>
  <c r="I11578" i="6"/>
  <c r="J11578" i="6"/>
  <c r="F11579" i="6"/>
  <c r="G11579" i="6"/>
  <c r="H11579" i="6" s="1"/>
  <c r="I11579" i="6"/>
  <c r="J11579" i="6"/>
  <c r="F11580" i="6"/>
  <c r="G11580" i="6"/>
  <c r="H11580" i="6" s="1"/>
  <c r="I11580" i="6"/>
  <c r="J11580" i="6"/>
  <c r="F11581" i="6"/>
  <c r="G11581" i="6"/>
  <c r="H11581" i="6" s="1"/>
  <c r="I11581" i="6"/>
  <c r="J11581" i="6"/>
  <c r="F11582" i="6"/>
  <c r="G11582" i="6"/>
  <c r="H11582" i="6" s="1"/>
  <c r="I11582" i="6"/>
  <c r="J11582" i="6"/>
  <c r="F11583" i="6"/>
  <c r="G11583" i="6"/>
  <c r="H11583" i="6" s="1"/>
  <c r="I11583" i="6"/>
  <c r="J11583" i="6"/>
  <c r="F11584" i="6"/>
  <c r="G11584" i="6"/>
  <c r="H11584" i="6" s="1"/>
  <c r="I11584" i="6"/>
  <c r="J11584" i="6"/>
  <c r="F11585" i="6"/>
  <c r="G11585" i="6"/>
  <c r="H11585" i="6" s="1"/>
  <c r="I11585" i="6"/>
  <c r="J11585" i="6"/>
  <c r="F11586" i="6"/>
  <c r="G11586" i="6"/>
  <c r="H11586" i="6" s="1"/>
  <c r="I11586" i="6"/>
  <c r="J11586" i="6"/>
  <c r="F11587" i="6"/>
  <c r="G11587" i="6"/>
  <c r="H11587" i="6" s="1"/>
  <c r="I11587" i="6"/>
  <c r="J11587" i="6"/>
  <c r="F11588" i="6"/>
  <c r="G11588" i="6"/>
  <c r="H11588" i="6" s="1"/>
  <c r="I11588" i="6"/>
  <c r="J11588" i="6"/>
  <c r="F11589" i="6"/>
  <c r="G11589" i="6"/>
  <c r="H11589" i="6" s="1"/>
  <c r="I11589" i="6"/>
  <c r="J11589" i="6"/>
  <c r="F11590" i="6"/>
  <c r="G11590" i="6"/>
  <c r="H11590" i="6" s="1"/>
  <c r="I11590" i="6"/>
  <c r="J11590" i="6"/>
  <c r="F11591" i="6"/>
  <c r="G11591" i="6"/>
  <c r="H11591" i="6" s="1"/>
  <c r="I11591" i="6"/>
  <c r="J11591" i="6"/>
  <c r="F11592" i="6"/>
  <c r="G11592" i="6"/>
  <c r="H11592" i="6" s="1"/>
  <c r="I11592" i="6"/>
  <c r="J11592" i="6"/>
  <c r="F11593" i="6"/>
  <c r="G11593" i="6"/>
  <c r="H11593" i="6" s="1"/>
  <c r="I11593" i="6"/>
  <c r="J11593" i="6"/>
  <c r="F11594" i="6"/>
  <c r="G11594" i="6"/>
  <c r="H11594" i="6" s="1"/>
  <c r="I11594" i="6"/>
  <c r="J11594" i="6"/>
  <c r="F11595" i="6"/>
  <c r="G11595" i="6"/>
  <c r="H11595" i="6" s="1"/>
  <c r="I11595" i="6"/>
  <c r="J11595" i="6"/>
  <c r="F11596" i="6"/>
  <c r="G11596" i="6"/>
  <c r="H11596" i="6" s="1"/>
  <c r="I11596" i="6"/>
  <c r="J11596" i="6"/>
  <c r="F11597" i="6"/>
  <c r="G11597" i="6"/>
  <c r="H11597" i="6" s="1"/>
  <c r="I11597" i="6"/>
  <c r="J11597" i="6"/>
  <c r="F11598" i="6"/>
  <c r="G11598" i="6"/>
  <c r="H11598" i="6" s="1"/>
  <c r="I11598" i="6"/>
  <c r="J11598" i="6"/>
  <c r="F11599" i="6"/>
  <c r="G11599" i="6"/>
  <c r="H11599" i="6" s="1"/>
  <c r="I11599" i="6"/>
  <c r="J11599" i="6"/>
  <c r="F11600" i="6"/>
  <c r="G11600" i="6"/>
  <c r="H11600" i="6" s="1"/>
  <c r="I11600" i="6"/>
  <c r="J11600" i="6"/>
  <c r="F11601" i="6"/>
  <c r="G11601" i="6"/>
  <c r="H11601" i="6" s="1"/>
  <c r="I11601" i="6"/>
  <c r="J11601" i="6"/>
  <c r="F11602" i="6"/>
  <c r="G11602" i="6"/>
  <c r="H11602" i="6" s="1"/>
  <c r="I11602" i="6"/>
  <c r="J11602" i="6"/>
  <c r="F11603" i="6"/>
  <c r="G11603" i="6"/>
  <c r="H11603" i="6" s="1"/>
  <c r="I11603" i="6"/>
  <c r="J11603" i="6"/>
  <c r="F11604" i="6"/>
  <c r="G11604" i="6"/>
  <c r="H11604" i="6" s="1"/>
  <c r="I11604" i="6"/>
  <c r="J11604" i="6"/>
  <c r="F11605" i="6"/>
  <c r="G11605" i="6"/>
  <c r="H11605" i="6" s="1"/>
  <c r="I11605" i="6"/>
  <c r="J11605" i="6"/>
  <c r="F11606" i="6"/>
  <c r="G11606" i="6"/>
  <c r="H11606" i="6" s="1"/>
  <c r="I11606" i="6"/>
  <c r="J11606" i="6"/>
  <c r="F11607" i="6"/>
  <c r="G11607" i="6"/>
  <c r="H11607" i="6" s="1"/>
  <c r="I11607" i="6"/>
  <c r="J11607" i="6"/>
  <c r="F11608" i="6"/>
  <c r="G11608" i="6"/>
  <c r="H11608" i="6" s="1"/>
  <c r="I11608" i="6"/>
  <c r="J11608" i="6"/>
  <c r="F11609" i="6"/>
  <c r="G11609" i="6"/>
  <c r="H11609" i="6" s="1"/>
  <c r="I11609" i="6"/>
  <c r="J11609" i="6"/>
  <c r="F11610" i="6"/>
  <c r="G11610" i="6"/>
  <c r="H11610" i="6" s="1"/>
  <c r="I11610" i="6"/>
  <c r="J11610" i="6"/>
  <c r="F11611" i="6"/>
  <c r="G11611" i="6"/>
  <c r="H11611" i="6" s="1"/>
  <c r="I11611" i="6"/>
  <c r="J11611" i="6"/>
  <c r="F11612" i="6"/>
  <c r="G11612" i="6"/>
  <c r="H11612" i="6" s="1"/>
  <c r="I11612" i="6"/>
  <c r="J11612" i="6"/>
  <c r="F11613" i="6"/>
  <c r="G11613" i="6"/>
  <c r="H11613" i="6" s="1"/>
  <c r="I11613" i="6"/>
  <c r="J11613" i="6"/>
  <c r="F11614" i="6"/>
  <c r="G11614" i="6"/>
  <c r="H11614" i="6" s="1"/>
  <c r="I11614" i="6"/>
  <c r="J11614" i="6"/>
  <c r="F11615" i="6"/>
  <c r="G11615" i="6"/>
  <c r="H11615" i="6" s="1"/>
  <c r="I11615" i="6"/>
  <c r="J11615" i="6"/>
  <c r="F11616" i="6"/>
  <c r="G11616" i="6"/>
  <c r="H11616" i="6" s="1"/>
  <c r="I11616" i="6"/>
  <c r="J11616" i="6"/>
  <c r="F11617" i="6"/>
  <c r="G11617" i="6"/>
  <c r="H11617" i="6" s="1"/>
  <c r="I11617" i="6"/>
  <c r="J11617" i="6"/>
  <c r="F11618" i="6"/>
  <c r="G11618" i="6"/>
  <c r="H11618" i="6" s="1"/>
  <c r="I11618" i="6"/>
  <c r="J11618" i="6"/>
  <c r="F11619" i="6"/>
  <c r="G11619" i="6"/>
  <c r="H11619" i="6" s="1"/>
  <c r="I11619" i="6"/>
  <c r="J11619" i="6"/>
  <c r="F11620" i="6"/>
  <c r="G11620" i="6"/>
  <c r="H11620" i="6" s="1"/>
  <c r="I11620" i="6"/>
  <c r="J11620" i="6"/>
  <c r="F11621" i="6"/>
  <c r="G11621" i="6"/>
  <c r="H11621" i="6" s="1"/>
  <c r="I11621" i="6"/>
  <c r="J11621" i="6"/>
  <c r="F11622" i="6"/>
  <c r="G11622" i="6"/>
  <c r="H11622" i="6" s="1"/>
  <c r="I11622" i="6"/>
  <c r="J11622" i="6"/>
  <c r="F11623" i="6"/>
  <c r="G11623" i="6"/>
  <c r="H11623" i="6" s="1"/>
  <c r="I11623" i="6"/>
  <c r="J11623" i="6"/>
  <c r="F11624" i="6"/>
  <c r="G11624" i="6"/>
  <c r="H11624" i="6" s="1"/>
  <c r="I11624" i="6"/>
  <c r="J11624" i="6"/>
  <c r="F11625" i="6"/>
  <c r="G11625" i="6"/>
  <c r="H11625" i="6" s="1"/>
  <c r="I11625" i="6"/>
  <c r="J11625" i="6"/>
  <c r="F11626" i="6"/>
  <c r="G11626" i="6"/>
  <c r="H11626" i="6" s="1"/>
  <c r="I11626" i="6"/>
  <c r="J11626" i="6"/>
  <c r="F11627" i="6"/>
  <c r="G11627" i="6"/>
  <c r="H11627" i="6" s="1"/>
  <c r="I11627" i="6"/>
  <c r="J11627" i="6"/>
  <c r="F11628" i="6"/>
  <c r="G11628" i="6"/>
  <c r="H11628" i="6" s="1"/>
  <c r="I11628" i="6"/>
  <c r="J11628" i="6"/>
  <c r="F11629" i="6"/>
  <c r="G11629" i="6"/>
  <c r="H11629" i="6" s="1"/>
  <c r="I11629" i="6"/>
  <c r="J11629" i="6"/>
  <c r="F11630" i="6"/>
  <c r="G11630" i="6"/>
  <c r="H11630" i="6" s="1"/>
  <c r="I11630" i="6"/>
  <c r="J11630" i="6"/>
  <c r="F11631" i="6"/>
  <c r="G11631" i="6"/>
  <c r="H11631" i="6" s="1"/>
  <c r="I11631" i="6"/>
  <c r="J11631" i="6"/>
  <c r="F11632" i="6"/>
  <c r="G11632" i="6"/>
  <c r="H11632" i="6" s="1"/>
  <c r="I11632" i="6"/>
  <c r="J11632" i="6"/>
  <c r="F11633" i="6"/>
  <c r="G11633" i="6"/>
  <c r="H11633" i="6" s="1"/>
  <c r="I11633" i="6"/>
  <c r="J11633" i="6"/>
  <c r="F11634" i="6"/>
  <c r="G11634" i="6"/>
  <c r="H11634" i="6" s="1"/>
  <c r="I11634" i="6"/>
  <c r="J11634" i="6"/>
  <c r="F11635" i="6"/>
  <c r="G11635" i="6"/>
  <c r="H11635" i="6" s="1"/>
  <c r="I11635" i="6"/>
  <c r="J11635" i="6"/>
  <c r="F11636" i="6"/>
  <c r="G11636" i="6"/>
  <c r="H11636" i="6" s="1"/>
  <c r="I11636" i="6"/>
  <c r="J11636" i="6"/>
  <c r="F11637" i="6"/>
  <c r="G11637" i="6"/>
  <c r="H11637" i="6" s="1"/>
  <c r="I11637" i="6"/>
  <c r="J11637" i="6"/>
  <c r="F11638" i="6"/>
  <c r="G11638" i="6"/>
  <c r="H11638" i="6" s="1"/>
  <c r="I11638" i="6"/>
  <c r="J11638" i="6"/>
  <c r="F11639" i="6"/>
  <c r="G11639" i="6"/>
  <c r="H11639" i="6" s="1"/>
  <c r="I11639" i="6"/>
  <c r="J11639" i="6"/>
  <c r="F11640" i="6"/>
  <c r="G11640" i="6"/>
  <c r="H11640" i="6" s="1"/>
  <c r="I11640" i="6"/>
  <c r="J11640" i="6"/>
  <c r="F11641" i="6"/>
  <c r="G11641" i="6"/>
  <c r="H11641" i="6" s="1"/>
  <c r="I11641" i="6"/>
  <c r="J11641" i="6"/>
  <c r="F11642" i="6"/>
  <c r="G11642" i="6"/>
  <c r="H11642" i="6" s="1"/>
  <c r="I11642" i="6"/>
  <c r="J11642" i="6"/>
  <c r="F11643" i="6"/>
  <c r="G11643" i="6"/>
  <c r="H11643" i="6" s="1"/>
  <c r="I11643" i="6"/>
  <c r="J11643" i="6"/>
  <c r="F11644" i="6"/>
  <c r="G11644" i="6"/>
  <c r="H11644" i="6" s="1"/>
  <c r="I11644" i="6"/>
  <c r="J11644" i="6"/>
  <c r="F11645" i="6"/>
  <c r="G11645" i="6"/>
  <c r="H11645" i="6" s="1"/>
  <c r="I11645" i="6"/>
  <c r="J11645" i="6"/>
  <c r="F11646" i="6"/>
  <c r="G11646" i="6"/>
  <c r="H11646" i="6" s="1"/>
  <c r="I11646" i="6"/>
  <c r="J11646" i="6"/>
  <c r="F11647" i="6"/>
  <c r="G11647" i="6"/>
  <c r="H11647" i="6" s="1"/>
  <c r="I11647" i="6"/>
  <c r="J11647" i="6"/>
  <c r="F11648" i="6"/>
  <c r="G11648" i="6"/>
  <c r="H11648" i="6" s="1"/>
  <c r="I11648" i="6"/>
  <c r="J11648" i="6"/>
  <c r="F11649" i="6"/>
  <c r="G11649" i="6"/>
  <c r="H11649" i="6" s="1"/>
  <c r="I11649" i="6"/>
  <c r="J11649" i="6"/>
  <c r="F11650" i="6"/>
  <c r="G11650" i="6"/>
  <c r="H11650" i="6" s="1"/>
  <c r="I11650" i="6"/>
  <c r="J11650" i="6"/>
  <c r="F11651" i="6"/>
  <c r="G11651" i="6"/>
  <c r="H11651" i="6" s="1"/>
  <c r="I11651" i="6"/>
  <c r="J11651" i="6"/>
  <c r="F11652" i="6"/>
  <c r="G11652" i="6"/>
  <c r="H11652" i="6" s="1"/>
  <c r="I11652" i="6"/>
  <c r="J11652" i="6"/>
  <c r="F11653" i="6"/>
  <c r="G11653" i="6"/>
  <c r="H11653" i="6" s="1"/>
  <c r="I11653" i="6"/>
  <c r="J11653" i="6"/>
  <c r="F11654" i="6"/>
  <c r="G11654" i="6"/>
  <c r="H11654" i="6" s="1"/>
  <c r="I11654" i="6"/>
  <c r="J11654" i="6"/>
  <c r="F11655" i="6"/>
  <c r="G11655" i="6"/>
  <c r="H11655" i="6" s="1"/>
  <c r="I11655" i="6"/>
  <c r="J11655" i="6"/>
  <c r="F11656" i="6"/>
  <c r="G11656" i="6"/>
  <c r="H11656" i="6" s="1"/>
  <c r="I11656" i="6"/>
  <c r="J11656" i="6"/>
  <c r="F11657" i="6"/>
  <c r="G11657" i="6"/>
  <c r="H11657" i="6" s="1"/>
  <c r="I11657" i="6"/>
  <c r="J11657" i="6"/>
  <c r="F11658" i="6"/>
  <c r="G11658" i="6"/>
  <c r="H11658" i="6" s="1"/>
  <c r="I11658" i="6"/>
  <c r="J11658" i="6"/>
  <c r="F11659" i="6"/>
  <c r="G11659" i="6"/>
  <c r="H11659" i="6" s="1"/>
  <c r="I11659" i="6"/>
  <c r="J11659" i="6"/>
  <c r="F11660" i="6"/>
  <c r="G11660" i="6"/>
  <c r="H11660" i="6" s="1"/>
  <c r="I11660" i="6"/>
  <c r="J11660" i="6"/>
  <c r="F11661" i="6"/>
  <c r="G11661" i="6"/>
  <c r="H11661" i="6" s="1"/>
  <c r="I11661" i="6"/>
  <c r="J11661" i="6"/>
  <c r="F11662" i="6"/>
  <c r="G11662" i="6"/>
  <c r="H11662" i="6" s="1"/>
  <c r="I11662" i="6"/>
  <c r="J11662" i="6"/>
  <c r="F11663" i="6"/>
  <c r="G11663" i="6"/>
  <c r="H11663" i="6" s="1"/>
  <c r="I11663" i="6"/>
  <c r="J11663" i="6"/>
  <c r="F11664" i="6"/>
  <c r="G11664" i="6"/>
  <c r="H11664" i="6" s="1"/>
  <c r="I11664" i="6"/>
  <c r="J11664" i="6"/>
  <c r="F11665" i="6"/>
  <c r="G11665" i="6"/>
  <c r="H11665" i="6" s="1"/>
  <c r="I11665" i="6"/>
  <c r="J11665" i="6"/>
  <c r="F11666" i="6"/>
  <c r="G11666" i="6"/>
  <c r="H11666" i="6" s="1"/>
  <c r="I11666" i="6"/>
  <c r="J11666" i="6"/>
  <c r="F11667" i="6"/>
  <c r="G11667" i="6"/>
  <c r="H11667" i="6" s="1"/>
  <c r="I11667" i="6"/>
  <c r="J11667" i="6"/>
  <c r="F11668" i="6"/>
  <c r="G11668" i="6"/>
  <c r="H11668" i="6" s="1"/>
  <c r="I11668" i="6"/>
  <c r="J11668" i="6"/>
  <c r="F11669" i="6"/>
  <c r="G11669" i="6"/>
  <c r="H11669" i="6" s="1"/>
  <c r="I11669" i="6"/>
  <c r="J11669" i="6"/>
  <c r="F11670" i="6"/>
  <c r="G11670" i="6"/>
  <c r="H11670" i="6" s="1"/>
  <c r="I11670" i="6"/>
  <c r="J11670" i="6"/>
  <c r="F11671" i="6"/>
  <c r="G11671" i="6"/>
  <c r="H11671" i="6" s="1"/>
  <c r="I11671" i="6"/>
  <c r="J11671" i="6"/>
  <c r="F11672" i="6"/>
  <c r="G11672" i="6"/>
  <c r="H11672" i="6" s="1"/>
  <c r="I11672" i="6"/>
  <c r="J11672" i="6"/>
  <c r="F11673" i="6"/>
  <c r="G11673" i="6"/>
  <c r="H11673" i="6" s="1"/>
  <c r="I11673" i="6"/>
  <c r="J11673" i="6"/>
  <c r="F11674" i="6"/>
  <c r="G11674" i="6"/>
  <c r="H11674" i="6" s="1"/>
  <c r="I11674" i="6"/>
  <c r="J11674" i="6"/>
  <c r="F11675" i="6"/>
  <c r="G11675" i="6"/>
  <c r="H11675" i="6" s="1"/>
  <c r="I11675" i="6"/>
  <c r="J11675" i="6"/>
  <c r="F11676" i="6"/>
  <c r="G11676" i="6"/>
  <c r="H11676" i="6" s="1"/>
  <c r="I11676" i="6"/>
  <c r="J11676" i="6"/>
  <c r="F11677" i="6"/>
  <c r="G11677" i="6"/>
  <c r="H11677" i="6" s="1"/>
  <c r="I11677" i="6"/>
  <c r="J11677" i="6"/>
  <c r="F11678" i="6"/>
  <c r="G11678" i="6"/>
  <c r="H11678" i="6" s="1"/>
  <c r="I11678" i="6"/>
  <c r="J11678" i="6"/>
  <c r="F11679" i="6"/>
  <c r="G11679" i="6"/>
  <c r="H11679" i="6" s="1"/>
  <c r="I11679" i="6"/>
  <c r="J11679" i="6"/>
  <c r="F11680" i="6"/>
  <c r="G11680" i="6"/>
  <c r="H11680" i="6" s="1"/>
  <c r="I11680" i="6"/>
  <c r="J11680" i="6"/>
  <c r="F11681" i="6"/>
  <c r="G11681" i="6"/>
  <c r="H11681" i="6" s="1"/>
  <c r="I11681" i="6"/>
  <c r="J11681" i="6"/>
  <c r="F11682" i="6"/>
  <c r="G11682" i="6"/>
  <c r="H11682" i="6" s="1"/>
  <c r="I11682" i="6"/>
  <c r="J11682" i="6"/>
  <c r="F11683" i="6"/>
  <c r="G11683" i="6"/>
  <c r="H11683" i="6" s="1"/>
  <c r="I11683" i="6"/>
  <c r="J11683" i="6"/>
  <c r="F11684" i="6"/>
  <c r="G11684" i="6"/>
  <c r="H11684" i="6" s="1"/>
  <c r="I11684" i="6"/>
  <c r="J11684" i="6"/>
  <c r="F11685" i="6"/>
  <c r="G11685" i="6"/>
  <c r="H11685" i="6" s="1"/>
  <c r="I11685" i="6"/>
  <c r="J11685" i="6"/>
  <c r="F11686" i="6"/>
  <c r="G11686" i="6"/>
  <c r="H11686" i="6" s="1"/>
  <c r="I11686" i="6"/>
  <c r="J11686" i="6"/>
  <c r="F11687" i="6"/>
  <c r="G11687" i="6"/>
  <c r="H11687" i="6" s="1"/>
  <c r="I11687" i="6"/>
  <c r="J11687" i="6"/>
  <c r="F11688" i="6"/>
  <c r="G11688" i="6"/>
  <c r="H11688" i="6" s="1"/>
  <c r="I11688" i="6"/>
  <c r="J11688" i="6"/>
  <c r="F11689" i="6"/>
  <c r="G11689" i="6"/>
  <c r="H11689" i="6" s="1"/>
  <c r="I11689" i="6"/>
  <c r="J11689" i="6"/>
  <c r="F11690" i="6"/>
  <c r="G11690" i="6"/>
  <c r="H11690" i="6" s="1"/>
  <c r="I11690" i="6"/>
  <c r="J11690" i="6"/>
  <c r="F11691" i="6"/>
  <c r="G11691" i="6"/>
  <c r="H11691" i="6" s="1"/>
  <c r="I11691" i="6"/>
  <c r="J11691" i="6"/>
  <c r="F11692" i="6"/>
  <c r="G11692" i="6"/>
  <c r="H11692" i="6" s="1"/>
  <c r="I11692" i="6"/>
  <c r="J11692" i="6"/>
  <c r="F11693" i="6"/>
  <c r="G11693" i="6"/>
  <c r="H11693" i="6" s="1"/>
  <c r="I11693" i="6"/>
  <c r="J11693" i="6"/>
  <c r="F11694" i="6"/>
  <c r="G11694" i="6"/>
  <c r="H11694" i="6" s="1"/>
  <c r="I11694" i="6"/>
  <c r="J11694" i="6"/>
  <c r="F11695" i="6"/>
  <c r="G11695" i="6"/>
  <c r="H11695" i="6" s="1"/>
  <c r="I11695" i="6"/>
  <c r="J11695" i="6"/>
  <c r="F11696" i="6"/>
  <c r="G11696" i="6"/>
  <c r="H11696" i="6" s="1"/>
  <c r="I11696" i="6"/>
  <c r="J11696" i="6"/>
  <c r="F11697" i="6"/>
  <c r="G11697" i="6"/>
  <c r="H11697" i="6" s="1"/>
  <c r="I11697" i="6"/>
  <c r="J11697" i="6"/>
  <c r="F11698" i="6"/>
  <c r="G11698" i="6"/>
  <c r="H11698" i="6" s="1"/>
  <c r="I11698" i="6"/>
  <c r="J11698" i="6"/>
  <c r="F11699" i="6"/>
  <c r="G11699" i="6"/>
  <c r="H11699" i="6" s="1"/>
  <c r="I11699" i="6"/>
  <c r="J11699" i="6"/>
  <c r="F11700" i="6"/>
  <c r="G11700" i="6"/>
  <c r="H11700" i="6" s="1"/>
  <c r="I11700" i="6"/>
  <c r="J11700" i="6"/>
  <c r="F11701" i="6"/>
  <c r="G11701" i="6"/>
  <c r="H11701" i="6" s="1"/>
  <c r="I11701" i="6"/>
  <c r="J11701" i="6"/>
  <c r="F11702" i="6"/>
  <c r="G11702" i="6"/>
  <c r="H11702" i="6" s="1"/>
  <c r="I11702" i="6"/>
  <c r="J11702" i="6"/>
  <c r="F11703" i="6"/>
  <c r="G11703" i="6"/>
  <c r="H11703" i="6" s="1"/>
  <c r="I11703" i="6"/>
  <c r="J11703" i="6"/>
  <c r="F11704" i="6"/>
  <c r="G11704" i="6"/>
  <c r="H11704" i="6" s="1"/>
  <c r="I11704" i="6"/>
  <c r="J11704" i="6"/>
  <c r="F11705" i="6"/>
  <c r="G11705" i="6"/>
  <c r="H11705" i="6" s="1"/>
  <c r="I11705" i="6"/>
  <c r="J11705" i="6"/>
  <c r="F11706" i="6"/>
  <c r="G11706" i="6"/>
  <c r="H11706" i="6" s="1"/>
  <c r="I11706" i="6"/>
  <c r="J11706" i="6"/>
  <c r="F11707" i="6"/>
  <c r="G11707" i="6"/>
  <c r="H11707" i="6" s="1"/>
  <c r="I11707" i="6"/>
  <c r="J11707" i="6"/>
  <c r="F11708" i="6"/>
  <c r="G11708" i="6"/>
  <c r="H11708" i="6" s="1"/>
  <c r="I11708" i="6"/>
  <c r="J11708" i="6"/>
  <c r="F11709" i="6"/>
  <c r="G11709" i="6"/>
  <c r="H11709" i="6" s="1"/>
  <c r="I11709" i="6"/>
  <c r="J11709" i="6"/>
  <c r="F11710" i="6"/>
  <c r="G11710" i="6"/>
  <c r="H11710" i="6" s="1"/>
  <c r="I11710" i="6"/>
  <c r="J11710" i="6"/>
  <c r="F11711" i="6"/>
  <c r="G11711" i="6"/>
  <c r="H11711" i="6" s="1"/>
  <c r="I11711" i="6"/>
  <c r="J11711" i="6"/>
  <c r="F11712" i="6"/>
  <c r="G11712" i="6"/>
  <c r="H11712" i="6" s="1"/>
  <c r="I11712" i="6"/>
  <c r="J11712" i="6"/>
  <c r="F11713" i="6"/>
  <c r="G11713" i="6"/>
  <c r="H11713" i="6" s="1"/>
  <c r="I11713" i="6"/>
  <c r="J11713" i="6"/>
  <c r="F11714" i="6"/>
  <c r="G11714" i="6"/>
  <c r="H11714" i="6" s="1"/>
  <c r="I11714" i="6"/>
  <c r="J11714" i="6"/>
  <c r="F11715" i="6"/>
  <c r="G11715" i="6"/>
  <c r="H11715" i="6" s="1"/>
  <c r="I11715" i="6"/>
  <c r="J11715" i="6"/>
  <c r="F11716" i="6"/>
  <c r="G11716" i="6"/>
  <c r="H11716" i="6" s="1"/>
  <c r="I11716" i="6"/>
  <c r="J11716" i="6"/>
  <c r="F11717" i="6"/>
  <c r="G11717" i="6"/>
  <c r="H11717" i="6" s="1"/>
  <c r="I11717" i="6"/>
  <c r="J11717" i="6"/>
  <c r="F11718" i="6"/>
  <c r="G11718" i="6"/>
  <c r="H11718" i="6" s="1"/>
  <c r="I11718" i="6"/>
  <c r="J11718" i="6"/>
  <c r="F11719" i="6"/>
  <c r="G11719" i="6"/>
  <c r="H11719" i="6" s="1"/>
  <c r="I11719" i="6"/>
  <c r="J11719" i="6"/>
  <c r="F11720" i="6"/>
  <c r="G11720" i="6"/>
  <c r="H11720" i="6" s="1"/>
  <c r="I11720" i="6"/>
  <c r="J11720" i="6"/>
  <c r="F11721" i="6"/>
  <c r="G11721" i="6"/>
  <c r="H11721" i="6" s="1"/>
  <c r="I11721" i="6"/>
  <c r="J11721" i="6"/>
  <c r="F11722" i="6"/>
  <c r="G11722" i="6"/>
  <c r="H11722" i="6" s="1"/>
  <c r="I11722" i="6"/>
  <c r="J11722" i="6"/>
  <c r="F11723" i="6"/>
  <c r="G11723" i="6"/>
  <c r="H11723" i="6" s="1"/>
  <c r="I11723" i="6"/>
  <c r="J11723" i="6"/>
  <c r="F11724" i="6"/>
  <c r="G11724" i="6"/>
  <c r="H11724" i="6" s="1"/>
  <c r="I11724" i="6"/>
  <c r="J11724" i="6"/>
  <c r="F11725" i="6"/>
  <c r="G11725" i="6"/>
  <c r="H11725" i="6" s="1"/>
  <c r="I11725" i="6"/>
  <c r="J11725" i="6"/>
  <c r="F11726" i="6"/>
  <c r="G11726" i="6"/>
  <c r="H11726" i="6" s="1"/>
  <c r="I11726" i="6"/>
  <c r="J11726" i="6"/>
  <c r="F11727" i="6"/>
  <c r="G11727" i="6"/>
  <c r="H11727" i="6" s="1"/>
  <c r="I11727" i="6"/>
  <c r="J11727" i="6"/>
  <c r="F11728" i="6"/>
  <c r="G11728" i="6"/>
  <c r="H11728" i="6" s="1"/>
  <c r="I11728" i="6"/>
  <c r="J11728" i="6"/>
  <c r="F11729" i="6"/>
  <c r="G11729" i="6"/>
  <c r="H11729" i="6" s="1"/>
  <c r="I11729" i="6"/>
  <c r="J11729" i="6"/>
  <c r="F11730" i="6"/>
  <c r="G11730" i="6"/>
  <c r="H11730" i="6" s="1"/>
  <c r="I11730" i="6"/>
  <c r="J11730" i="6"/>
  <c r="F11731" i="6"/>
  <c r="G11731" i="6"/>
  <c r="H11731" i="6" s="1"/>
  <c r="I11731" i="6"/>
  <c r="J11731" i="6"/>
  <c r="F11732" i="6"/>
  <c r="G11732" i="6"/>
  <c r="H11732" i="6" s="1"/>
  <c r="I11732" i="6"/>
  <c r="J11732" i="6"/>
  <c r="F11733" i="6"/>
  <c r="G11733" i="6"/>
  <c r="H11733" i="6" s="1"/>
  <c r="I11733" i="6"/>
  <c r="J11733" i="6"/>
  <c r="F11734" i="6"/>
  <c r="G11734" i="6"/>
  <c r="H11734" i="6" s="1"/>
  <c r="I11734" i="6"/>
  <c r="J11734" i="6"/>
  <c r="F11735" i="6"/>
  <c r="G11735" i="6"/>
  <c r="H11735" i="6" s="1"/>
  <c r="I11735" i="6"/>
  <c r="J11735" i="6"/>
  <c r="F11736" i="6"/>
  <c r="G11736" i="6"/>
  <c r="H11736" i="6" s="1"/>
  <c r="I11736" i="6"/>
  <c r="J11736" i="6"/>
  <c r="F11737" i="6"/>
  <c r="G11737" i="6"/>
  <c r="H11737" i="6" s="1"/>
  <c r="I11737" i="6"/>
  <c r="J11737" i="6"/>
  <c r="F11738" i="6"/>
  <c r="G11738" i="6"/>
  <c r="H11738" i="6" s="1"/>
  <c r="I11738" i="6"/>
  <c r="J11738" i="6"/>
  <c r="F11739" i="6"/>
  <c r="G11739" i="6"/>
  <c r="H11739" i="6" s="1"/>
  <c r="I11739" i="6"/>
  <c r="J11739" i="6"/>
  <c r="F11740" i="6"/>
  <c r="G11740" i="6"/>
  <c r="H11740" i="6" s="1"/>
  <c r="I11740" i="6"/>
  <c r="J11740" i="6"/>
  <c r="F11741" i="6"/>
  <c r="G11741" i="6"/>
  <c r="H11741" i="6" s="1"/>
  <c r="I11741" i="6"/>
  <c r="J11741" i="6"/>
  <c r="F11742" i="6"/>
  <c r="G11742" i="6"/>
  <c r="H11742" i="6" s="1"/>
  <c r="I11742" i="6"/>
  <c r="J11742" i="6"/>
  <c r="F11743" i="6"/>
  <c r="G11743" i="6"/>
  <c r="H11743" i="6" s="1"/>
  <c r="I11743" i="6"/>
  <c r="J11743" i="6"/>
  <c r="F11744" i="6"/>
  <c r="G11744" i="6"/>
  <c r="H11744" i="6" s="1"/>
  <c r="I11744" i="6"/>
  <c r="J11744" i="6"/>
  <c r="F11745" i="6"/>
  <c r="G11745" i="6"/>
  <c r="H11745" i="6" s="1"/>
  <c r="I11745" i="6"/>
  <c r="J11745" i="6"/>
  <c r="F11746" i="6"/>
  <c r="G11746" i="6"/>
  <c r="H11746" i="6" s="1"/>
  <c r="I11746" i="6"/>
  <c r="J11746" i="6"/>
  <c r="F11747" i="6"/>
  <c r="G11747" i="6"/>
  <c r="H11747" i="6" s="1"/>
  <c r="I11747" i="6"/>
  <c r="J11747" i="6"/>
  <c r="F11748" i="6"/>
  <c r="G11748" i="6"/>
  <c r="H11748" i="6" s="1"/>
  <c r="I11748" i="6"/>
  <c r="J11748" i="6"/>
  <c r="F11749" i="6"/>
  <c r="G11749" i="6"/>
  <c r="H11749" i="6" s="1"/>
  <c r="I11749" i="6"/>
  <c r="J11749" i="6"/>
  <c r="F11750" i="6"/>
  <c r="G11750" i="6"/>
  <c r="H11750" i="6" s="1"/>
  <c r="I11750" i="6"/>
  <c r="J11750" i="6"/>
  <c r="F11751" i="6"/>
  <c r="G11751" i="6"/>
  <c r="H11751" i="6" s="1"/>
  <c r="I11751" i="6"/>
  <c r="J11751" i="6"/>
  <c r="F11752" i="6"/>
  <c r="G11752" i="6"/>
  <c r="H11752" i="6" s="1"/>
  <c r="I11752" i="6"/>
  <c r="J11752" i="6"/>
  <c r="F11753" i="6"/>
  <c r="G11753" i="6"/>
  <c r="H11753" i="6" s="1"/>
  <c r="I11753" i="6"/>
  <c r="J11753" i="6"/>
  <c r="F11754" i="6"/>
  <c r="G11754" i="6"/>
  <c r="H11754" i="6" s="1"/>
  <c r="I11754" i="6"/>
  <c r="J11754" i="6"/>
  <c r="F11755" i="6"/>
  <c r="G11755" i="6"/>
  <c r="H11755" i="6" s="1"/>
  <c r="I11755" i="6"/>
  <c r="J11755" i="6"/>
  <c r="F11756" i="6"/>
  <c r="G11756" i="6"/>
  <c r="H11756" i="6" s="1"/>
  <c r="I11756" i="6"/>
  <c r="J11756" i="6"/>
  <c r="F11757" i="6"/>
  <c r="G11757" i="6"/>
  <c r="H11757" i="6" s="1"/>
  <c r="I11757" i="6"/>
  <c r="J11757" i="6"/>
  <c r="F11758" i="6"/>
  <c r="G11758" i="6"/>
  <c r="H11758" i="6" s="1"/>
  <c r="I11758" i="6"/>
  <c r="J11758" i="6"/>
  <c r="F11759" i="6"/>
  <c r="G11759" i="6"/>
  <c r="H11759" i="6" s="1"/>
  <c r="I11759" i="6"/>
  <c r="J11759" i="6"/>
  <c r="F11760" i="6"/>
  <c r="G11760" i="6"/>
  <c r="H11760" i="6" s="1"/>
  <c r="I11760" i="6"/>
  <c r="J11760" i="6"/>
  <c r="F11761" i="6"/>
  <c r="G11761" i="6"/>
  <c r="H11761" i="6" s="1"/>
  <c r="I11761" i="6"/>
  <c r="J11761" i="6"/>
  <c r="F11762" i="6"/>
  <c r="G11762" i="6"/>
  <c r="H11762" i="6" s="1"/>
  <c r="I11762" i="6"/>
  <c r="J11762" i="6"/>
  <c r="F11763" i="6"/>
  <c r="G11763" i="6"/>
  <c r="H11763" i="6" s="1"/>
  <c r="I11763" i="6"/>
  <c r="J11763" i="6"/>
  <c r="F11764" i="6"/>
  <c r="G11764" i="6"/>
  <c r="H11764" i="6" s="1"/>
  <c r="I11764" i="6"/>
  <c r="J11764" i="6"/>
  <c r="F11765" i="6"/>
  <c r="G11765" i="6"/>
  <c r="H11765" i="6" s="1"/>
  <c r="I11765" i="6"/>
  <c r="J11765" i="6"/>
  <c r="F11766" i="6"/>
  <c r="G11766" i="6"/>
  <c r="H11766" i="6" s="1"/>
  <c r="I11766" i="6"/>
  <c r="J11766" i="6"/>
  <c r="F11767" i="6"/>
  <c r="G11767" i="6"/>
  <c r="H11767" i="6" s="1"/>
  <c r="I11767" i="6"/>
  <c r="J11767" i="6"/>
  <c r="F11768" i="6"/>
  <c r="G11768" i="6"/>
  <c r="H11768" i="6" s="1"/>
  <c r="I11768" i="6"/>
  <c r="J11768" i="6"/>
  <c r="F11769" i="6"/>
  <c r="G11769" i="6"/>
  <c r="H11769" i="6" s="1"/>
  <c r="I11769" i="6"/>
  <c r="J11769" i="6"/>
  <c r="F11770" i="6"/>
  <c r="G11770" i="6"/>
  <c r="H11770" i="6" s="1"/>
  <c r="I11770" i="6"/>
  <c r="J11770" i="6"/>
  <c r="F11771" i="6"/>
  <c r="G11771" i="6"/>
  <c r="H11771" i="6" s="1"/>
  <c r="I11771" i="6"/>
  <c r="J11771" i="6"/>
  <c r="F11772" i="6"/>
  <c r="G11772" i="6"/>
  <c r="H11772" i="6" s="1"/>
  <c r="I11772" i="6"/>
  <c r="J11772" i="6"/>
  <c r="F11773" i="6"/>
  <c r="G11773" i="6"/>
  <c r="H11773" i="6" s="1"/>
  <c r="I11773" i="6"/>
  <c r="J11773" i="6"/>
  <c r="F11774" i="6"/>
  <c r="G11774" i="6"/>
  <c r="H11774" i="6" s="1"/>
  <c r="I11774" i="6"/>
  <c r="J11774" i="6"/>
  <c r="F11775" i="6"/>
  <c r="G11775" i="6"/>
  <c r="H11775" i="6" s="1"/>
  <c r="I11775" i="6"/>
  <c r="J11775" i="6"/>
  <c r="F11776" i="6"/>
  <c r="G11776" i="6"/>
  <c r="H11776" i="6" s="1"/>
  <c r="I11776" i="6"/>
  <c r="J11776" i="6"/>
  <c r="F11777" i="6"/>
  <c r="G11777" i="6"/>
  <c r="H11777" i="6" s="1"/>
  <c r="I11777" i="6"/>
  <c r="J11777" i="6"/>
  <c r="F11778" i="6"/>
  <c r="G11778" i="6"/>
  <c r="H11778" i="6" s="1"/>
  <c r="I11778" i="6"/>
  <c r="J11778" i="6"/>
  <c r="F11779" i="6"/>
  <c r="G11779" i="6"/>
  <c r="H11779" i="6" s="1"/>
  <c r="I11779" i="6"/>
  <c r="J11779" i="6"/>
  <c r="F11780" i="6"/>
  <c r="G11780" i="6"/>
  <c r="H11780" i="6" s="1"/>
  <c r="I11780" i="6"/>
  <c r="J11780" i="6"/>
  <c r="F11781" i="6"/>
  <c r="G11781" i="6"/>
  <c r="H11781" i="6" s="1"/>
  <c r="I11781" i="6"/>
  <c r="J11781" i="6"/>
  <c r="F11782" i="6"/>
  <c r="G11782" i="6"/>
  <c r="H11782" i="6" s="1"/>
  <c r="I11782" i="6"/>
  <c r="J11782" i="6"/>
  <c r="F11783" i="6"/>
  <c r="G11783" i="6"/>
  <c r="H11783" i="6" s="1"/>
  <c r="I11783" i="6"/>
  <c r="J11783" i="6"/>
  <c r="F11784" i="6"/>
  <c r="G11784" i="6"/>
  <c r="H11784" i="6" s="1"/>
  <c r="I11784" i="6"/>
  <c r="J11784" i="6"/>
  <c r="F11785" i="6"/>
  <c r="G11785" i="6"/>
  <c r="H11785" i="6" s="1"/>
  <c r="I11785" i="6"/>
  <c r="J11785" i="6"/>
  <c r="F11786" i="6"/>
  <c r="G11786" i="6"/>
  <c r="H11786" i="6" s="1"/>
  <c r="I11786" i="6"/>
  <c r="J11786" i="6"/>
  <c r="F11787" i="6"/>
  <c r="G11787" i="6"/>
  <c r="H11787" i="6" s="1"/>
  <c r="I11787" i="6"/>
  <c r="J11787" i="6"/>
  <c r="F11788" i="6"/>
  <c r="G11788" i="6"/>
  <c r="H11788" i="6" s="1"/>
  <c r="I11788" i="6"/>
  <c r="J11788" i="6"/>
  <c r="F11789" i="6"/>
  <c r="G11789" i="6"/>
  <c r="H11789" i="6" s="1"/>
  <c r="I11789" i="6"/>
  <c r="J11789" i="6"/>
  <c r="F11790" i="6"/>
  <c r="G11790" i="6"/>
  <c r="H11790" i="6" s="1"/>
  <c r="I11790" i="6"/>
  <c r="J11790" i="6"/>
  <c r="F11791" i="6"/>
  <c r="G11791" i="6"/>
  <c r="H11791" i="6" s="1"/>
  <c r="I11791" i="6"/>
  <c r="J11791" i="6"/>
  <c r="F11792" i="6"/>
  <c r="G11792" i="6"/>
  <c r="H11792" i="6" s="1"/>
  <c r="I11792" i="6"/>
  <c r="J11792" i="6"/>
  <c r="F11793" i="6"/>
  <c r="G11793" i="6"/>
  <c r="H11793" i="6" s="1"/>
  <c r="I11793" i="6"/>
  <c r="J11793" i="6"/>
  <c r="F11794" i="6"/>
  <c r="G11794" i="6"/>
  <c r="H11794" i="6" s="1"/>
  <c r="I11794" i="6"/>
  <c r="J11794" i="6"/>
  <c r="F11795" i="6"/>
  <c r="G11795" i="6"/>
  <c r="H11795" i="6" s="1"/>
  <c r="I11795" i="6"/>
  <c r="J11795" i="6"/>
  <c r="F11796" i="6"/>
  <c r="G11796" i="6"/>
  <c r="H11796" i="6" s="1"/>
  <c r="I11796" i="6"/>
  <c r="J11796" i="6"/>
  <c r="F11797" i="6"/>
  <c r="G11797" i="6"/>
  <c r="H11797" i="6" s="1"/>
  <c r="I11797" i="6"/>
  <c r="J11797" i="6"/>
  <c r="F11798" i="6"/>
  <c r="G11798" i="6"/>
  <c r="H11798" i="6" s="1"/>
  <c r="I11798" i="6"/>
  <c r="J11798" i="6"/>
  <c r="F11799" i="6"/>
  <c r="G11799" i="6"/>
  <c r="H11799" i="6" s="1"/>
  <c r="I11799" i="6"/>
  <c r="J11799" i="6"/>
  <c r="F11800" i="6"/>
  <c r="G11800" i="6"/>
  <c r="H11800" i="6" s="1"/>
  <c r="I11800" i="6"/>
  <c r="J11800" i="6"/>
  <c r="F11801" i="6"/>
  <c r="G11801" i="6"/>
  <c r="H11801" i="6" s="1"/>
  <c r="I11801" i="6"/>
  <c r="J11801" i="6"/>
  <c r="F11802" i="6"/>
  <c r="G11802" i="6"/>
  <c r="H11802" i="6" s="1"/>
  <c r="I11802" i="6"/>
  <c r="J11802" i="6"/>
  <c r="F11803" i="6"/>
  <c r="G11803" i="6"/>
  <c r="H11803" i="6" s="1"/>
  <c r="I11803" i="6"/>
  <c r="J11803" i="6"/>
  <c r="F11804" i="6"/>
  <c r="G11804" i="6"/>
  <c r="H11804" i="6" s="1"/>
  <c r="I11804" i="6"/>
  <c r="J11804" i="6"/>
  <c r="F11805" i="6"/>
  <c r="G11805" i="6"/>
  <c r="H11805" i="6" s="1"/>
  <c r="I11805" i="6"/>
  <c r="J11805" i="6"/>
  <c r="F11806" i="6"/>
  <c r="G11806" i="6"/>
  <c r="H11806" i="6" s="1"/>
  <c r="I11806" i="6"/>
  <c r="J11806" i="6"/>
  <c r="F11807" i="6"/>
  <c r="G11807" i="6"/>
  <c r="H11807" i="6" s="1"/>
  <c r="I11807" i="6"/>
  <c r="J11807" i="6"/>
  <c r="F11808" i="6"/>
  <c r="G11808" i="6"/>
  <c r="H11808" i="6" s="1"/>
  <c r="I11808" i="6"/>
  <c r="J11808" i="6"/>
  <c r="F11809" i="6"/>
  <c r="G11809" i="6"/>
  <c r="H11809" i="6" s="1"/>
  <c r="I11809" i="6"/>
  <c r="J11809" i="6"/>
  <c r="F11810" i="6"/>
  <c r="G11810" i="6"/>
  <c r="H11810" i="6" s="1"/>
  <c r="I11810" i="6"/>
  <c r="J11810" i="6"/>
  <c r="F11811" i="6"/>
  <c r="G11811" i="6"/>
  <c r="H11811" i="6" s="1"/>
  <c r="I11811" i="6"/>
  <c r="J11811" i="6"/>
  <c r="F11812" i="6"/>
  <c r="G11812" i="6"/>
  <c r="H11812" i="6" s="1"/>
  <c r="I11812" i="6"/>
  <c r="J11812" i="6"/>
  <c r="F11813" i="6"/>
  <c r="G11813" i="6"/>
  <c r="H11813" i="6" s="1"/>
  <c r="I11813" i="6"/>
  <c r="J11813" i="6"/>
  <c r="F11814" i="6"/>
  <c r="G11814" i="6"/>
  <c r="H11814" i="6" s="1"/>
  <c r="I11814" i="6"/>
  <c r="J11814" i="6"/>
  <c r="F11815" i="6"/>
  <c r="G11815" i="6"/>
  <c r="H11815" i="6" s="1"/>
  <c r="I11815" i="6"/>
  <c r="J11815" i="6"/>
  <c r="F11816" i="6"/>
  <c r="G11816" i="6"/>
  <c r="H11816" i="6" s="1"/>
  <c r="I11816" i="6"/>
  <c r="J11816" i="6"/>
  <c r="F11817" i="6"/>
  <c r="G11817" i="6"/>
  <c r="H11817" i="6" s="1"/>
  <c r="I11817" i="6"/>
  <c r="J11817" i="6"/>
  <c r="F11818" i="6"/>
  <c r="G11818" i="6"/>
  <c r="H11818" i="6" s="1"/>
  <c r="I11818" i="6"/>
  <c r="J11818" i="6"/>
  <c r="F11819" i="6"/>
  <c r="G11819" i="6"/>
  <c r="H11819" i="6" s="1"/>
  <c r="I11819" i="6"/>
  <c r="J11819" i="6"/>
  <c r="F11820" i="6"/>
  <c r="G11820" i="6"/>
  <c r="H11820" i="6" s="1"/>
  <c r="I11820" i="6"/>
  <c r="J11820" i="6"/>
  <c r="F11821" i="6"/>
  <c r="G11821" i="6"/>
  <c r="H11821" i="6" s="1"/>
  <c r="I11821" i="6"/>
  <c r="J11821" i="6"/>
  <c r="F11822" i="6"/>
  <c r="G11822" i="6"/>
  <c r="H11822" i="6" s="1"/>
  <c r="I11822" i="6"/>
  <c r="J11822" i="6"/>
  <c r="F11823" i="6"/>
  <c r="G11823" i="6"/>
  <c r="H11823" i="6" s="1"/>
  <c r="I11823" i="6"/>
  <c r="J11823" i="6"/>
  <c r="F11824" i="6"/>
  <c r="G11824" i="6"/>
  <c r="H11824" i="6" s="1"/>
  <c r="I11824" i="6"/>
  <c r="J11824" i="6"/>
  <c r="F11825" i="6"/>
  <c r="G11825" i="6"/>
  <c r="H11825" i="6" s="1"/>
  <c r="I11825" i="6"/>
  <c r="J11825" i="6"/>
  <c r="F11826" i="6"/>
  <c r="G11826" i="6"/>
  <c r="H11826" i="6" s="1"/>
  <c r="I11826" i="6"/>
  <c r="J11826" i="6"/>
  <c r="F11827" i="6"/>
  <c r="G11827" i="6"/>
  <c r="H11827" i="6" s="1"/>
  <c r="I11827" i="6"/>
  <c r="J11827" i="6"/>
  <c r="F11828" i="6"/>
  <c r="G11828" i="6"/>
  <c r="H11828" i="6" s="1"/>
  <c r="I11828" i="6"/>
  <c r="J11828" i="6"/>
  <c r="F11829" i="6"/>
  <c r="G11829" i="6"/>
  <c r="H11829" i="6" s="1"/>
  <c r="I11829" i="6"/>
  <c r="J11829" i="6"/>
  <c r="F11830" i="6"/>
  <c r="G11830" i="6"/>
  <c r="H11830" i="6" s="1"/>
  <c r="I11830" i="6"/>
  <c r="J11830" i="6"/>
  <c r="F11831" i="6"/>
  <c r="G11831" i="6"/>
  <c r="H11831" i="6" s="1"/>
  <c r="I11831" i="6"/>
  <c r="J11831" i="6"/>
  <c r="F11832" i="6"/>
  <c r="G11832" i="6"/>
  <c r="H11832" i="6" s="1"/>
  <c r="I11832" i="6"/>
  <c r="J11832" i="6"/>
  <c r="F11833" i="6"/>
  <c r="G11833" i="6"/>
  <c r="H11833" i="6" s="1"/>
  <c r="I11833" i="6"/>
  <c r="J11833" i="6"/>
  <c r="F11834" i="6"/>
  <c r="G11834" i="6"/>
  <c r="H11834" i="6" s="1"/>
  <c r="I11834" i="6"/>
  <c r="J11834" i="6"/>
  <c r="F11835" i="6"/>
  <c r="G11835" i="6"/>
  <c r="H11835" i="6" s="1"/>
  <c r="I11835" i="6"/>
  <c r="J11835" i="6"/>
  <c r="F11836" i="6"/>
  <c r="G11836" i="6"/>
  <c r="H11836" i="6" s="1"/>
  <c r="I11836" i="6"/>
  <c r="J11836" i="6"/>
  <c r="F11837" i="6"/>
  <c r="G11837" i="6"/>
  <c r="H11837" i="6" s="1"/>
  <c r="I11837" i="6"/>
  <c r="J11837" i="6"/>
  <c r="F11838" i="6"/>
  <c r="G11838" i="6"/>
  <c r="H11838" i="6" s="1"/>
  <c r="I11838" i="6"/>
  <c r="J11838" i="6"/>
  <c r="F11839" i="6"/>
  <c r="G11839" i="6"/>
  <c r="H11839" i="6" s="1"/>
  <c r="I11839" i="6"/>
  <c r="J11839" i="6"/>
  <c r="F11840" i="6"/>
  <c r="G11840" i="6"/>
  <c r="H11840" i="6" s="1"/>
  <c r="I11840" i="6"/>
  <c r="J11840" i="6"/>
  <c r="F11841" i="6"/>
  <c r="G11841" i="6"/>
  <c r="H11841" i="6" s="1"/>
  <c r="I11841" i="6"/>
  <c r="J11841" i="6"/>
  <c r="F11842" i="6"/>
  <c r="G11842" i="6"/>
  <c r="H11842" i="6" s="1"/>
  <c r="I11842" i="6"/>
  <c r="J11842" i="6"/>
  <c r="F11843" i="6"/>
  <c r="G11843" i="6"/>
  <c r="H11843" i="6" s="1"/>
  <c r="I11843" i="6"/>
  <c r="J11843" i="6"/>
  <c r="F11844" i="6"/>
  <c r="G11844" i="6"/>
  <c r="H11844" i="6" s="1"/>
  <c r="I11844" i="6"/>
  <c r="J11844" i="6"/>
  <c r="F11845" i="6"/>
  <c r="G11845" i="6"/>
  <c r="H11845" i="6" s="1"/>
  <c r="I11845" i="6"/>
  <c r="J11845" i="6"/>
  <c r="F11846" i="6"/>
  <c r="G11846" i="6"/>
  <c r="H11846" i="6" s="1"/>
  <c r="I11846" i="6"/>
  <c r="J11846" i="6"/>
  <c r="F11847" i="6"/>
  <c r="G11847" i="6"/>
  <c r="H11847" i="6" s="1"/>
  <c r="I11847" i="6"/>
  <c r="J11847" i="6"/>
  <c r="F11848" i="6"/>
  <c r="G11848" i="6"/>
  <c r="H11848" i="6" s="1"/>
  <c r="I11848" i="6"/>
  <c r="J11848" i="6"/>
  <c r="F11849" i="6"/>
  <c r="G11849" i="6"/>
  <c r="H11849" i="6" s="1"/>
  <c r="I11849" i="6"/>
  <c r="J11849" i="6"/>
  <c r="F11850" i="6"/>
  <c r="G11850" i="6"/>
  <c r="H11850" i="6" s="1"/>
  <c r="I11850" i="6"/>
  <c r="J11850" i="6"/>
  <c r="F11851" i="6"/>
  <c r="G11851" i="6"/>
  <c r="H11851" i="6" s="1"/>
  <c r="I11851" i="6"/>
  <c r="J11851" i="6"/>
  <c r="F11852" i="6"/>
  <c r="G11852" i="6"/>
  <c r="H11852" i="6" s="1"/>
  <c r="I11852" i="6"/>
  <c r="J11852" i="6"/>
  <c r="F11853" i="6"/>
  <c r="G11853" i="6"/>
  <c r="H11853" i="6" s="1"/>
  <c r="I11853" i="6"/>
  <c r="J11853" i="6"/>
  <c r="F11854" i="6"/>
  <c r="G11854" i="6"/>
  <c r="H11854" i="6" s="1"/>
  <c r="I11854" i="6"/>
  <c r="J11854" i="6"/>
  <c r="F11855" i="6"/>
  <c r="G11855" i="6"/>
  <c r="H11855" i="6" s="1"/>
  <c r="I11855" i="6"/>
  <c r="J11855" i="6"/>
  <c r="F11856" i="6"/>
  <c r="G11856" i="6"/>
  <c r="H11856" i="6" s="1"/>
  <c r="I11856" i="6"/>
  <c r="J11856" i="6"/>
  <c r="F11857" i="6"/>
  <c r="G11857" i="6"/>
  <c r="H11857" i="6" s="1"/>
  <c r="I11857" i="6"/>
  <c r="J11857" i="6"/>
  <c r="F11858" i="6"/>
  <c r="G11858" i="6"/>
  <c r="H11858" i="6" s="1"/>
  <c r="I11858" i="6"/>
  <c r="J11858" i="6"/>
  <c r="F11859" i="6"/>
  <c r="G11859" i="6"/>
  <c r="H11859" i="6" s="1"/>
  <c r="I11859" i="6"/>
  <c r="J11859" i="6"/>
  <c r="F11860" i="6"/>
  <c r="G11860" i="6"/>
  <c r="H11860" i="6" s="1"/>
  <c r="I11860" i="6"/>
  <c r="J11860" i="6"/>
  <c r="F11861" i="6"/>
  <c r="G11861" i="6"/>
  <c r="H11861" i="6" s="1"/>
  <c r="I11861" i="6"/>
  <c r="J11861" i="6"/>
  <c r="F11862" i="6"/>
  <c r="G11862" i="6"/>
  <c r="H11862" i="6" s="1"/>
  <c r="I11862" i="6"/>
  <c r="J11862" i="6"/>
  <c r="F11863" i="6"/>
  <c r="G11863" i="6"/>
  <c r="H11863" i="6" s="1"/>
  <c r="I11863" i="6"/>
  <c r="J11863" i="6"/>
  <c r="F11864" i="6"/>
  <c r="G11864" i="6"/>
  <c r="H11864" i="6" s="1"/>
  <c r="I11864" i="6"/>
  <c r="J11864" i="6"/>
  <c r="F11865" i="6"/>
  <c r="G11865" i="6"/>
  <c r="H11865" i="6" s="1"/>
  <c r="I11865" i="6"/>
  <c r="J11865" i="6"/>
  <c r="F11866" i="6"/>
  <c r="G11866" i="6"/>
  <c r="H11866" i="6" s="1"/>
  <c r="I11866" i="6"/>
  <c r="J11866" i="6"/>
  <c r="F11867" i="6"/>
  <c r="G11867" i="6"/>
  <c r="H11867" i="6" s="1"/>
  <c r="I11867" i="6"/>
  <c r="J11867" i="6"/>
  <c r="F11868" i="6"/>
  <c r="G11868" i="6"/>
  <c r="H11868" i="6" s="1"/>
  <c r="I11868" i="6"/>
  <c r="J11868" i="6"/>
  <c r="F11869" i="6"/>
  <c r="G11869" i="6"/>
  <c r="H11869" i="6" s="1"/>
  <c r="I11869" i="6"/>
  <c r="J11869" i="6"/>
  <c r="F11870" i="6"/>
  <c r="G11870" i="6"/>
  <c r="H11870" i="6" s="1"/>
  <c r="I11870" i="6"/>
  <c r="J11870" i="6"/>
  <c r="F11871" i="6"/>
  <c r="G11871" i="6"/>
  <c r="H11871" i="6" s="1"/>
  <c r="I11871" i="6"/>
  <c r="J11871" i="6"/>
  <c r="F11872" i="6"/>
  <c r="G11872" i="6"/>
  <c r="H11872" i="6" s="1"/>
  <c r="I11872" i="6"/>
  <c r="J11872" i="6"/>
  <c r="F11873" i="6"/>
  <c r="G11873" i="6"/>
  <c r="H11873" i="6" s="1"/>
  <c r="I11873" i="6"/>
  <c r="J11873" i="6"/>
  <c r="F11874" i="6"/>
  <c r="G11874" i="6"/>
  <c r="H11874" i="6" s="1"/>
  <c r="I11874" i="6"/>
  <c r="J11874" i="6"/>
  <c r="F11875" i="6"/>
  <c r="G11875" i="6"/>
  <c r="H11875" i="6" s="1"/>
  <c r="I11875" i="6"/>
  <c r="J11875" i="6"/>
  <c r="F11876" i="6"/>
  <c r="G11876" i="6"/>
  <c r="H11876" i="6" s="1"/>
  <c r="I11876" i="6"/>
  <c r="J11876" i="6"/>
  <c r="F11877" i="6"/>
  <c r="G11877" i="6"/>
  <c r="H11877" i="6" s="1"/>
  <c r="I11877" i="6"/>
  <c r="J11877" i="6"/>
  <c r="F11878" i="6"/>
  <c r="G11878" i="6"/>
  <c r="H11878" i="6" s="1"/>
  <c r="I11878" i="6"/>
  <c r="J11878" i="6"/>
  <c r="F11879" i="6"/>
  <c r="G11879" i="6"/>
  <c r="H11879" i="6" s="1"/>
  <c r="I11879" i="6"/>
  <c r="J11879" i="6"/>
  <c r="F11880" i="6"/>
  <c r="G11880" i="6"/>
  <c r="H11880" i="6" s="1"/>
  <c r="I11880" i="6"/>
  <c r="J11880" i="6"/>
  <c r="F11881" i="6"/>
  <c r="G11881" i="6"/>
  <c r="H11881" i="6" s="1"/>
  <c r="I11881" i="6"/>
  <c r="J11881" i="6"/>
  <c r="F11882" i="6"/>
  <c r="G11882" i="6"/>
  <c r="H11882" i="6" s="1"/>
  <c r="I11882" i="6"/>
  <c r="J11882" i="6"/>
  <c r="F11883" i="6"/>
  <c r="G11883" i="6"/>
  <c r="H11883" i="6" s="1"/>
  <c r="I11883" i="6"/>
  <c r="J11883" i="6"/>
  <c r="F11884" i="6"/>
  <c r="G11884" i="6"/>
  <c r="H11884" i="6" s="1"/>
  <c r="I11884" i="6"/>
  <c r="J11884" i="6"/>
  <c r="F11885" i="6"/>
  <c r="G11885" i="6"/>
  <c r="H11885" i="6" s="1"/>
  <c r="I11885" i="6"/>
  <c r="J11885" i="6"/>
  <c r="F11886" i="6"/>
  <c r="G11886" i="6"/>
  <c r="H11886" i="6" s="1"/>
  <c r="I11886" i="6"/>
  <c r="J11886" i="6"/>
  <c r="F11887" i="6"/>
  <c r="G11887" i="6"/>
  <c r="H11887" i="6" s="1"/>
  <c r="I11887" i="6"/>
  <c r="J11887" i="6"/>
  <c r="F11888" i="6"/>
  <c r="G11888" i="6"/>
  <c r="H11888" i="6" s="1"/>
  <c r="I11888" i="6"/>
  <c r="J11888" i="6"/>
  <c r="F11889" i="6"/>
  <c r="G11889" i="6"/>
  <c r="H11889" i="6" s="1"/>
  <c r="I11889" i="6"/>
  <c r="J11889" i="6"/>
  <c r="F11890" i="6"/>
  <c r="G11890" i="6"/>
  <c r="H11890" i="6" s="1"/>
  <c r="I11890" i="6"/>
  <c r="J11890" i="6"/>
  <c r="F11891" i="6"/>
  <c r="G11891" i="6"/>
  <c r="H11891" i="6" s="1"/>
  <c r="I11891" i="6"/>
  <c r="J11891" i="6"/>
  <c r="F11892" i="6"/>
  <c r="G11892" i="6"/>
  <c r="H11892" i="6" s="1"/>
  <c r="I11892" i="6"/>
  <c r="J11892" i="6"/>
  <c r="F11893" i="6"/>
  <c r="G11893" i="6"/>
  <c r="H11893" i="6" s="1"/>
  <c r="I11893" i="6"/>
  <c r="J11893" i="6"/>
  <c r="F11894" i="6"/>
  <c r="G11894" i="6"/>
  <c r="H11894" i="6" s="1"/>
  <c r="I11894" i="6"/>
  <c r="J11894" i="6"/>
  <c r="F11895" i="6"/>
  <c r="G11895" i="6"/>
  <c r="H11895" i="6" s="1"/>
  <c r="I11895" i="6"/>
  <c r="J11895" i="6"/>
  <c r="F11896" i="6"/>
  <c r="G11896" i="6"/>
  <c r="H11896" i="6" s="1"/>
  <c r="I11896" i="6"/>
  <c r="J11896" i="6"/>
  <c r="F11897" i="6"/>
  <c r="G11897" i="6"/>
  <c r="H11897" i="6" s="1"/>
  <c r="I11897" i="6"/>
  <c r="J11897" i="6"/>
  <c r="F11898" i="6"/>
  <c r="G11898" i="6"/>
  <c r="H11898" i="6" s="1"/>
  <c r="I11898" i="6"/>
  <c r="J11898" i="6"/>
  <c r="F11899" i="6"/>
  <c r="G11899" i="6"/>
  <c r="H11899" i="6" s="1"/>
  <c r="I11899" i="6"/>
  <c r="J11899" i="6"/>
  <c r="F11900" i="6"/>
  <c r="G11900" i="6"/>
  <c r="H11900" i="6" s="1"/>
  <c r="I11900" i="6"/>
  <c r="J11900" i="6"/>
  <c r="F11901" i="6"/>
  <c r="G11901" i="6"/>
  <c r="H11901" i="6" s="1"/>
  <c r="I11901" i="6"/>
  <c r="J11901" i="6"/>
  <c r="F11902" i="6"/>
  <c r="G11902" i="6"/>
  <c r="H11902" i="6" s="1"/>
  <c r="I11902" i="6"/>
  <c r="J11902" i="6"/>
  <c r="F11903" i="6"/>
  <c r="G11903" i="6"/>
  <c r="H11903" i="6" s="1"/>
  <c r="I11903" i="6"/>
  <c r="J11903" i="6"/>
  <c r="F11904" i="6"/>
  <c r="G11904" i="6"/>
  <c r="H11904" i="6" s="1"/>
  <c r="I11904" i="6"/>
  <c r="J11904" i="6"/>
  <c r="F11905" i="6"/>
  <c r="G11905" i="6"/>
  <c r="H11905" i="6" s="1"/>
  <c r="I11905" i="6"/>
  <c r="J11905" i="6"/>
  <c r="F11906" i="6"/>
  <c r="G11906" i="6"/>
  <c r="H11906" i="6" s="1"/>
  <c r="I11906" i="6"/>
  <c r="J11906" i="6"/>
  <c r="F11907" i="6"/>
  <c r="G11907" i="6"/>
  <c r="H11907" i="6" s="1"/>
  <c r="I11907" i="6"/>
  <c r="J11907" i="6"/>
  <c r="F11908" i="6"/>
  <c r="G11908" i="6"/>
  <c r="H11908" i="6" s="1"/>
  <c r="I11908" i="6"/>
  <c r="J11908" i="6"/>
  <c r="F11909" i="6"/>
  <c r="G11909" i="6"/>
  <c r="H11909" i="6" s="1"/>
  <c r="I11909" i="6"/>
  <c r="J11909" i="6"/>
  <c r="F11910" i="6"/>
  <c r="G11910" i="6"/>
  <c r="H11910" i="6" s="1"/>
  <c r="I11910" i="6"/>
  <c r="J11910" i="6"/>
  <c r="F11911" i="6"/>
  <c r="G11911" i="6"/>
  <c r="H11911" i="6" s="1"/>
  <c r="I11911" i="6"/>
  <c r="J11911" i="6"/>
  <c r="F11912" i="6"/>
  <c r="G11912" i="6"/>
  <c r="H11912" i="6" s="1"/>
  <c r="I11912" i="6"/>
  <c r="J11912" i="6"/>
  <c r="F11913" i="6"/>
  <c r="G11913" i="6"/>
  <c r="H11913" i="6" s="1"/>
  <c r="I11913" i="6"/>
  <c r="J11913" i="6"/>
  <c r="F11914" i="6"/>
  <c r="G11914" i="6"/>
  <c r="H11914" i="6" s="1"/>
  <c r="I11914" i="6"/>
  <c r="J11914" i="6"/>
  <c r="F11915" i="6"/>
  <c r="G11915" i="6"/>
  <c r="H11915" i="6" s="1"/>
  <c r="I11915" i="6"/>
  <c r="J11915" i="6"/>
  <c r="F11916" i="6"/>
  <c r="G11916" i="6"/>
  <c r="H11916" i="6" s="1"/>
  <c r="I11916" i="6"/>
  <c r="J11916" i="6"/>
  <c r="F11917" i="6"/>
  <c r="G11917" i="6"/>
  <c r="H11917" i="6" s="1"/>
  <c r="I11917" i="6"/>
  <c r="J11917" i="6"/>
  <c r="F11918" i="6"/>
  <c r="G11918" i="6"/>
  <c r="H11918" i="6" s="1"/>
  <c r="I11918" i="6"/>
  <c r="J11918" i="6"/>
  <c r="F11919" i="6"/>
  <c r="G11919" i="6"/>
  <c r="H11919" i="6" s="1"/>
  <c r="I11919" i="6"/>
  <c r="J11919" i="6"/>
  <c r="F11920" i="6"/>
  <c r="G11920" i="6"/>
  <c r="H11920" i="6" s="1"/>
  <c r="I11920" i="6"/>
  <c r="J11920" i="6"/>
  <c r="F11921" i="6"/>
  <c r="G11921" i="6"/>
  <c r="H11921" i="6" s="1"/>
  <c r="I11921" i="6"/>
  <c r="J11921" i="6"/>
  <c r="F11922" i="6"/>
  <c r="G11922" i="6"/>
  <c r="H11922" i="6" s="1"/>
  <c r="I11922" i="6"/>
  <c r="J11922" i="6"/>
  <c r="F11923" i="6"/>
  <c r="G11923" i="6"/>
  <c r="H11923" i="6" s="1"/>
  <c r="I11923" i="6"/>
  <c r="J11923" i="6"/>
  <c r="F11924" i="6"/>
  <c r="G11924" i="6"/>
  <c r="H11924" i="6" s="1"/>
  <c r="I11924" i="6"/>
  <c r="J11924" i="6"/>
  <c r="F11925" i="6"/>
  <c r="G11925" i="6"/>
  <c r="H11925" i="6" s="1"/>
  <c r="I11925" i="6"/>
  <c r="J11925" i="6"/>
  <c r="F11926" i="6"/>
  <c r="G11926" i="6"/>
  <c r="H11926" i="6" s="1"/>
  <c r="I11926" i="6"/>
  <c r="J11926" i="6"/>
  <c r="F11927" i="6"/>
  <c r="G11927" i="6"/>
  <c r="H11927" i="6" s="1"/>
  <c r="I11927" i="6"/>
  <c r="J11927" i="6"/>
  <c r="F11928" i="6"/>
  <c r="G11928" i="6"/>
  <c r="H11928" i="6" s="1"/>
  <c r="I11928" i="6"/>
  <c r="J11928" i="6"/>
  <c r="F11929" i="6"/>
  <c r="G11929" i="6"/>
  <c r="H11929" i="6" s="1"/>
  <c r="I11929" i="6"/>
  <c r="J11929" i="6"/>
  <c r="F11930" i="6"/>
  <c r="G11930" i="6"/>
  <c r="H11930" i="6" s="1"/>
  <c r="I11930" i="6"/>
  <c r="J11930" i="6"/>
  <c r="F11931" i="6"/>
  <c r="G11931" i="6"/>
  <c r="H11931" i="6" s="1"/>
  <c r="I11931" i="6"/>
  <c r="J11931" i="6"/>
  <c r="F11932" i="6"/>
  <c r="G11932" i="6"/>
  <c r="H11932" i="6" s="1"/>
  <c r="I11932" i="6"/>
  <c r="J11932" i="6"/>
  <c r="F11933" i="6"/>
  <c r="G11933" i="6"/>
  <c r="H11933" i="6" s="1"/>
  <c r="I11933" i="6"/>
  <c r="J11933" i="6"/>
  <c r="F11934" i="6"/>
  <c r="G11934" i="6"/>
  <c r="H11934" i="6" s="1"/>
  <c r="I11934" i="6"/>
  <c r="J11934" i="6"/>
  <c r="F11935" i="6"/>
  <c r="G11935" i="6"/>
  <c r="H11935" i="6" s="1"/>
  <c r="I11935" i="6"/>
  <c r="J11935" i="6"/>
  <c r="F11936" i="6"/>
  <c r="G11936" i="6"/>
  <c r="H11936" i="6" s="1"/>
  <c r="I11936" i="6"/>
  <c r="J11936" i="6"/>
  <c r="F11937" i="6"/>
  <c r="G11937" i="6"/>
  <c r="H11937" i="6" s="1"/>
  <c r="I11937" i="6"/>
  <c r="J11937" i="6"/>
  <c r="F11938" i="6"/>
  <c r="G11938" i="6"/>
  <c r="H11938" i="6" s="1"/>
  <c r="I11938" i="6"/>
  <c r="J11938" i="6"/>
  <c r="F11939" i="6"/>
  <c r="G11939" i="6"/>
  <c r="H11939" i="6" s="1"/>
  <c r="I11939" i="6"/>
  <c r="J11939" i="6"/>
  <c r="F11940" i="6"/>
  <c r="G11940" i="6"/>
  <c r="H11940" i="6" s="1"/>
  <c r="I11940" i="6"/>
  <c r="J11940" i="6"/>
  <c r="F11941" i="6"/>
  <c r="G11941" i="6"/>
  <c r="H11941" i="6" s="1"/>
  <c r="I11941" i="6"/>
  <c r="J11941" i="6"/>
  <c r="F11942" i="6"/>
  <c r="G11942" i="6"/>
  <c r="H11942" i="6" s="1"/>
  <c r="I11942" i="6"/>
  <c r="J11942" i="6"/>
  <c r="F11943" i="6"/>
  <c r="G11943" i="6"/>
  <c r="H11943" i="6" s="1"/>
  <c r="I11943" i="6"/>
  <c r="J11943" i="6"/>
  <c r="F11944" i="6"/>
  <c r="G11944" i="6"/>
  <c r="H11944" i="6" s="1"/>
  <c r="I11944" i="6"/>
  <c r="J11944" i="6"/>
  <c r="F11945" i="6"/>
  <c r="G11945" i="6"/>
  <c r="H11945" i="6" s="1"/>
  <c r="I11945" i="6"/>
  <c r="J11945" i="6"/>
  <c r="F11946" i="6"/>
  <c r="G11946" i="6"/>
  <c r="H11946" i="6" s="1"/>
  <c r="I11946" i="6"/>
  <c r="J11946" i="6"/>
  <c r="F11947" i="6"/>
  <c r="G11947" i="6"/>
  <c r="H11947" i="6" s="1"/>
  <c r="I11947" i="6"/>
  <c r="J11947" i="6"/>
  <c r="F11948" i="6"/>
  <c r="G11948" i="6"/>
  <c r="H11948" i="6" s="1"/>
  <c r="I11948" i="6"/>
  <c r="J11948" i="6"/>
  <c r="F11949" i="6"/>
  <c r="G11949" i="6"/>
  <c r="H11949" i="6" s="1"/>
  <c r="I11949" i="6"/>
  <c r="J11949" i="6"/>
  <c r="F11950" i="6"/>
  <c r="G11950" i="6"/>
  <c r="H11950" i="6" s="1"/>
  <c r="I11950" i="6"/>
  <c r="J11950" i="6"/>
  <c r="F11951" i="6"/>
  <c r="G11951" i="6"/>
  <c r="H11951" i="6" s="1"/>
  <c r="I11951" i="6"/>
  <c r="J11951" i="6"/>
  <c r="F11952" i="6"/>
  <c r="G11952" i="6"/>
  <c r="H11952" i="6" s="1"/>
  <c r="I11952" i="6"/>
  <c r="J11952" i="6"/>
  <c r="F11953" i="6"/>
  <c r="G11953" i="6"/>
  <c r="H11953" i="6" s="1"/>
  <c r="I11953" i="6"/>
  <c r="J11953" i="6"/>
  <c r="F11954" i="6"/>
  <c r="G11954" i="6"/>
  <c r="H11954" i="6" s="1"/>
  <c r="I11954" i="6"/>
  <c r="J11954" i="6"/>
  <c r="F11955" i="6"/>
  <c r="G11955" i="6"/>
  <c r="H11955" i="6" s="1"/>
  <c r="I11955" i="6"/>
  <c r="J11955" i="6"/>
  <c r="F11956" i="6"/>
  <c r="G11956" i="6"/>
  <c r="H11956" i="6" s="1"/>
  <c r="I11956" i="6"/>
  <c r="J11956" i="6"/>
  <c r="F11957" i="6"/>
  <c r="G11957" i="6"/>
  <c r="H11957" i="6" s="1"/>
  <c r="I11957" i="6"/>
  <c r="J11957" i="6"/>
  <c r="F11958" i="6"/>
  <c r="G11958" i="6"/>
  <c r="H11958" i="6" s="1"/>
  <c r="I11958" i="6"/>
  <c r="J11958" i="6"/>
  <c r="F11959" i="6"/>
  <c r="G11959" i="6"/>
  <c r="H11959" i="6" s="1"/>
  <c r="I11959" i="6"/>
  <c r="J11959" i="6"/>
  <c r="F11960" i="6"/>
  <c r="G11960" i="6"/>
  <c r="H11960" i="6" s="1"/>
  <c r="I11960" i="6"/>
  <c r="J11960" i="6"/>
  <c r="F11961" i="6"/>
  <c r="G11961" i="6"/>
  <c r="H11961" i="6" s="1"/>
  <c r="I11961" i="6"/>
  <c r="J11961" i="6"/>
  <c r="F11962" i="6"/>
  <c r="G11962" i="6"/>
  <c r="H11962" i="6" s="1"/>
  <c r="I11962" i="6"/>
  <c r="J11962" i="6"/>
  <c r="F11963" i="6"/>
  <c r="G11963" i="6"/>
  <c r="H11963" i="6" s="1"/>
  <c r="I11963" i="6"/>
  <c r="J11963" i="6"/>
  <c r="F11964" i="6"/>
  <c r="G11964" i="6"/>
  <c r="H11964" i="6" s="1"/>
  <c r="I11964" i="6"/>
  <c r="J11964" i="6"/>
  <c r="F11965" i="6"/>
  <c r="G11965" i="6"/>
  <c r="H11965" i="6" s="1"/>
  <c r="I11965" i="6"/>
  <c r="J11965" i="6"/>
  <c r="F11966" i="6"/>
  <c r="G11966" i="6"/>
  <c r="H11966" i="6" s="1"/>
  <c r="I11966" i="6"/>
  <c r="J11966" i="6"/>
  <c r="F11967" i="6"/>
  <c r="G11967" i="6"/>
  <c r="H11967" i="6" s="1"/>
  <c r="I11967" i="6"/>
  <c r="J11967" i="6"/>
  <c r="F11968" i="6"/>
  <c r="G11968" i="6"/>
  <c r="H11968" i="6" s="1"/>
  <c r="I11968" i="6"/>
  <c r="J11968" i="6"/>
  <c r="F11969" i="6"/>
  <c r="G11969" i="6"/>
  <c r="H11969" i="6" s="1"/>
  <c r="I11969" i="6"/>
  <c r="J11969" i="6"/>
  <c r="F11970" i="6"/>
  <c r="G11970" i="6"/>
  <c r="H11970" i="6" s="1"/>
  <c r="I11970" i="6"/>
  <c r="J11970" i="6"/>
  <c r="F11971" i="6"/>
  <c r="G11971" i="6"/>
  <c r="H11971" i="6" s="1"/>
  <c r="I11971" i="6"/>
  <c r="J11971" i="6"/>
  <c r="F11972" i="6"/>
  <c r="G11972" i="6"/>
  <c r="H11972" i="6" s="1"/>
  <c r="I11972" i="6"/>
  <c r="J11972" i="6"/>
  <c r="F11973" i="6"/>
  <c r="G11973" i="6"/>
  <c r="H11973" i="6" s="1"/>
  <c r="I11973" i="6"/>
  <c r="J11973" i="6"/>
  <c r="F11974" i="6"/>
  <c r="G11974" i="6"/>
  <c r="H11974" i="6" s="1"/>
  <c r="I11974" i="6"/>
  <c r="J11974" i="6"/>
  <c r="F11975" i="6"/>
  <c r="G11975" i="6"/>
  <c r="H11975" i="6" s="1"/>
  <c r="I11975" i="6"/>
  <c r="J11975" i="6"/>
  <c r="F11976" i="6"/>
  <c r="G11976" i="6"/>
  <c r="H11976" i="6" s="1"/>
  <c r="I11976" i="6"/>
  <c r="J11976" i="6"/>
  <c r="F11977" i="6"/>
  <c r="G11977" i="6"/>
  <c r="H11977" i="6" s="1"/>
  <c r="I11977" i="6"/>
  <c r="J11977" i="6"/>
  <c r="F11978" i="6"/>
  <c r="G11978" i="6"/>
  <c r="H11978" i="6" s="1"/>
  <c r="I11978" i="6"/>
  <c r="J11978" i="6"/>
  <c r="F11979" i="6"/>
  <c r="G11979" i="6"/>
  <c r="H11979" i="6" s="1"/>
  <c r="I11979" i="6"/>
  <c r="J11979" i="6"/>
  <c r="F11980" i="6"/>
  <c r="G11980" i="6"/>
  <c r="H11980" i="6" s="1"/>
  <c r="I11980" i="6"/>
  <c r="J11980" i="6"/>
  <c r="F11981" i="6"/>
  <c r="G11981" i="6"/>
  <c r="H11981" i="6" s="1"/>
  <c r="I11981" i="6"/>
  <c r="J11981" i="6"/>
  <c r="F11982" i="6"/>
  <c r="G11982" i="6"/>
  <c r="H11982" i="6" s="1"/>
  <c r="I11982" i="6"/>
  <c r="J11982" i="6"/>
  <c r="F11983" i="6"/>
  <c r="G11983" i="6"/>
  <c r="H11983" i="6" s="1"/>
  <c r="I11983" i="6"/>
  <c r="J11983" i="6"/>
  <c r="F11984" i="6"/>
  <c r="G11984" i="6"/>
  <c r="H11984" i="6" s="1"/>
  <c r="I11984" i="6"/>
  <c r="J11984" i="6"/>
  <c r="F11985" i="6"/>
  <c r="G11985" i="6"/>
  <c r="H11985" i="6" s="1"/>
  <c r="I11985" i="6"/>
  <c r="J11985" i="6"/>
  <c r="F11986" i="6"/>
  <c r="G11986" i="6"/>
  <c r="H11986" i="6" s="1"/>
  <c r="I11986" i="6"/>
  <c r="J11986" i="6"/>
  <c r="F11987" i="6"/>
  <c r="G11987" i="6"/>
  <c r="H11987" i="6" s="1"/>
  <c r="I11987" i="6"/>
  <c r="J11987" i="6"/>
  <c r="F11988" i="6"/>
  <c r="G11988" i="6"/>
  <c r="H11988" i="6" s="1"/>
  <c r="I11988" i="6"/>
  <c r="J11988" i="6"/>
  <c r="F11989" i="6"/>
  <c r="G11989" i="6"/>
  <c r="H11989" i="6" s="1"/>
  <c r="I11989" i="6"/>
  <c r="J11989" i="6"/>
  <c r="F11990" i="6"/>
  <c r="G11990" i="6"/>
  <c r="H11990" i="6" s="1"/>
  <c r="I11990" i="6"/>
  <c r="J11990" i="6"/>
  <c r="F11991" i="6"/>
  <c r="G11991" i="6"/>
  <c r="H11991" i="6" s="1"/>
  <c r="I11991" i="6"/>
  <c r="J11991" i="6"/>
  <c r="F11992" i="6"/>
  <c r="G11992" i="6"/>
  <c r="H11992" i="6" s="1"/>
  <c r="I11992" i="6"/>
  <c r="J11992" i="6"/>
  <c r="F11993" i="6"/>
  <c r="G11993" i="6"/>
  <c r="H11993" i="6" s="1"/>
  <c r="I11993" i="6"/>
  <c r="J11993" i="6"/>
  <c r="F11994" i="6"/>
  <c r="G11994" i="6"/>
  <c r="H11994" i="6" s="1"/>
  <c r="I11994" i="6"/>
  <c r="J11994" i="6"/>
  <c r="F11995" i="6"/>
  <c r="G11995" i="6"/>
  <c r="H11995" i="6" s="1"/>
  <c r="I11995" i="6"/>
  <c r="J11995" i="6"/>
  <c r="F11996" i="6"/>
  <c r="G11996" i="6"/>
  <c r="H11996" i="6" s="1"/>
  <c r="I11996" i="6"/>
  <c r="J11996" i="6"/>
  <c r="F11997" i="6"/>
  <c r="G11997" i="6"/>
  <c r="H11997" i="6" s="1"/>
  <c r="I11997" i="6"/>
  <c r="J11997" i="6"/>
  <c r="F11998" i="6"/>
  <c r="G11998" i="6"/>
  <c r="H11998" i="6" s="1"/>
  <c r="I11998" i="6"/>
  <c r="J11998" i="6"/>
  <c r="F11999" i="6"/>
  <c r="G11999" i="6"/>
  <c r="H11999" i="6" s="1"/>
  <c r="I11999" i="6"/>
  <c r="J11999" i="6"/>
  <c r="F12000" i="6"/>
  <c r="G12000" i="6"/>
  <c r="H12000" i="6" s="1"/>
  <c r="I12000" i="6"/>
  <c r="J12000" i="6"/>
  <c r="F12001" i="6"/>
  <c r="G12001" i="6"/>
  <c r="H12001" i="6" s="1"/>
  <c r="I12001" i="6"/>
  <c r="J12001" i="6"/>
  <c r="F12002" i="6"/>
  <c r="G12002" i="6"/>
  <c r="H12002" i="6" s="1"/>
  <c r="I12002" i="6"/>
  <c r="J12002" i="6"/>
  <c r="F12003" i="6"/>
  <c r="G12003" i="6"/>
  <c r="H12003" i="6" s="1"/>
  <c r="I12003" i="6"/>
  <c r="J12003" i="6"/>
  <c r="F12004" i="6"/>
  <c r="G12004" i="6"/>
  <c r="H12004" i="6" s="1"/>
  <c r="I12004" i="6"/>
  <c r="J12004" i="6"/>
  <c r="F12005" i="6"/>
  <c r="G12005" i="6"/>
  <c r="H12005" i="6" s="1"/>
  <c r="I12005" i="6"/>
  <c r="J12005" i="6"/>
  <c r="F12006" i="6"/>
  <c r="G12006" i="6"/>
  <c r="H12006" i="6" s="1"/>
  <c r="I12006" i="6"/>
  <c r="J12006" i="6"/>
  <c r="F12007" i="6"/>
  <c r="G12007" i="6"/>
  <c r="H12007" i="6" s="1"/>
  <c r="I12007" i="6"/>
  <c r="J12007" i="6"/>
  <c r="F12008" i="6"/>
  <c r="G12008" i="6"/>
  <c r="H12008" i="6" s="1"/>
  <c r="I12008" i="6"/>
  <c r="J12008" i="6"/>
  <c r="F12009" i="6"/>
  <c r="G12009" i="6"/>
  <c r="H12009" i="6" s="1"/>
  <c r="I12009" i="6"/>
  <c r="J12009" i="6"/>
  <c r="F12010" i="6"/>
  <c r="G12010" i="6"/>
  <c r="H12010" i="6" s="1"/>
  <c r="I12010" i="6"/>
  <c r="J12010" i="6"/>
  <c r="F12011" i="6"/>
  <c r="G12011" i="6"/>
  <c r="H12011" i="6" s="1"/>
  <c r="I12011" i="6"/>
  <c r="J12011" i="6"/>
  <c r="F12012" i="6"/>
  <c r="G12012" i="6"/>
  <c r="H12012" i="6" s="1"/>
  <c r="I12012" i="6"/>
  <c r="J12012" i="6"/>
  <c r="F12013" i="6"/>
  <c r="G12013" i="6"/>
  <c r="H12013" i="6" s="1"/>
  <c r="I12013" i="6"/>
  <c r="J12013" i="6"/>
  <c r="F12014" i="6"/>
  <c r="G12014" i="6"/>
  <c r="H12014" i="6" s="1"/>
  <c r="I12014" i="6"/>
  <c r="J12014" i="6"/>
  <c r="F12015" i="6"/>
  <c r="G12015" i="6"/>
  <c r="H12015" i="6" s="1"/>
  <c r="I12015" i="6"/>
  <c r="J12015" i="6"/>
  <c r="F12016" i="6"/>
  <c r="G12016" i="6"/>
  <c r="H12016" i="6" s="1"/>
  <c r="I12016" i="6"/>
  <c r="J12016" i="6"/>
  <c r="F12017" i="6"/>
  <c r="G12017" i="6"/>
  <c r="H12017" i="6" s="1"/>
  <c r="I12017" i="6"/>
  <c r="J12017" i="6"/>
  <c r="F12018" i="6"/>
  <c r="G12018" i="6"/>
  <c r="H12018" i="6" s="1"/>
  <c r="I12018" i="6"/>
  <c r="J12018" i="6"/>
  <c r="F12019" i="6"/>
  <c r="G12019" i="6"/>
  <c r="H12019" i="6" s="1"/>
  <c r="I12019" i="6"/>
  <c r="J12019" i="6"/>
  <c r="F12020" i="6"/>
  <c r="G12020" i="6"/>
  <c r="H12020" i="6" s="1"/>
  <c r="I12020" i="6"/>
  <c r="J12020" i="6"/>
  <c r="F12021" i="6"/>
  <c r="G12021" i="6"/>
  <c r="H12021" i="6" s="1"/>
  <c r="I12021" i="6"/>
  <c r="J12021" i="6"/>
  <c r="F12022" i="6"/>
  <c r="G12022" i="6"/>
  <c r="H12022" i="6" s="1"/>
  <c r="I12022" i="6"/>
  <c r="J12022" i="6"/>
  <c r="F12023" i="6"/>
  <c r="G12023" i="6"/>
  <c r="H12023" i="6" s="1"/>
  <c r="I12023" i="6"/>
  <c r="J12023" i="6"/>
  <c r="F12024" i="6"/>
  <c r="G12024" i="6"/>
  <c r="H12024" i="6" s="1"/>
  <c r="I12024" i="6"/>
  <c r="J12024" i="6"/>
  <c r="F12025" i="6"/>
  <c r="G12025" i="6"/>
  <c r="H12025" i="6" s="1"/>
  <c r="I12025" i="6"/>
  <c r="J12025" i="6"/>
  <c r="F12026" i="6"/>
  <c r="G12026" i="6"/>
  <c r="H12026" i="6" s="1"/>
  <c r="I12026" i="6"/>
  <c r="J12026" i="6"/>
  <c r="F12027" i="6"/>
  <c r="G12027" i="6"/>
  <c r="H12027" i="6" s="1"/>
  <c r="I12027" i="6"/>
  <c r="J12027" i="6"/>
  <c r="F12028" i="6"/>
  <c r="G12028" i="6"/>
  <c r="H12028" i="6" s="1"/>
  <c r="I12028" i="6"/>
  <c r="J12028" i="6"/>
  <c r="F12029" i="6"/>
  <c r="G12029" i="6"/>
  <c r="H12029" i="6" s="1"/>
  <c r="I12029" i="6"/>
  <c r="J12029" i="6"/>
  <c r="F12030" i="6"/>
  <c r="G12030" i="6"/>
  <c r="H12030" i="6" s="1"/>
  <c r="I12030" i="6"/>
  <c r="J12030" i="6"/>
  <c r="F12031" i="6"/>
  <c r="G12031" i="6"/>
  <c r="H12031" i="6" s="1"/>
  <c r="I12031" i="6"/>
  <c r="J12031" i="6"/>
  <c r="F12032" i="6"/>
  <c r="G12032" i="6"/>
  <c r="H12032" i="6" s="1"/>
  <c r="I12032" i="6"/>
  <c r="J12032" i="6"/>
  <c r="F12033" i="6"/>
  <c r="G12033" i="6"/>
  <c r="H12033" i="6" s="1"/>
  <c r="I12033" i="6"/>
  <c r="J12033" i="6"/>
  <c r="F12034" i="6"/>
  <c r="G12034" i="6"/>
  <c r="H12034" i="6" s="1"/>
  <c r="I12034" i="6"/>
  <c r="J12034" i="6"/>
  <c r="F12035" i="6"/>
  <c r="G12035" i="6"/>
  <c r="H12035" i="6" s="1"/>
  <c r="I12035" i="6"/>
  <c r="J12035" i="6"/>
  <c r="F12036" i="6"/>
  <c r="G12036" i="6"/>
  <c r="H12036" i="6" s="1"/>
  <c r="I12036" i="6"/>
  <c r="J12036" i="6"/>
  <c r="F12037" i="6"/>
  <c r="G12037" i="6"/>
  <c r="H12037" i="6" s="1"/>
  <c r="I12037" i="6"/>
  <c r="J12037" i="6"/>
  <c r="F12038" i="6"/>
  <c r="G12038" i="6"/>
  <c r="H12038" i="6" s="1"/>
  <c r="I12038" i="6"/>
  <c r="J12038" i="6"/>
  <c r="F12039" i="6"/>
  <c r="G12039" i="6"/>
  <c r="H12039" i="6" s="1"/>
  <c r="I12039" i="6"/>
  <c r="J12039" i="6"/>
  <c r="F12040" i="6"/>
  <c r="G12040" i="6"/>
  <c r="H12040" i="6" s="1"/>
  <c r="I12040" i="6"/>
  <c r="J12040" i="6"/>
  <c r="F12041" i="6"/>
  <c r="G12041" i="6"/>
  <c r="H12041" i="6" s="1"/>
  <c r="I12041" i="6"/>
  <c r="J12041" i="6"/>
  <c r="F12042" i="6"/>
  <c r="G12042" i="6"/>
  <c r="H12042" i="6" s="1"/>
  <c r="I12042" i="6"/>
  <c r="J12042" i="6"/>
  <c r="F12043" i="6"/>
  <c r="G12043" i="6"/>
  <c r="H12043" i="6" s="1"/>
  <c r="I12043" i="6"/>
  <c r="J12043" i="6"/>
  <c r="F12044" i="6"/>
  <c r="G12044" i="6"/>
  <c r="H12044" i="6" s="1"/>
  <c r="I12044" i="6"/>
  <c r="J12044" i="6"/>
  <c r="F12045" i="6"/>
  <c r="G12045" i="6"/>
  <c r="H12045" i="6" s="1"/>
  <c r="I12045" i="6"/>
  <c r="J12045" i="6"/>
  <c r="F12046" i="6"/>
  <c r="G12046" i="6"/>
  <c r="H12046" i="6" s="1"/>
  <c r="I12046" i="6"/>
  <c r="J12046" i="6"/>
  <c r="F12047" i="6"/>
  <c r="G12047" i="6"/>
  <c r="H12047" i="6" s="1"/>
  <c r="I12047" i="6"/>
  <c r="J12047" i="6"/>
  <c r="F12048" i="6"/>
  <c r="G12048" i="6"/>
  <c r="H12048" i="6" s="1"/>
  <c r="I12048" i="6"/>
  <c r="J12048" i="6"/>
  <c r="F12049" i="6"/>
  <c r="G12049" i="6"/>
  <c r="H12049" i="6" s="1"/>
  <c r="I12049" i="6"/>
  <c r="J12049" i="6"/>
  <c r="F12050" i="6"/>
  <c r="G12050" i="6"/>
  <c r="H12050" i="6" s="1"/>
  <c r="I12050" i="6"/>
  <c r="J12050" i="6"/>
  <c r="F12051" i="6"/>
  <c r="G12051" i="6"/>
  <c r="H12051" i="6" s="1"/>
  <c r="I12051" i="6"/>
  <c r="J12051" i="6"/>
  <c r="F12052" i="6"/>
  <c r="G12052" i="6"/>
  <c r="H12052" i="6" s="1"/>
  <c r="I12052" i="6"/>
  <c r="J12052" i="6"/>
  <c r="F12053" i="6"/>
  <c r="G12053" i="6"/>
  <c r="H12053" i="6" s="1"/>
  <c r="I12053" i="6"/>
  <c r="J12053" i="6"/>
  <c r="F12054" i="6"/>
  <c r="G12054" i="6"/>
  <c r="H12054" i="6" s="1"/>
  <c r="I12054" i="6"/>
  <c r="J12054" i="6"/>
  <c r="F12055" i="6"/>
  <c r="G12055" i="6"/>
  <c r="H12055" i="6" s="1"/>
  <c r="I12055" i="6"/>
  <c r="J12055" i="6"/>
  <c r="F12056" i="6"/>
  <c r="G12056" i="6"/>
  <c r="H12056" i="6" s="1"/>
  <c r="I12056" i="6"/>
  <c r="J12056" i="6"/>
  <c r="F12057" i="6"/>
  <c r="G12057" i="6"/>
  <c r="H12057" i="6" s="1"/>
  <c r="I12057" i="6"/>
  <c r="J12057" i="6"/>
  <c r="F12058" i="6"/>
  <c r="G12058" i="6"/>
  <c r="H12058" i="6" s="1"/>
  <c r="I12058" i="6"/>
  <c r="J12058" i="6"/>
  <c r="F12059" i="6"/>
  <c r="G12059" i="6"/>
  <c r="H12059" i="6" s="1"/>
  <c r="I12059" i="6"/>
  <c r="J12059" i="6"/>
  <c r="F12060" i="6"/>
  <c r="G12060" i="6"/>
  <c r="H12060" i="6" s="1"/>
  <c r="I12060" i="6"/>
  <c r="J12060" i="6"/>
  <c r="F12061" i="6"/>
  <c r="G12061" i="6"/>
  <c r="H12061" i="6" s="1"/>
  <c r="I12061" i="6"/>
  <c r="J12061" i="6"/>
  <c r="F12062" i="6"/>
  <c r="G12062" i="6"/>
  <c r="H12062" i="6" s="1"/>
  <c r="I12062" i="6"/>
  <c r="J12062" i="6"/>
  <c r="F12063" i="6"/>
  <c r="G12063" i="6"/>
  <c r="H12063" i="6" s="1"/>
  <c r="I12063" i="6"/>
  <c r="J12063" i="6"/>
  <c r="F12064" i="6"/>
  <c r="G12064" i="6"/>
  <c r="H12064" i="6" s="1"/>
  <c r="I12064" i="6"/>
  <c r="J12064" i="6"/>
  <c r="F12065" i="6"/>
  <c r="G12065" i="6"/>
  <c r="H12065" i="6" s="1"/>
  <c r="I12065" i="6"/>
  <c r="J12065" i="6"/>
  <c r="F12066" i="6"/>
  <c r="G12066" i="6"/>
  <c r="H12066" i="6" s="1"/>
  <c r="I12066" i="6"/>
  <c r="J12066" i="6"/>
  <c r="F12067" i="6"/>
  <c r="G12067" i="6"/>
  <c r="H12067" i="6" s="1"/>
  <c r="I12067" i="6"/>
  <c r="J12067" i="6"/>
  <c r="F12068" i="6"/>
  <c r="G12068" i="6"/>
  <c r="H12068" i="6" s="1"/>
  <c r="I12068" i="6"/>
  <c r="J12068" i="6"/>
  <c r="F12069" i="6"/>
  <c r="G12069" i="6"/>
  <c r="H12069" i="6" s="1"/>
  <c r="I12069" i="6"/>
  <c r="J12069" i="6"/>
  <c r="F12070" i="6"/>
  <c r="G12070" i="6"/>
  <c r="H12070" i="6" s="1"/>
  <c r="I12070" i="6"/>
  <c r="J12070" i="6"/>
  <c r="F12071" i="6"/>
  <c r="G12071" i="6"/>
  <c r="H12071" i="6" s="1"/>
  <c r="I12071" i="6"/>
  <c r="J12071" i="6"/>
  <c r="F12072" i="6"/>
  <c r="G12072" i="6"/>
  <c r="H12072" i="6" s="1"/>
  <c r="I12072" i="6"/>
  <c r="J12072" i="6"/>
  <c r="F12073" i="6"/>
  <c r="G12073" i="6"/>
  <c r="H12073" i="6" s="1"/>
  <c r="I12073" i="6"/>
  <c r="J12073" i="6"/>
  <c r="F12074" i="6"/>
  <c r="G12074" i="6"/>
  <c r="H12074" i="6" s="1"/>
  <c r="I12074" i="6"/>
  <c r="J12074" i="6"/>
  <c r="F12075" i="6"/>
  <c r="G12075" i="6"/>
  <c r="H12075" i="6" s="1"/>
  <c r="I12075" i="6"/>
  <c r="J12075" i="6"/>
  <c r="F12076" i="6"/>
  <c r="G12076" i="6"/>
  <c r="H12076" i="6" s="1"/>
  <c r="I12076" i="6"/>
  <c r="J12076" i="6"/>
  <c r="F12077" i="6"/>
  <c r="G12077" i="6"/>
  <c r="H12077" i="6" s="1"/>
  <c r="I12077" i="6"/>
  <c r="J12077" i="6"/>
  <c r="F12078" i="6"/>
  <c r="G12078" i="6"/>
  <c r="H12078" i="6" s="1"/>
  <c r="I12078" i="6"/>
  <c r="J12078" i="6"/>
  <c r="F12079" i="6"/>
  <c r="G12079" i="6"/>
  <c r="H12079" i="6" s="1"/>
  <c r="I12079" i="6"/>
  <c r="J12079" i="6"/>
  <c r="F12080" i="6"/>
  <c r="G12080" i="6"/>
  <c r="H12080" i="6" s="1"/>
  <c r="I12080" i="6"/>
  <c r="J12080" i="6"/>
  <c r="F12081" i="6"/>
  <c r="G12081" i="6"/>
  <c r="H12081" i="6" s="1"/>
  <c r="I12081" i="6"/>
  <c r="J12081" i="6"/>
  <c r="F12082" i="6"/>
  <c r="G12082" i="6"/>
  <c r="H12082" i="6" s="1"/>
  <c r="I12082" i="6"/>
  <c r="J12082" i="6"/>
  <c r="F12083" i="6"/>
  <c r="G12083" i="6"/>
  <c r="H12083" i="6" s="1"/>
  <c r="I12083" i="6"/>
  <c r="J12083" i="6"/>
  <c r="F12084" i="6"/>
  <c r="G12084" i="6"/>
  <c r="H12084" i="6" s="1"/>
  <c r="I12084" i="6"/>
  <c r="J12084" i="6"/>
  <c r="F12085" i="6"/>
  <c r="G12085" i="6"/>
  <c r="H12085" i="6" s="1"/>
  <c r="I12085" i="6"/>
  <c r="J12085" i="6"/>
  <c r="F12086" i="6"/>
  <c r="G12086" i="6"/>
  <c r="H12086" i="6" s="1"/>
  <c r="I12086" i="6"/>
  <c r="J12086" i="6"/>
  <c r="F12087" i="6"/>
  <c r="G12087" i="6"/>
  <c r="H12087" i="6" s="1"/>
  <c r="I12087" i="6"/>
  <c r="J12087" i="6"/>
  <c r="F12088" i="6"/>
  <c r="G12088" i="6"/>
  <c r="H12088" i="6" s="1"/>
  <c r="I12088" i="6"/>
  <c r="J12088" i="6"/>
  <c r="F12089" i="6"/>
  <c r="G12089" i="6"/>
  <c r="H12089" i="6" s="1"/>
  <c r="I12089" i="6"/>
  <c r="J12089" i="6"/>
  <c r="F12090" i="6"/>
  <c r="G12090" i="6"/>
  <c r="H12090" i="6" s="1"/>
  <c r="I12090" i="6"/>
  <c r="J12090" i="6"/>
  <c r="F12091" i="6"/>
  <c r="G12091" i="6"/>
  <c r="H12091" i="6" s="1"/>
  <c r="I12091" i="6"/>
  <c r="J12091" i="6"/>
  <c r="F12092" i="6"/>
  <c r="G12092" i="6"/>
  <c r="H12092" i="6" s="1"/>
  <c r="I12092" i="6"/>
  <c r="J12092" i="6"/>
  <c r="F12093" i="6"/>
  <c r="G12093" i="6"/>
  <c r="H12093" i="6" s="1"/>
  <c r="I12093" i="6"/>
  <c r="J12093" i="6"/>
  <c r="F12094" i="6"/>
  <c r="G12094" i="6"/>
  <c r="H12094" i="6" s="1"/>
  <c r="I12094" i="6"/>
  <c r="J12094" i="6"/>
  <c r="F12095" i="6"/>
  <c r="G12095" i="6"/>
  <c r="H12095" i="6" s="1"/>
  <c r="I12095" i="6"/>
  <c r="J12095" i="6"/>
  <c r="F12096" i="6"/>
  <c r="G12096" i="6"/>
  <c r="H12096" i="6" s="1"/>
  <c r="I12096" i="6"/>
  <c r="J12096" i="6"/>
  <c r="F12097" i="6"/>
  <c r="G12097" i="6"/>
  <c r="H12097" i="6" s="1"/>
  <c r="I12097" i="6"/>
  <c r="J12097" i="6"/>
  <c r="F12098" i="6"/>
  <c r="G12098" i="6"/>
  <c r="H12098" i="6" s="1"/>
  <c r="I12098" i="6"/>
  <c r="J12098" i="6"/>
  <c r="F12099" i="6"/>
  <c r="G12099" i="6"/>
  <c r="H12099" i="6" s="1"/>
  <c r="I12099" i="6"/>
  <c r="J12099" i="6"/>
  <c r="F12100" i="6"/>
  <c r="G12100" i="6"/>
  <c r="H12100" i="6" s="1"/>
  <c r="I12100" i="6"/>
  <c r="J12100" i="6"/>
  <c r="F12101" i="6"/>
  <c r="G12101" i="6"/>
  <c r="H12101" i="6" s="1"/>
  <c r="I12101" i="6"/>
  <c r="J12101" i="6"/>
  <c r="F12102" i="6"/>
  <c r="G12102" i="6"/>
  <c r="H12102" i="6" s="1"/>
  <c r="I12102" i="6"/>
  <c r="J12102" i="6"/>
  <c r="F12103" i="6"/>
  <c r="G12103" i="6"/>
  <c r="H12103" i="6" s="1"/>
  <c r="I12103" i="6"/>
  <c r="J12103" i="6"/>
  <c r="F12104" i="6"/>
  <c r="G12104" i="6"/>
  <c r="H12104" i="6" s="1"/>
  <c r="I12104" i="6"/>
  <c r="J12104" i="6"/>
  <c r="F12105" i="6"/>
  <c r="G12105" i="6"/>
  <c r="H12105" i="6" s="1"/>
  <c r="I12105" i="6"/>
  <c r="J12105" i="6"/>
  <c r="F12106" i="6"/>
  <c r="G12106" i="6"/>
  <c r="H12106" i="6" s="1"/>
  <c r="I12106" i="6"/>
  <c r="J12106" i="6"/>
  <c r="F12107" i="6"/>
  <c r="G12107" i="6"/>
  <c r="H12107" i="6" s="1"/>
  <c r="I12107" i="6"/>
  <c r="J12107" i="6"/>
  <c r="F12108" i="6"/>
  <c r="G12108" i="6"/>
  <c r="H12108" i="6" s="1"/>
  <c r="I12108" i="6"/>
  <c r="J12108" i="6"/>
  <c r="F12109" i="6"/>
  <c r="G12109" i="6"/>
  <c r="H12109" i="6" s="1"/>
  <c r="I12109" i="6"/>
  <c r="J12109" i="6"/>
  <c r="F12110" i="6"/>
  <c r="G12110" i="6"/>
  <c r="H12110" i="6" s="1"/>
  <c r="I12110" i="6"/>
  <c r="J12110" i="6"/>
  <c r="F12111" i="6"/>
  <c r="G12111" i="6"/>
  <c r="H12111" i="6" s="1"/>
  <c r="I12111" i="6"/>
  <c r="J12111" i="6"/>
  <c r="F12112" i="6"/>
  <c r="G12112" i="6"/>
  <c r="H12112" i="6" s="1"/>
  <c r="I12112" i="6"/>
  <c r="J12112" i="6"/>
  <c r="F12113" i="6"/>
  <c r="G12113" i="6"/>
  <c r="H12113" i="6" s="1"/>
  <c r="I12113" i="6"/>
  <c r="J12113" i="6"/>
  <c r="F12114" i="6"/>
  <c r="G12114" i="6"/>
  <c r="H12114" i="6" s="1"/>
  <c r="I12114" i="6"/>
  <c r="J12114" i="6"/>
  <c r="F12115" i="6"/>
  <c r="G12115" i="6"/>
  <c r="H12115" i="6" s="1"/>
  <c r="I12115" i="6"/>
  <c r="J12115" i="6"/>
  <c r="F12116" i="6"/>
  <c r="G12116" i="6"/>
  <c r="H12116" i="6" s="1"/>
  <c r="I12116" i="6"/>
  <c r="J12116" i="6"/>
  <c r="F12117" i="6"/>
  <c r="G12117" i="6"/>
  <c r="H12117" i="6" s="1"/>
  <c r="I12117" i="6"/>
  <c r="J12117" i="6"/>
  <c r="F12118" i="6"/>
  <c r="G12118" i="6"/>
  <c r="H12118" i="6" s="1"/>
  <c r="I12118" i="6"/>
  <c r="J12118" i="6"/>
  <c r="F12119" i="6"/>
  <c r="G12119" i="6"/>
  <c r="H12119" i="6" s="1"/>
  <c r="I12119" i="6"/>
  <c r="J12119" i="6"/>
  <c r="F12120" i="6"/>
  <c r="G12120" i="6"/>
  <c r="H12120" i="6" s="1"/>
  <c r="I12120" i="6"/>
  <c r="J12120" i="6"/>
  <c r="F12121" i="6"/>
  <c r="G12121" i="6"/>
  <c r="H12121" i="6" s="1"/>
  <c r="I12121" i="6"/>
  <c r="J12121" i="6"/>
  <c r="F12122" i="6"/>
  <c r="G12122" i="6"/>
  <c r="H12122" i="6" s="1"/>
  <c r="I12122" i="6"/>
  <c r="J12122" i="6"/>
  <c r="F12123" i="6"/>
  <c r="G12123" i="6"/>
  <c r="H12123" i="6" s="1"/>
  <c r="I12123" i="6"/>
  <c r="J12123" i="6"/>
  <c r="F12124" i="6"/>
  <c r="G12124" i="6"/>
  <c r="H12124" i="6" s="1"/>
  <c r="I12124" i="6"/>
  <c r="J12124" i="6"/>
  <c r="F12125" i="6"/>
  <c r="G12125" i="6"/>
  <c r="H12125" i="6" s="1"/>
  <c r="I12125" i="6"/>
  <c r="J12125" i="6"/>
  <c r="F12126" i="6"/>
  <c r="G12126" i="6"/>
  <c r="H12126" i="6" s="1"/>
  <c r="I12126" i="6"/>
  <c r="J12126" i="6"/>
  <c r="F12127" i="6"/>
  <c r="G12127" i="6"/>
  <c r="H12127" i="6" s="1"/>
  <c r="I12127" i="6"/>
  <c r="J12127" i="6"/>
  <c r="F12128" i="6"/>
  <c r="G12128" i="6"/>
  <c r="H12128" i="6" s="1"/>
  <c r="I12128" i="6"/>
  <c r="J12128" i="6"/>
  <c r="F12129" i="6"/>
  <c r="G12129" i="6"/>
  <c r="H12129" i="6" s="1"/>
  <c r="I12129" i="6"/>
  <c r="J12129" i="6"/>
  <c r="F12130" i="6"/>
  <c r="G12130" i="6"/>
  <c r="H12130" i="6" s="1"/>
  <c r="I12130" i="6"/>
  <c r="J12130" i="6"/>
  <c r="F12131" i="6"/>
  <c r="G12131" i="6"/>
  <c r="H12131" i="6" s="1"/>
  <c r="I12131" i="6"/>
  <c r="J12131" i="6"/>
  <c r="F12132" i="6"/>
  <c r="G12132" i="6"/>
  <c r="H12132" i="6" s="1"/>
  <c r="I12132" i="6"/>
  <c r="J12132" i="6"/>
  <c r="F12133" i="6"/>
  <c r="G12133" i="6"/>
  <c r="H12133" i="6" s="1"/>
  <c r="I12133" i="6"/>
  <c r="J12133" i="6"/>
  <c r="F12134" i="6"/>
  <c r="G12134" i="6"/>
  <c r="H12134" i="6" s="1"/>
  <c r="I12134" i="6"/>
  <c r="J12134" i="6"/>
  <c r="F12135" i="6"/>
  <c r="G12135" i="6"/>
  <c r="H12135" i="6" s="1"/>
  <c r="I12135" i="6"/>
  <c r="J12135" i="6"/>
  <c r="F12136" i="6"/>
  <c r="G12136" i="6"/>
  <c r="H12136" i="6" s="1"/>
  <c r="I12136" i="6"/>
  <c r="J12136" i="6"/>
  <c r="F12137" i="6"/>
  <c r="G12137" i="6"/>
  <c r="H12137" i="6" s="1"/>
  <c r="I12137" i="6"/>
  <c r="J12137" i="6"/>
  <c r="F12138" i="6"/>
  <c r="G12138" i="6"/>
  <c r="H12138" i="6" s="1"/>
  <c r="I12138" i="6"/>
  <c r="J12138" i="6"/>
  <c r="F12139" i="6"/>
  <c r="G12139" i="6"/>
  <c r="H12139" i="6" s="1"/>
  <c r="I12139" i="6"/>
  <c r="J12139" i="6"/>
  <c r="F12140" i="6"/>
  <c r="G12140" i="6"/>
  <c r="H12140" i="6" s="1"/>
  <c r="I12140" i="6"/>
  <c r="J12140" i="6"/>
  <c r="F12141" i="6"/>
  <c r="G12141" i="6"/>
  <c r="H12141" i="6" s="1"/>
  <c r="I12141" i="6"/>
  <c r="J12141" i="6"/>
  <c r="F12142" i="6"/>
  <c r="G12142" i="6"/>
  <c r="H12142" i="6" s="1"/>
  <c r="I12142" i="6"/>
  <c r="J12142" i="6"/>
  <c r="F12143" i="6"/>
  <c r="G12143" i="6"/>
  <c r="H12143" i="6" s="1"/>
  <c r="I12143" i="6"/>
  <c r="J12143" i="6"/>
  <c r="F12144" i="6"/>
  <c r="G12144" i="6"/>
  <c r="H12144" i="6" s="1"/>
  <c r="I12144" i="6"/>
  <c r="J12144" i="6"/>
  <c r="F12145" i="6"/>
  <c r="G12145" i="6"/>
  <c r="H12145" i="6" s="1"/>
  <c r="I12145" i="6"/>
  <c r="J12145" i="6"/>
  <c r="F12146" i="6"/>
  <c r="G12146" i="6"/>
  <c r="H12146" i="6" s="1"/>
  <c r="I12146" i="6"/>
  <c r="J12146" i="6"/>
  <c r="F12147" i="6"/>
  <c r="G12147" i="6"/>
  <c r="H12147" i="6" s="1"/>
  <c r="I12147" i="6"/>
  <c r="J12147" i="6"/>
  <c r="F12148" i="6"/>
  <c r="G12148" i="6"/>
  <c r="H12148" i="6" s="1"/>
  <c r="I12148" i="6"/>
  <c r="J12148" i="6"/>
  <c r="F12149" i="6"/>
  <c r="G12149" i="6"/>
  <c r="H12149" i="6" s="1"/>
  <c r="I12149" i="6"/>
  <c r="J12149" i="6"/>
  <c r="F12150" i="6"/>
  <c r="G12150" i="6"/>
  <c r="H12150" i="6" s="1"/>
  <c r="I12150" i="6"/>
  <c r="J12150" i="6"/>
  <c r="F12151" i="6"/>
  <c r="G12151" i="6"/>
  <c r="H12151" i="6" s="1"/>
  <c r="I12151" i="6"/>
  <c r="J12151" i="6"/>
  <c r="F12152" i="6"/>
  <c r="G12152" i="6"/>
  <c r="H12152" i="6" s="1"/>
  <c r="I12152" i="6"/>
  <c r="J12152" i="6"/>
  <c r="F12153" i="6"/>
  <c r="G12153" i="6"/>
  <c r="H12153" i="6" s="1"/>
  <c r="I12153" i="6"/>
  <c r="J12153" i="6"/>
  <c r="F12154" i="6"/>
  <c r="G12154" i="6"/>
  <c r="H12154" i="6" s="1"/>
  <c r="I12154" i="6"/>
  <c r="J12154" i="6"/>
  <c r="F12155" i="6"/>
  <c r="G12155" i="6"/>
  <c r="H12155" i="6" s="1"/>
  <c r="I12155" i="6"/>
  <c r="J12155" i="6"/>
  <c r="F12156" i="6"/>
  <c r="G12156" i="6"/>
  <c r="H12156" i="6" s="1"/>
  <c r="I12156" i="6"/>
  <c r="J12156" i="6"/>
  <c r="F12157" i="6"/>
  <c r="G12157" i="6"/>
  <c r="H12157" i="6" s="1"/>
  <c r="I12157" i="6"/>
  <c r="J12157" i="6"/>
  <c r="F12158" i="6"/>
  <c r="G12158" i="6"/>
  <c r="H12158" i="6" s="1"/>
  <c r="I12158" i="6"/>
  <c r="J12158" i="6"/>
  <c r="F12159" i="6"/>
  <c r="G12159" i="6"/>
  <c r="H12159" i="6" s="1"/>
  <c r="I12159" i="6"/>
  <c r="J12159" i="6"/>
  <c r="F12160" i="6"/>
  <c r="G12160" i="6"/>
  <c r="H12160" i="6" s="1"/>
  <c r="I12160" i="6"/>
  <c r="J12160" i="6"/>
  <c r="F12161" i="6"/>
  <c r="G12161" i="6"/>
  <c r="H12161" i="6" s="1"/>
  <c r="I12161" i="6"/>
  <c r="J12161" i="6"/>
  <c r="F12162" i="6"/>
  <c r="G12162" i="6"/>
  <c r="H12162" i="6" s="1"/>
  <c r="I12162" i="6"/>
  <c r="J12162" i="6"/>
  <c r="F12163" i="6"/>
  <c r="G12163" i="6"/>
  <c r="H12163" i="6" s="1"/>
  <c r="I12163" i="6"/>
  <c r="J12163" i="6"/>
  <c r="F12164" i="6"/>
  <c r="G12164" i="6"/>
  <c r="H12164" i="6" s="1"/>
  <c r="I12164" i="6"/>
  <c r="J12164" i="6"/>
  <c r="F12165" i="6"/>
  <c r="G12165" i="6"/>
  <c r="H12165" i="6" s="1"/>
  <c r="I12165" i="6"/>
  <c r="J12165" i="6"/>
  <c r="F12166" i="6"/>
  <c r="G12166" i="6"/>
  <c r="H12166" i="6" s="1"/>
  <c r="I12166" i="6"/>
  <c r="J12166" i="6"/>
  <c r="F12167" i="6"/>
  <c r="G12167" i="6"/>
  <c r="H12167" i="6" s="1"/>
  <c r="I12167" i="6"/>
  <c r="J12167" i="6"/>
  <c r="F12168" i="6"/>
  <c r="G12168" i="6"/>
  <c r="H12168" i="6" s="1"/>
  <c r="I12168" i="6"/>
  <c r="J12168" i="6"/>
  <c r="F12169" i="6"/>
  <c r="G12169" i="6"/>
  <c r="H12169" i="6" s="1"/>
  <c r="I12169" i="6"/>
  <c r="J12169" i="6"/>
  <c r="F12170" i="6"/>
  <c r="G12170" i="6"/>
  <c r="H12170" i="6" s="1"/>
  <c r="I12170" i="6"/>
  <c r="J12170" i="6"/>
  <c r="F12171" i="6"/>
  <c r="G12171" i="6"/>
  <c r="H12171" i="6" s="1"/>
  <c r="I12171" i="6"/>
  <c r="J12171" i="6"/>
  <c r="F12172" i="6"/>
  <c r="G12172" i="6"/>
  <c r="H12172" i="6" s="1"/>
  <c r="I12172" i="6"/>
  <c r="J12172" i="6"/>
  <c r="F12173" i="6"/>
  <c r="G12173" i="6"/>
  <c r="H12173" i="6" s="1"/>
  <c r="I12173" i="6"/>
  <c r="J12173" i="6"/>
  <c r="F12174" i="6"/>
  <c r="G12174" i="6"/>
  <c r="H12174" i="6" s="1"/>
  <c r="I12174" i="6"/>
  <c r="J12174" i="6"/>
  <c r="F12175" i="6"/>
  <c r="G12175" i="6"/>
  <c r="H12175" i="6" s="1"/>
  <c r="I12175" i="6"/>
  <c r="J12175" i="6"/>
  <c r="F12176" i="6"/>
  <c r="G12176" i="6"/>
  <c r="H12176" i="6" s="1"/>
  <c r="I12176" i="6"/>
  <c r="J12176" i="6"/>
  <c r="F12177" i="6"/>
  <c r="G12177" i="6"/>
  <c r="H12177" i="6" s="1"/>
  <c r="I12177" i="6"/>
  <c r="J12177" i="6"/>
  <c r="F12178" i="6"/>
  <c r="G12178" i="6"/>
  <c r="H12178" i="6" s="1"/>
  <c r="I12178" i="6"/>
  <c r="J12178" i="6"/>
  <c r="F12179" i="6"/>
  <c r="G12179" i="6"/>
  <c r="H12179" i="6" s="1"/>
  <c r="I12179" i="6"/>
  <c r="J12179" i="6"/>
  <c r="F12180" i="6"/>
  <c r="G12180" i="6"/>
  <c r="H12180" i="6" s="1"/>
  <c r="I12180" i="6"/>
  <c r="J12180" i="6"/>
  <c r="F12181" i="6"/>
  <c r="G12181" i="6"/>
  <c r="H12181" i="6" s="1"/>
  <c r="I12181" i="6"/>
  <c r="J12181" i="6"/>
  <c r="F12182" i="6"/>
  <c r="G12182" i="6"/>
  <c r="H12182" i="6" s="1"/>
  <c r="I12182" i="6"/>
  <c r="J12182" i="6"/>
  <c r="F12183" i="6"/>
  <c r="G12183" i="6"/>
  <c r="H12183" i="6" s="1"/>
  <c r="I12183" i="6"/>
  <c r="J12183" i="6"/>
  <c r="F12184" i="6"/>
  <c r="G12184" i="6"/>
  <c r="H12184" i="6" s="1"/>
  <c r="I12184" i="6"/>
  <c r="J12184" i="6"/>
  <c r="F12185" i="6"/>
  <c r="G12185" i="6"/>
  <c r="H12185" i="6" s="1"/>
  <c r="I12185" i="6"/>
  <c r="J12185" i="6"/>
  <c r="F12186" i="6"/>
  <c r="G12186" i="6"/>
  <c r="H12186" i="6" s="1"/>
  <c r="I12186" i="6"/>
  <c r="J12186" i="6"/>
  <c r="F12187" i="6"/>
  <c r="G12187" i="6"/>
  <c r="H12187" i="6" s="1"/>
  <c r="I12187" i="6"/>
  <c r="J12187" i="6"/>
  <c r="F12188" i="6"/>
  <c r="G12188" i="6"/>
  <c r="H12188" i="6" s="1"/>
  <c r="I12188" i="6"/>
  <c r="J12188" i="6"/>
  <c r="F12189" i="6"/>
  <c r="G12189" i="6"/>
  <c r="H12189" i="6" s="1"/>
  <c r="I12189" i="6"/>
  <c r="J12189" i="6"/>
  <c r="F12190" i="6"/>
  <c r="G12190" i="6"/>
  <c r="H12190" i="6" s="1"/>
  <c r="I12190" i="6"/>
  <c r="J12190" i="6"/>
  <c r="F12191" i="6"/>
  <c r="G12191" i="6"/>
  <c r="H12191" i="6" s="1"/>
  <c r="I12191" i="6"/>
  <c r="J12191" i="6"/>
  <c r="F12192" i="6"/>
  <c r="G12192" i="6"/>
  <c r="H12192" i="6" s="1"/>
  <c r="I12192" i="6"/>
  <c r="J12192" i="6"/>
  <c r="F12193" i="6"/>
  <c r="G12193" i="6"/>
  <c r="H12193" i="6" s="1"/>
  <c r="I12193" i="6"/>
  <c r="J12193" i="6"/>
  <c r="F12194" i="6"/>
  <c r="G12194" i="6"/>
  <c r="H12194" i="6" s="1"/>
  <c r="I12194" i="6"/>
  <c r="J12194" i="6"/>
  <c r="F12195" i="6"/>
  <c r="G12195" i="6"/>
  <c r="H12195" i="6" s="1"/>
  <c r="I12195" i="6"/>
  <c r="J12195" i="6"/>
  <c r="F12196" i="6"/>
  <c r="G12196" i="6"/>
  <c r="H12196" i="6" s="1"/>
  <c r="I12196" i="6"/>
  <c r="J12196" i="6"/>
  <c r="F12197" i="6"/>
  <c r="G12197" i="6"/>
  <c r="H12197" i="6" s="1"/>
  <c r="I12197" i="6"/>
  <c r="J12197" i="6"/>
  <c r="F12198" i="6"/>
  <c r="G12198" i="6"/>
  <c r="H12198" i="6" s="1"/>
  <c r="I12198" i="6"/>
  <c r="J12198" i="6"/>
  <c r="F12199" i="6"/>
  <c r="G12199" i="6"/>
  <c r="H12199" i="6" s="1"/>
  <c r="I12199" i="6"/>
  <c r="J12199" i="6"/>
  <c r="F12200" i="6"/>
  <c r="G12200" i="6"/>
  <c r="H12200" i="6" s="1"/>
  <c r="I12200" i="6"/>
  <c r="J12200" i="6"/>
  <c r="F12201" i="6"/>
  <c r="G12201" i="6"/>
  <c r="H12201" i="6" s="1"/>
  <c r="I12201" i="6"/>
  <c r="J12201" i="6"/>
  <c r="F12202" i="6"/>
  <c r="G12202" i="6"/>
  <c r="H12202" i="6" s="1"/>
  <c r="I12202" i="6"/>
  <c r="J12202" i="6"/>
  <c r="F12203" i="6"/>
  <c r="G12203" i="6"/>
  <c r="H12203" i="6" s="1"/>
  <c r="I12203" i="6"/>
  <c r="J12203" i="6"/>
  <c r="F12204" i="6"/>
  <c r="G12204" i="6"/>
  <c r="H12204" i="6" s="1"/>
  <c r="I12204" i="6"/>
  <c r="J12204" i="6"/>
  <c r="F12205" i="6"/>
  <c r="G12205" i="6"/>
  <c r="H12205" i="6" s="1"/>
  <c r="I12205" i="6"/>
  <c r="J12205" i="6"/>
  <c r="F12206" i="6"/>
  <c r="G12206" i="6"/>
  <c r="H12206" i="6" s="1"/>
  <c r="I12206" i="6"/>
  <c r="J12206" i="6"/>
  <c r="F12207" i="6"/>
  <c r="G12207" i="6"/>
  <c r="H12207" i="6" s="1"/>
  <c r="I12207" i="6"/>
  <c r="J12207" i="6"/>
  <c r="F12208" i="6"/>
  <c r="G12208" i="6"/>
  <c r="H12208" i="6" s="1"/>
  <c r="I12208" i="6"/>
  <c r="J12208" i="6"/>
  <c r="F12209" i="6"/>
  <c r="G12209" i="6"/>
  <c r="H12209" i="6" s="1"/>
  <c r="I12209" i="6"/>
  <c r="J12209" i="6"/>
  <c r="F12210" i="6"/>
  <c r="G12210" i="6"/>
  <c r="H12210" i="6" s="1"/>
  <c r="I12210" i="6"/>
  <c r="J12210" i="6"/>
  <c r="F12211" i="6"/>
  <c r="G12211" i="6"/>
  <c r="H12211" i="6" s="1"/>
  <c r="I12211" i="6"/>
  <c r="J12211" i="6"/>
  <c r="F12212" i="6"/>
  <c r="G12212" i="6"/>
  <c r="H12212" i="6" s="1"/>
  <c r="I12212" i="6"/>
  <c r="J12212" i="6"/>
  <c r="F12213" i="6"/>
  <c r="G12213" i="6"/>
  <c r="H12213" i="6" s="1"/>
  <c r="I12213" i="6"/>
  <c r="J12213" i="6"/>
  <c r="F12214" i="6"/>
  <c r="G12214" i="6"/>
  <c r="H12214" i="6" s="1"/>
  <c r="I12214" i="6"/>
  <c r="J12214" i="6"/>
  <c r="F12215" i="6"/>
  <c r="G12215" i="6"/>
  <c r="H12215" i="6" s="1"/>
  <c r="I12215" i="6"/>
  <c r="J12215" i="6"/>
  <c r="F12216" i="6"/>
  <c r="G12216" i="6"/>
  <c r="H12216" i="6" s="1"/>
  <c r="I12216" i="6"/>
  <c r="J12216" i="6"/>
  <c r="F12217" i="6"/>
  <c r="G12217" i="6"/>
  <c r="H12217" i="6" s="1"/>
  <c r="I12217" i="6"/>
  <c r="J12217" i="6"/>
  <c r="F12218" i="6"/>
  <c r="G12218" i="6"/>
  <c r="H12218" i="6" s="1"/>
  <c r="I12218" i="6"/>
  <c r="J12218" i="6"/>
  <c r="F12219" i="6"/>
  <c r="G12219" i="6"/>
  <c r="H12219" i="6" s="1"/>
  <c r="I12219" i="6"/>
  <c r="J12219" i="6"/>
  <c r="F12220" i="6"/>
  <c r="G12220" i="6"/>
  <c r="H12220" i="6" s="1"/>
  <c r="I12220" i="6"/>
  <c r="J12220" i="6"/>
  <c r="F12221" i="6"/>
  <c r="G12221" i="6"/>
  <c r="H12221" i="6" s="1"/>
  <c r="I12221" i="6"/>
  <c r="J12221" i="6"/>
  <c r="F12222" i="6"/>
  <c r="G12222" i="6"/>
  <c r="H12222" i="6" s="1"/>
  <c r="I12222" i="6"/>
  <c r="J12222" i="6"/>
  <c r="F12223" i="6"/>
  <c r="G12223" i="6"/>
  <c r="H12223" i="6" s="1"/>
  <c r="I12223" i="6"/>
  <c r="J12223" i="6"/>
  <c r="F12224" i="6"/>
  <c r="G12224" i="6"/>
  <c r="H12224" i="6" s="1"/>
  <c r="I12224" i="6"/>
  <c r="J12224" i="6"/>
  <c r="F12225" i="6"/>
  <c r="G12225" i="6"/>
  <c r="H12225" i="6" s="1"/>
  <c r="I12225" i="6"/>
  <c r="J12225" i="6"/>
  <c r="F12226" i="6"/>
  <c r="G12226" i="6"/>
  <c r="H12226" i="6" s="1"/>
  <c r="I12226" i="6"/>
  <c r="J12226" i="6"/>
  <c r="F12227" i="6"/>
  <c r="G12227" i="6"/>
  <c r="H12227" i="6" s="1"/>
  <c r="I12227" i="6"/>
  <c r="J12227" i="6"/>
  <c r="F12228" i="6"/>
  <c r="G12228" i="6"/>
  <c r="H12228" i="6" s="1"/>
  <c r="I12228" i="6"/>
  <c r="J12228" i="6"/>
  <c r="F12229" i="6"/>
  <c r="G12229" i="6"/>
  <c r="H12229" i="6" s="1"/>
  <c r="I12229" i="6"/>
  <c r="J12229" i="6"/>
  <c r="F12230" i="6"/>
  <c r="G12230" i="6"/>
  <c r="H12230" i="6" s="1"/>
  <c r="I12230" i="6"/>
  <c r="J12230" i="6"/>
  <c r="F12231" i="6"/>
  <c r="G12231" i="6"/>
  <c r="H12231" i="6" s="1"/>
  <c r="I12231" i="6"/>
  <c r="J12231" i="6"/>
  <c r="F12232" i="6"/>
  <c r="G12232" i="6"/>
  <c r="H12232" i="6" s="1"/>
  <c r="I12232" i="6"/>
  <c r="J12232" i="6"/>
  <c r="F12233" i="6"/>
  <c r="G12233" i="6"/>
  <c r="H12233" i="6" s="1"/>
  <c r="I12233" i="6"/>
  <c r="J12233" i="6"/>
  <c r="F12234" i="6"/>
  <c r="G12234" i="6"/>
  <c r="H12234" i="6" s="1"/>
  <c r="I12234" i="6"/>
  <c r="J12234" i="6"/>
  <c r="F12235" i="6"/>
  <c r="G12235" i="6"/>
  <c r="H12235" i="6" s="1"/>
  <c r="I12235" i="6"/>
  <c r="J12235" i="6"/>
  <c r="F12236" i="6"/>
  <c r="G12236" i="6"/>
  <c r="H12236" i="6" s="1"/>
  <c r="I12236" i="6"/>
  <c r="J12236" i="6"/>
  <c r="F12237" i="6"/>
  <c r="G12237" i="6"/>
  <c r="H12237" i="6" s="1"/>
  <c r="I12237" i="6"/>
  <c r="J12237" i="6"/>
  <c r="F12238" i="6"/>
  <c r="G12238" i="6"/>
  <c r="H12238" i="6" s="1"/>
  <c r="I12238" i="6"/>
  <c r="J12238" i="6"/>
  <c r="F12239" i="6"/>
  <c r="G12239" i="6"/>
  <c r="H12239" i="6" s="1"/>
  <c r="I12239" i="6"/>
  <c r="J12239" i="6"/>
  <c r="F12240" i="6"/>
  <c r="G12240" i="6"/>
  <c r="H12240" i="6" s="1"/>
  <c r="I12240" i="6"/>
  <c r="J12240" i="6"/>
  <c r="F12241" i="6"/>
  <c r="G12241" i="6"/>
  <c r="H12241" i="6" s="1"/>
  <c r="I12241" i="6"/>
  <c r="J12241" i="6"/>
  <c r="F12242" i="6"/>
  <c r="G12242" i="6"/>
  <c r="H12242" i="6" s="1"/>
  <c r="I12242" i="6"/>
  <c r="J12242" i="6"/>
  <c r="F12243" i="6"/>
  <c r="G12243" i="6"/>
  <c r="H12243" i="6" s="1"/>
  <c r="I12243" i="6"/>
  <c r="J12243" i="6"/>
  <c r="F12244" i="6"/>
  <c r="G12244" i="6"/>
  <c r="H12244" i="6" s="1"/>
  <c r="I12244" i="6"/>
  <c r="J12244" i="6"/>
  <c r="F12245" i="6"/>
  <c r="G12245" i="6"/>
  <c r="H12245" i="6" s="1"/>
  <c r="I12245" i="6"/>
  <c r="J12245" i="6"/>
  <c r="F12246" i="6"/>
  <c r="G12246" i="6"/>
  <c r="H12246" i="6" s="1"/>
  <c r="I12246" i="6"/>
  <c r="J12246" i="6"/>
  <c r="F12247" i="6"/>
  <c r="G12247" i="6"/>
  <c r="H12247" i="6" s="1"/>
  <c r="I12247" i="6"/>
  <c r="J12247" i="6"/>
  <c r="F12248" i="6"/>
  <c r="G12248" i="6"/>
  <c r="H12248" i="6" s="1"/>
  <c r="I12248" i="6"/>
  <c r="J12248" i="6"/>
  <c r="F12249" i="6"/>
  <c r="G12249" i="6"/>
  <c r="H12249" i="6" s="1"/>
  <c r="I12249" i="6"/>
  <c r="J12249" i="6"/>
  <c r="F12250" i="6"/>
  <c r="G12250" i="6"/>
  <c r="H12250" i="6" s="1"/>
  <c r="I12250" i="6"/>
  <c r="J12250" i="6"/>
  <c r="F12251" i="6"/>
  <c r="G12251" i="6"/>
  <c r="H12251" i="6" s="1"/>
  <c r="I12251" i="6"/>
  <c r="J12251" i="6"/>
  <c r="F12252" i="6"/>
  <c r="G12252" i="6"/>
  <c r="H12252" i="6" s="1"/>
  <c r="I12252" i="6"/>
  <c r="J12252" i="6"/>
  <c r="F12253" i="6"/>
  <c r="G12253" i="6"/>
  <c r="H12253" i="6" s="1"/>
  <c r="I12253" i="6"/>
  <c r="J12253" i="6"/>
  <c r="F12254" i="6"/>
  <c r="G12254" i="6"/>
  <c r="H12254" i="6" s="1"/>
  <c r="I12254" i="6"/>
  <c r="J12254" i="6"/>
  <c r="F12255" i="6"/>
  <c r="G12255" i="6"/>
  <c r="H12255" i="6" s="1"/>
  <c r="I12255" i="6"/>
  <c r="J12255" i="6"/>
  <c r="F12256" i="6"/>
  <c r="G12256" i="6"/>
  <c r="H12256" i="6" s="1"/>
  <c r="I12256" i="6"/>
  <c r="J12256" i="6"/>
  <c r="F12257" i="6"/>
  <c r="G12257" i="6"/>
  <c r="H12257" i="6" s="1"/>
  <c r="I12257" i="6"/>
  <c r="J12257" i="6"/>
  <c r="F12258" i="6"/>
  <c r="G12258" i="6"/>
  <c r="H12258" i="6" s="1"/>
  <c r="I12258" i="6"/>
  <c r="J12258" i="6"/>
  <c r="F12259" i="6"/>
  <c r="G12259" i="6"/>
  <c r="H12259" i="6" s="1"/>
  <c r="I12259" i="6"/>
  <c r="J12259" i="6"/>
  <c r="F12260" i="6"/>
  <c r="G12260" i="6"/>
  <c r="H12260" i="6" s="1"/>
  <c r="I12260" i="6"/>
  <c r="J12260" i="6"/>
  <c r="F12261" i="6"/>
  <c r="G12261" i="6"/>
  <c r="H12261" i="6" s="1"/>
  <c r="I12261" i="6"/>
  <c r="J12261" i="6"/>
  <c r="F12262" i="6"/>
  <c r="G12262" i="6"/>
  <c r="H12262" i="6" s="1"/>
  <c r="I12262" i="6"/>
  <c r="J12262" i="6"/>
  <c r="F12263" i="6"/>
  <c r="G12263" i="6"/>
  <c r="H12263" i="6" s="1"/>
  <c r="I12263" i="6"/>
  <c r="J12263" i="6"/>
  <c r="F12264" i="6"/>
  <c r="G12264" i="6"/>
  <c r="H12264" i="6" s="1"/>
  <c r="I12264" i="6"/>
  <c r="J12264" i="6"/>
  <c r="F12265" i="6"/>
  <c r="G12265" i="6"/>
  <c r="H12265" i="6" s="1"/>
  <c r="I12265" i="6"/>
  <c r="J12265" i="6"/>
  <c r="F12266" i="6"/>
  <c r="G12266" i="6"/>
  <c r="H12266" i="6" s="1"/>
  <c r="I12266" i="6"/>
  <c r="J12266" i="6"/>
  <c r="F12267" i="6"/>
  <c r="G12267" i="6"/>
  <c r="H12267" i="6" s="1"/>
  <c r="I12267" i="6"/>
  <c r="J12267" i="6"/>
  <c r="F12268" i="6"/>
  <c r="G12268" i="6"/>
  <c r="H12268" i="6" s="1"/>
  <c r="I12268" i="6"/>
  <c r="J12268" i="6"/>
  <c r="F12269" i="6"/>
  <c r="G12269" i="6"/>
  <c r="H12269" i="6" s="1"/>
  <c r="I12269" i="6"/>
  <c r="J12269" i="6"/>
  <c r="F12270" i="6"/>
  <c r="G12270" i="6"/>
  <c r="H12270" i="6" s="1"/>
  <c r="I12270" i="6"/>
  <c r="J12270" i="6"/>
  <c r="F12271" i="6"/>
  <c r="G12271" i="6"/>
  <c r="H12271" i="6" s="1"/>
  <c r="I12271" i="6"/>
  <c r="J12271" i="6"/>
  <c r="F12272" i="6"/>
  <c r="G12272" i="6"/>
  <c r="H12272" i="6" s="1"/>
  <c r="I12272" i="6"/>
  <c r="J12272" i="6"/>
  <c r="F12273" i="6"/>
  <c r="G12273" i="6"/>
  <c r="H12273" i="6" s="1"/>
  <c r="I12273" i="6"/>
  <c r="J12273" i="6"/>
  <c r="F12274" i="6"/>
  <c r="G12274" i="6"/>
  <c r="H12274" i="6" s="1"/>
  <c r="I12274" i="6"/>
  <c r="J12274" i="6"/>
  <c r="F12275" i="6"/>
  <c r="G12275" i="6"/>
  <c r="H12275" i="6" s="1"/>
  <c r="I12275" i="6"/>
  <c r="J12275" i="6"/>
  <c r="F12276" i="6"/>
  <c r="G12276" i="6"/>
  <c r="H12276" i="6" s="1"/>
  <c r="I12276" i="6"/>
  <c r="J12276" i="6"/>
  <c r="F12277" i="6"/>
  <c r="G12277" i="6"/>
  <c r="H12277" i="6" s="1"/>
  <c r="I12277" i="6"/>
  <c r="J12277" i="6"/>
  <c r="F12278" i="6"/>
  <c r="G12278" i="6"/>
  <c r="H12278" i="6" s="1"/>
  <c r="I12278" i="6"/>
  <c r="J12278" i="6"/>
  <c r="F12279" i="6"/>
  <c r="G12279" i="6"/>
  <c r="H12279" i="6" s="1"/>
  <c r="I12279" i="6"/>
  <c r="J12279" i="6"/>
  <c r="F12280" i="6"/>
  <c r="G12280" i="6"/>
  <c r="H12280" i="6" s="1"/>
  <c r="I12280" i="6"/>
  <c r="J12280" i="6"/>
  <c r="F12281" i="6"/>
  <c r="G12281" i="6"/>
  <c r="H12281" i="6" s="1"/>
  <c r="I12281" i="6"/>
  <c r="J12281" i="6"/>
  <c r="F12282" i="6"/>
  <c r="G12282" i="6"/>
  <c r="H12282" i="6" s="1"/>
  <c r="I12282" i="6"/>
  <c r="J12282" i="6"/>
  <c r="F12283" i="6"/>
  <c r="G12283" i="6"/>
  <c r="H12283" i="6" s="1"/>
  <c r="I12283" i="6"/>
  <c r="J12283" i="6"/>
  <c r="F12284" i="6"/>
  <c r="G12284" i="6"/>
  <c r="H12284" i="6" s="1"/>
  <c r="I12284" i="6"/>
  <c r="J12284" i="6"/>
  <c r="F12285" i="6"/>
  <c r="G12285" i="6"/>
  <c r="H12285" i="6" s="1"/>
  <c r="I12285" i="6"/>
  <c r="J12285" i="6"/>
  <c r="F12286" i="6"/>
  <c r="G12286" i="6"/>
  <c r="H12286" i="6" s="1"/>
  <c r="I12286" i="6"/>
  <c r="J12286" i="6"/>
  <c r="F12287" i="6"/>
  <c r="G12287" i="6"/>
  <c r="H12287" i="6" s="1"/>
  <c r="I12287" i="6"/>
  <c r="J12287" i="6"/>
  <c r="F12288" i="6"/>
  <c r="G12288" i="6"/>
  <c r="H12288" i="6" s="1"/>
  <c r="I12288" i="6"/>
  <c r="J12288" i="6"/>
  <c r="F12289" i="6"/>
  <c r="G12289" i="6"/>
  <c r="H12289" i="6" s="1"/>
  <c r="I12289" i="6"/>
  <c r="J12289" i="6"/>
  <c r="F12290" i="6"/>
  <c r="G12290" i="6"/>
  <c r="H12290" i="6" s="1"/>
  <c r="I12290" i="6"/>
  <c r="J12290" i="6"/>
  <c r="F12291" i="6"/>
  <c r="G12291" i="6"/>
  <c r="H12291" i="6" s="1"/>
  <c r="I12291" i="6"/>
  <c r="J12291" i="6"/>
  <c r="F12292" i="6"/>
  <c r="G12292" i="6"/>
  <c r="H12292" i="6" s="1"/>
  <c r="I12292" i="6"/>
  <c r="J12292" i="6"/>
  <c r="F12293" i="6"/>
  <c r="G12293" i="6"/>
  <c r="H12293" i="6" s="1"/>
  <c r="I12293" i="6"/>
  <c r="J12293" i="6"/>
  <c r="F12294" i="6"/>
  <c r="G12294" i="6"/>
  <c r="H12294" i="6" s="1"/>
  <c r="I12294" i="6"/>
  <c r="J12294" i="6"/>
  <c r="F12295" i="6"/>
  <c r="G12295" i="6"/>
  <c r="H12295" i="6" s="1"/>
  <c r="I12295" i="6"/>
  <c r="J12295" i="6"/>
  <c r="F12296" i="6"/>
  <c r="G12296" i="6"/>
  <c r="H12296" i="6" s="1"/>
  <c r="I12296" i="6"/>
  <c r="J12296" i="6"/>
  <c r="F12297" i="6"/>
  <c r="G12297" i="6"/>
  <c r="H12297" i="6" s="1"/>
  <c r="I12297" i="6"/>
  <c r="J12297" i="6"/>
  <c r="F12298" i="6"/>
  <c r="G12298" i="6"/>
  <c r="H12298" i="6" s="1"/>
  <c r="I12298" i="6"/>
  <c r="J12298" i="6"/>
  <c r="F12299" i="6"/>
  <c r="G12299" i="6"/>
  <c r="H12299" i="6" s="1"/>
  <c r="I12299" i="6"/>
  <c r="J12299" i="6"/>
  <c r="F12300" i="6"/>
  <c r="G12300" i="6"/>
  <c r="H12300" i="6" s="1"/>
  <c r="I12300" i="6"/>
  <c r="J12300" i="6"/>
  <c r="F12301" i="6"/>
  <c r="G12301" i="6"/>
  <c r="H12301" i="6" s="1"/>
  <c r="I12301" i="6"/>
  <c r="J12301" i="6"/>
  <c r="F12302" i="6"/>
  <c r="G12302" i="6"/>
  <c r="H12302" i="6" s="1"/>
  <c r="I12302" i="6"/>
  <c r="J12302" i="6"/>
  <c r="F12303" i="6"/>
  <c r="G12303" i="6"/>
  <c r="H12303" i="6" s="1"/>
  <c r="I12303" i="6"/>
  <c r="J12303" i="6"/>
  <c r="F12304" i="6"/>
  <c r="G12304" i="6"/>
  <c r="H12304" i="6" s="1"/>
  <c r="I12304" i="6"/>
  <c r="J12304" i="6"/>
  <c r="F12305" i="6"/>
  <c r="G12305" i="6"/>
  <c r="H12305" i="6" s="1"/>
  <c r="I12305" i="6"/>
  <c r="J12305" i="6"/>
  <c r="F12306" i="6"/>
  <c r="G12306" i="6"/>
  <c r="H12306" i="6" s="1"/>
  <c r="I12306" i="6"/>
  <c r="J12306" i="6"/>
  <c r="F12307" i="6"/>
  <c r="G12307" i="6"/>
  <c r="H12307" i="6" s="1"/>
  <c r="I12307" i="6"/>
  <c r="J12307" i="6"/>
  <c r="F12308" i="6"/>
  <c r="G12308" i="6"/>
  <c r="H12308" i="6" s="1"/>
  <c r="I12308" i="6"/>
  <c r="J12308" i="6"/>
  <c r="F12309" i="6"/>
  <c r="G12309" i="6"/>
  <c r="H12309" i="6" s="1"/>
  <c r="I12309" i="6"/>
  <c r="J12309" i="6"/>
  <c r="F12310" i="6"/>
  <c r="G12310" i="6"/>
  <c r="H12310" i="6" s="1"/>
  <c r="I12310" i="6"/>
  <c r="J12310" i="6"/>
  <c r="F12311" i="6"/>
  <c r="G12311" i="6"/>
  <c r="H12311" i="6" s="1"/>
  <c r="I12311" i="6"/>
  <c r="J12311" i="6"/>
  <c r="F12312" i="6"/>
  <c r="G12312" i="6"/>
  <c r="H12312" i="6" s="1"/>
  <c r="I12312" i="6"/>
  <c r="J12312" i="6"/>
  <c r="F12313" i="6"/>
  <c r="G12313" i="6"/>
  <c r="H12313" i="6" s="1"/>
  <c r="I12313" i="6"/>
  <c r="J12313" i="6"/>
  <c r="F12314" i="6"/>
  <c r="G12314" i="6"/>
  <c r="H12314" i="6" s="1"/>
  <c r="I12314" i="6"/>
  <c r="J12314" i="6"/>
  <c r="F12315" i="6"/>
  <c r="G12315" i="6"/>
  <c r="H12315" i="6" s="1"/>
  <c r="I12315" i="6"/>
  <c r="J12315" i="6"/>
  <c r="F12316" i="6"/>
  <c r="G12316" i="6"/>
  <c r="H12316" i="6" s="1"/>
  <c r="I12316" i="6"/>
  <c r="J12316" i="6"/>
  <c r="F12317" i="6"/>
  <c r="G12317" i="6"/>
  <c r="H12317" i="6" s="1"/>
  <c r="I12317" i="6"/>
  <c r="J12317" i="6"/>
  <c r="F12318" i="6"/>
  <c r="G12318" i="6"/>
  <c r="H12318" i="6" s="1"/>
  <c r="I12318" i="6"/>
  <c r="J12318" i="6"/>
  <c r="F12319" i="6"/>
  <c r="G12319" i="6"/>
  <c r="H12319" i="6" s="1"/>
  <c r="I12319" i="6"/>
  <c r="J12319" i="6"/>
  <c r="F12320" i="6"/>
  <c r="G12320" i="6"/>
  <c r="H12320" i="6" s="1"/>
  <c r="I12320" i="6"/>
  <c r="J12320" i="6"/>
  <c r="F12321" i="6"/>
  <c r="G12321" i="6"/>
  <c r="H12321" i="6" s="1"/>
  <c r="I12321" i="6"/>
  <c r="J12321" i="6"/>
  <c r="F12322" i="6"/>
  <c r="G12322" i="6"/>
  <c r="H12322" i="6" s="1"/>
  <c r="I12322" i="6"/>
  <c r="J12322" i="6"/>
  <c r="F12323" i="6"/>
  <c r="G12323" i="6"/>
  <c r="H12323" i="6" s="1"/>
  <c r="I12323" i="6"/>
  <c r="J12323" i="6"/>
  <c r="F12324" i="6"/>
  <c r="G12324" i="6"/>
  <c r="H12324" i="6" s="1"/>
  <c r="I12324" i="6"/>
  <c r="J12324" i="6"/>
  <c r="F12325" i="6"/>
  <c r="G12325" i="6"/>
  <c r="H12325" i="6" s="1"/>
  <c r="I12325" i="6"/>
  <c r="J12325" i="6"/>
  <c r="F12326" i="6"/>
  <c r="G12326" i="6"/>
  <c r="H12326" i="6" s="1"/>
  <c r="I12326" i="6"/>
  <c r="J12326" i="6"/>
  <c r="F12327" i="6"/>
  <c r="G12327" i="6"/>
  <c r="H12327" i="6" s="1"/>
  <c r="I12327" i="6"/>
  <c r="J12327" i="6"/>
  <c r="F12328" i="6"/>
  <c r="G12328" i="6"/>
  <c r="H12328" i="6" s="1"/>
  <c r="I12328" i="6"/>
  <c r="J12328" i="6"/>
  <c r="F12329" i="6"/>
  <c r="G12329" i="6"/>
  <c r="H12329" i="6" s="1"/>
  <c r="I12329" i="6"/>
  <c r="J12329" i="6"/>
  <c r="F12330" i="6"/>
  <c r="G12330" i="6"/>
  <c r="H12330" i="6" s="1"/>
  <c r="I12330" i="6"/>
  <c r="J12330" i="6"/>
  <c r="F12331" i="6"/>
  <c r="G12331" i="6"/>
  <c r="H12331" i="6" s="1"/>
  <c r="I12331" i="6"/>
  <c r="J12331" i="6"/>
  <c r="F12332" i="6"/>
  <c r="G12332" i="6"/>
  <c r="H12332" i="6" s="1"/>
  <c r="I12332" i="6"/>
  <c r="J12332" i="6"/>
  <c r="F12333" i="6"/>
  <c r="G12333" i="6"/>
  <c r="H12333" i="6" s="1"/>
  <c r="I12333" i="6"/>
  <c r="J12333" i="6"/>
  <c r="F12334" i="6"/>
  <c r="G12334" i="6"/>
  <c r="H12334" i="6" s="1"/>
  <c r="I12334" i="6"/>
  <c r="J12334" i="6"/>
  <c r="F12335" i="6"/>
  <c r="G12335" i="6"/>
  <c r="H12335" i="6" s="1"/>
  <c r="I12335" i="6"/>
  <c r="J12335" i="6"/>
  <c r="F12336" i="6"/>
  <c r="G12336" i="6"/>
  <c r="H12336" i="6" s="1"/>
  <c r="I12336" i="6"/>
  <c r="J12336" i="6"/>
  <c r="F12337" i="6"/>
  <c r="G12337" i="6"/>
  <c r="H12337" i="6" s="1"/>
  <c r="I12337" i="6"/>
  <c r="J12337" i="6"/>
  <c r="F12338" i="6"/>
  <c r="G12338" i="6"/>
  <c r="H12338" i="6" s="1"/>
  <c r="I12338" i="6"/>
  <c r="J12338" i="6"/>
  <c r="F12339" i="6"/>
  <c r="G12339" i="6"/>
  <c r="H12339" i="6" s="1"/>
  <c r="I12339" i="6"/>
  <c r="J12339" i="6"/>
  <c r="F12340" i="6"/>
  <c r="G12340" i="6"/>
  <c r="H12340" i="6" s="1"/>
  <c r="I12340" i="6"/>
  <c r="J12340" i="6"/>
  <c r="F12341" i="6"/>
  <c r="G12341" i="6"/>
  <c r="H12341" i="6" s="1"/>
  <c r="I12341" i="6"/>
  <c r="J12341" i="6"/>
  <c r="F12342" i="6"/>
  <c r="G12342" i="6"/>
  <c r="H12342" i="6" s="1"/>
  <c r="I12342" i="6"/>
  <c r="J12342" i="6"/>
  <c r="F12343" i="6"/>
  <c r="G12343" i="6"/>
  <c r="H12343" i="6" s="1"/>
  <c r="I12343" i="6"/>
  <c r="J12343" i="6"/>
  <c r="F12344" i="6"/>
  <c r="G12344" i="6"/>
  <c r="H12344" i="6" s="1"/>
  <c r="I12344" i="6"/>
  <c r="J12344" i="6"/>
  <c r="F12345" i="6"/>
  <c r="G12345" i="6"/>
  <c r="H12345" i="6" s="1"/>
  <c r="I12345" i="6"/>
  <c r="J12345" i="6"/>
  <c r="F12346" i="6"/>
  <c r="G12346" i="6"/>
  <c r="H12346" i="6" s="1"/>
  <c r="I12346" i="6"/>
  <c r="J12346" i="6"/>
  <c r="F12347" i="6"/>
  <c r="G12347" i="6"/>
  <c r="H12347" i="6" s="1"/>
  <c r="I12347" i="6"/>
  <c r="J12347" i="6"/>
  <c r="F12348" i="6"/>
  <c r="G12348" i="6"/>
  <c r="H12348" i="6" s="1"/>
  <c r="I12348" i="6"/>
  <c r="J12348" i="6"/>
  <c r="F12349" i="6"/>
  <c r="G12349" i="6"/>
  <c r="H12349" i="6" s="1"/>
  <c r="I12349" i="6"/>
  <c r="J12349" i="6"/>
  <c r="F12350" i="6"/>
  <c r="G12350" i="6"/>
  <c r="H12350" i="6" s="1"/>
  <c r="I12350" i="6"/>
  <c r="J12350" i="6"/>
  <c r="F12351" i="6"/>
  <c r="G12351" i="6"/>
  <c r="H12351" i="6" s="1"/>
  <c r="I12351" i="6"/>
  <c r="J12351" i="6"/>
  <c r="F12352" i="6"/>
  <c r="G12352" i="6"/>
  <c r="H12352" i="6" s="1"/>
  <c r="I12352" i="6"/>
  <c r="J12352" i="6"/>
  <c r="F12353" i="6"/>
  <c r="G12353" i="6"/>
  <c r="H12353" i="6" s="1"/>
  <c r="I12353" i="6"/>
  <c r="J12353" i="6"/>
  <c r="F12354" i="6"/>
  <c r="G12354" i="6"/>
  <c r="H12354" i="6" s="1"/>
  <c r="I12354" i="6"/>
  <c r="J12354" i="6"/>
  <c r="F12355" i="6"/>
  <c r="G12355" i="6"/>
  <c r="H12355" i="6" s="1"/>
  <c r="I12355" i="6"/>
  <c r="J12355" i="6"/>
  <c r="F12356" i="6"/>
  <c r="G12356" i="6"/>
  <c r="H12356" i="6" s="1"/>
  <c r="I12356" i="6"/>
  <c r="J12356" i="6"/>
  <c r="F12357" i="6"/>
  <c r="G12357" i="6"/>
  <c r="H12357" i="6" s="1"/>
  <c r="I12357" i="6"/>
  <c r="J12357" i="6"/>
  <c r="F12358" i="6"/>
  <c r="G12358" i="6"/>
  <c r="H12358" i="6" s="1"/>
  <c r="I12358" i="6"/>
  <c r="J12358" i="6"/>
  <c r="F12359" i="6"/>
  <c r="G12359" i="6"/>
  <c r="H12359" i="6" s="1"/>
  <c r="I12359" i="6"/>
  <c r="J12359" i="6"/>
  <c r="F12360" i="6"/>
  <c r="G12360" i="6"/>
  <c r="H12360" i="6" s="1"/>
  <c r="I12360" i="6"/>
  <c r="J12360" i="6"/>
  <c r="F12361" i="6"/>
  <c r="G12361" i="6"/>
  <c r="H12361" i="6" s="1"/>
  <c r="I12361" i="6"/>
  <c r="J12361" i="6"/>
  <c r="F12362" i="6"/>
  <c r="G12362" i="6"/>
  <c r="H12362" i="6" s="1"/>
  <c r="I12362" i="6"/>
  <c r="J12362" i="6"/>
  <c r="F12363" i="6"/>
  <c r="G12363" i="6"/>
  <c r="H12363" i="6" s="1"/>
  <c r="I12363" i="6"/>
  <c r="J12363" i="6"/>
  <c r="F12364" i="6"/>
  <c r="G12364" i="6"/>
  <c r="H12364" i="6" s="1"/>
  <c r="I12364" i="6"/>
  <c r="J12364" i="6"/>
  <c r="F12365" i="6"/>
  <c r="G12365" i="6"/>
  <c r="H12365" i="6" s="1"/>
  <c r="I12365" i="6"/>
  <c r="J12365" i="6"/>
  <c r="F12366" i="6"/>
  <c r="G12366" i="6"/>
  <c r="H12366" i="6" s="1"/>
  <c r="I12366" i="6"/>
  <c r="J12366" i="6"/>
  <c r="F12367" i="6"/>
  <c r="G12367" i="6"/>
  <c r="H12367" i="6" s="1"/>
  <c r="I12367" i="6"/>
  <c r="J12367" i="6"/>
  <c r="F12368" i="6"/>
  <c r="G12368" i="6"/>
  <c r="H12368" i="6" s="1"/>
  <c r="I12368" i="6"/>
  <c r="J12368" i="6"/>
  <c r="F12369" i="6"/>
  <c r="G12369" i="6"/>
  <c r="H12369" i="6" s="1"/>
  <c r="I12369" i="6"/>
  <c r="J12369" i="6"/>
  <c r="F12370" i="6"/>
  <c r="G12370" i="6"/>
  <c r="H12370" i="6" s="1"/>
  <c r="I12370" i="6"/>
  <c r="J12370" i="6"/>
  <c r="F12371" i="6"/>
  <c r="G12371" i="6"/>
  <c r="H12371" i="6" s="1"/>
  <c r="I12371" i="6"/>
  <c r="J12371" i="6"/>
  <c r="F12372" i="6"/>
  <c r="G12372" i="6"/>
  <c r="H12372" i="6" s="1"/>
  <c r="I12372" i="6"/>
  <c r="J12372" i="6"/>
  <c r="F12373" i="6"/>
  <c r="G12373" i="6"/>
  <c r="H12373" i="6" s="1"/>
  <c r="I12373" i="6"/>
  <c r="J12373" i="6"/>
  <c r="F12374" i="6"/>
  <c r="G12374" i="6"/>
  <c r="H12374" i="6" s="1"/>
  <c r="I12374" i="6"/>
  <c r="J12374" i="6"/>
  <c r="F12375" i="6"/>
  <c r="G12375" i="6"/>
  <c r="H12375" i="6" s="1"/>
  <c r="I12375" i="6"/>
  <c r="J12375" i="6"/>
  <c r="F12376" i="6"/>
  <c r="G12376" i="6"/>
  <c r="H12376" i="6" s="1"/>
  <c r="I12376" i="6"/>
  <c r="J12376" i="6"/>
  <c r="F12377" i="6"/>
  <c r="G12377" i="6"/>
  <c r="H12377" i="6" s="1"/>
  <c r="I12377" i="6"/>
  <c r="J12377" i="6"/>
  <c r="F12378" i="6"/>
  <c r="G12378" i="6"/>
  <c r="H12378" i="6" s="1"/>
  <c r="I12378" i="6"/>
  <c r="J12378" i="6"/>
  <c r="F12379" i="6"/>
  <c r="G12379" i="6"/>
  <c r="H12379" i="6" s="1"/>
  <c r="I12379" i="6"/>
  <c r="J12379" i="6"/>
  <c r="F12380" i="6"/>
  <c r="G12380" i="6"/>
  <c r="H12380" i="6" s="1"/>
  <c r="I12380" i="6"/>
  <c r="J12380" i="6"/>
  <c r="F12381" i="6"/>
  <c r="G12381" i="6"/>
  <c r="H12381" i="6" s="1"/>
  <c r="I12381" i="6"/>
  <c r="J12381" i="6"/>
  <c r="F12382" i="6"/>
  <c r="G12382" i="6"/>
  <c r="H12382" i="6" s="1"/>
  <c r="I12382" i="6"/>
  <c r="J12382" i="6"/>
  <c r="F12383" i="6"/>
  <c r="G12383" i="6"/>
  <c r="H12383" i="6" s="1"/>
  <c r="I12383" i="6"/>
  <c r="J12383" i="6"/>
  <c r="F12384" i="6"/>
  <c r="G12384" i="6"/>
  <c r="H12384" i="6" s="1"/>
  <c r="I12384" i="6"/>
  <c r="J12384" i="6"/>
  <c r="F12385" i="6"/>
  <c r="G12385" i="6"/>
  <c r="H12385" i="6" s="1"/>
  <c r="I12385" i="6"/>
  <c r="J12385" i="6"/>
  <c r="F12386" i="6"/>
  <c r="G12386" i="6"/>
  <c r="H12386" i="6" s="1"/>
  <c r="I12386" i="6"/>
  <c r="J12386" i="6"/>
  <c r="F12387" i="6"/>
  <c r="G12387" i="6"/>
  <c r="H12387" i="6" s="1"/>
  <c r="I12387" i="6"/>
  <c r="J12387" i="6"/>
  <c r="F12388" i="6"/>
  <c r="G12388" i="6"/>
  <c r="H12388" i="6" s="1"/>
  <c r="I12388" i="6"/>
  <c r="J12388" i="6"/>
  <c r="F12389" i="6"/>
  <c r="G12389" i="6"/>
  <c r="H12389" i="6" s="1"/>
  <c r="I12389" i="6"/>
  <c r="J12389" i="6"/>
  <c r="F12390" i="6"/>
  <c r="G12390" i="6"/>
  <c r="H12390" i="6" s="1"/>
  <c r="I12390" i="6"/>
  <c r="J12390" i="6"/>
  <c r="F12391" i="6"/>
  <c r="G12391" i="6"/>
  <c r="H12391" i="6" s="1"/>
  <c r="I12391" i="6"/>
  <c r="J12391" i="6"/>
  <c r="F12392" i="6"/>
  <c r="G12392" i="6"/>
  <c r="H12392" i="6" s="1"/>
  <c r="I12392" i="6"/>
  <c r="J12392" i="6"/>
  <c r="F12393" i="6"/>
  <c r="G12393" i="6"/>
  <c r="H12393" i="6" s="1"/>
  <c r="I12393" i="6"/>
  <c r="J12393" i="6"/>
  <c r="F12394" i="6"/>
  <c r="G12394" i="6"/>
  <c r="H12394" i="6" s="1"/>
  <c r="I12394" i="6"/>
  <c r="J12394" i="6"/>
  <c r="F12395" i="6"/>
  <c r="G12395" i="6"/>
  <c r="H12395" i="6" s="1"/>
  <c r="I12395" i="6"/>
  <c r="J12395" i="6"/>
  <c r="F12396" i="6"/>
  <c r="G12396" i="6"/>
  <c r="H12396" i="6" s="1"/>
  <c r="I12396" i="6"/>
  <c r="J12396" i="6"/>
  <c r="F12397" i="6"/>
  <c r="G12397" i="6"/>
  <c r="H12397" i="6" s="1"/>
  <c r="I12397" i="6"/>
  <c r="J12397" i="6"/>
  <c r="F12398" i="6"/>
  <c r="G12398" i="6"/>
  <c r="H12398" i="6" s="1"/>
  <c r="I12398" i="6"/>
  <c r="J12398" i="6"/>
  <c r="F12399" i="6"/>
  <c r="G12399" i="6"/>
  <c r="H12399" i="6" s="1"/>
  <c r="I12399" i="6"/>
  <c r="J12399" i="6"/>
  <c r="F12400" i="6"/>
  <c r="G12400" i="6"/>
  <c r="H12400" i="6" s="1"/>
  <c r="I12400" i="6"/>
  <c r="J12400" i="6"/>
  <c r="F12401" i="6"/>
  <c r="G12401" i="6"/>
  <c r="H12401" i="6" s="1"/>
  <c r="I12401" i="6"/>
  <c r="J12401" i="6"/>
  <c r="F12402" i="6"/>
  <c r="G12402" i="6"/>
  <c r="H12402" i="6" s="1"/>
  <c r="I12402" i="6"/>
  <c r="J12402" i="6"/>
  <c r="F12403" i="6"/>
  <c r="G12403" i="6"/>
  <c r="H12403" i="6" s="1"/>
  <c r="I12403" i="6"/>
  <c r="J12403" i="6"/>
  <c r="F12404" i="6"/>
  <c r="G12404" i="6"/>
  <c r="H12404" i="6" s="1"/>
  <c r="I12404" i="6"/>
  <c r="J12404" i="6"/>
  <c r="F12405" i="6"/>
  <c r="G12405" i="6"/>
  <c r="H12405" i="6" s="1"/>
  <c r="I12405" i="6"/>
  <c r="J12405" i="6"/>
  <c r="F12406" i="6"/>
  <c r="G12406" i="6"/>
  <c r="H12406" i="6" s="1"/>
  <c r="I12406" i="6"/>
  <c r="J12406" i="6"/>
  <c r="F12407" i="6"/>
  <c r="G12407" i="6"/>
  <c r="H12407" i="6" s="1"/>
  <c r="I12407" i="6"/>
  <c r="J12407" i="6"/>
  <c r="F12408" i="6"/>
  <c r="G12408" i="6"/>
  <c r="H12408" i="6" s="1"/>
  <c r="I12408" i="6"/>
  <c r="J12408" i="6"/>
  <c r="F12409" i="6"/>
  <c r="G12409" i="6"/>
  <c r="H12409" i="6" s="1"/>
  <c r="I12409" i="6"/>
  <c r="J12409" i="6"/>
  <c r="F12410" i="6"/>
  <c r="G12410" i="6"/>
  <c r="H12410" i="6" s="1"/>
  <c r="I12410" i="6"/>
  <c r="J12410" i="6"/>
  <c r="F12411" i="6"/>
  <c r="G12411" i="6"/>
  <c r="H12411" i="6" s="1"/>
  <c r="I12411" i="6"/>
  <c r="J12411" i="6"/>
  <c r="F12412" i="6"/>
  <c r="G12412" i="6"/>
  <c r="H12412" i="6" s="1"/>
  <c r="I12412" i="6"/>
  <c r="J12412" i="6"/>
  <c r="F12413" i="6"/>
  <c r="G12413" i="6"/>
  <c r="H12413" i="6" s="1"/>
  <c r="I12413" i="6"/>
  <c r="J12413" i="6"/>
  <c r="F12414" i="6"/>
  <c r="G12414" i="6"/>
  <c r="H12414" i="6" s="1"/>
  <c r="I12414" i="6"/>
  <c r="J12414" i="6"/>
  <c r="F12415" i="6"/>
  <c r="G12415" i="6"/>
  <c r="H12415" i="6" s="1"/>
  <c r="I12415" i="6"/>
  <c r="J12415" i="6"/>
  <c r="F12416" i="6"/>
  <c r="G12416" i="6"/>
  <c r="H12416" i="6" s="1"/>
  <c r="I12416" i="6"/>
  <c r="J12416" i="6"/>
  <c r="F12417" i="6"/>
  <c r="G12417" i="6"/>
  <c r="H12417" i="6" s="1"/>
  <c r="I12417" i="6"/>
  <c r="J12417" i="6"/>
  <c r="F12418" i="6"/>
  <c r="G12418" i="6"/>
  <c r="H12418" i="6" s="1"/>
  <c r="I12418" i="6"/>
  <c r="J12418" i="6"/>
  <c r="F12419" i="6"/>
  <c r="G12419" i="6"/>
  <c r="H12419" i="6" s="1"/>
  <c r="I12419" i="6"/>
  <c r="J12419" i="6"/>
  <c r="F12420" i="6"/>
  <c r="G12420" i="6"/>
  <c r="H12420" i="6" s="1"/>
  <c r="I12420" i="6"/>
  <c r="J12420" i="6"/>
  <c r="F12421" i="6"/>
  <c r="G12421" i="6"/>
  <c r="H12421" i="6" s="1"/>
  <c r="I12421" i="6"/>
  <c r="J12421" i="6"/>
  <c r="F12422" i="6"/>
  <c r="G12422" i="6"/>
  <c r="H12422" i="6" s="1"/>
  <c r="I12422" i="6"/>
  <c r="J12422" i="6"/>
  <c r="F12423" i="6"/>
  <c r="G12423" i="6"/>
  <c r="H12423" i="6" s="1"/>
  <c r="I12423" i="6"/>
  <c r="J12423" i="6"/>
  <c r="F12424" i="6"/>
  <c r="G12424" i="6"/>
  <c r="H12424" i="6" s="1"/>
  <c r="I12424" i="6"/>
  <c r="J12424" i="6"/>
  <c r="F12425" i="6"/>
  <c r="G12425" i="6"/>
  <c r="H12425" i="6" s="1"/>
  <c r="I12425" i="6"/>
  <c r="J12425" i="6"/>
  <c r="F12426" i="6"/>
  <c r="G12426" i="6"/>
  <c r="H12426" i="6" s="1"/>
  <c r="I12426" i="6"/>
  <c r="J12426" i="6"/>
  <c r="F12427" i="6"/>
  <c r="G12427" i="6"/>
  <c r="H12427" i="6" s="1"/>
  <c r="I12427" i="6"/>
  <c r="J12427" i="6"/>
  <c r="F12428" i="6"/>
  <c r="G12428" i="6"/>
  <c r="H12428" i="6" s="1"/>
  <c r="I12428" i="6"/>
  <c r="J12428" i="6"/>
  <c r="F12429" i="6"/>
  <c r="G12429" i="6"/>
  <c r="H12429" i="6" s="1"/>
  <c r="I12429" i="6"/>
  <c r="J12429" i="6"/>
  <c r="F12430" i="6"/>
  <c r="G12430" i="6"/>
  <c r="H12430" i="6" s="1"/>
  <c r="I12430" i="6"/>
  <c r="J12430" i="6"/>
  <c r="F12431" i="6"/>
  <c r="G12431" i="6"/>
  <c r="H12431" i="6" s="1"/>
  <c r="I12431" i="6"/>
  <c r="J12431" i="6"/>
  <c r="F12432" i="6"/>
  <c r="G12432" i="6"/>
  <c r="H12432" i="6" s="1"/>
  <c r="I12432" i="6"/>
  <c r="J12432" i="6"/>
  <c r="F12433" i="6"/>
  <c r="G12433" i="6"/>
  <c r="H12433" i="6" s="1"/>
  <c r="I12433" i="6"/>
  <c r="J12433" i="6"/>
  <c r="F12434" i="6"/>
  <c r="G12434" i="6"/>
  <c r="H12434" i="6" s="1"/>
  <c r="I12434" i="6"/>
  <c r="J12434" i="6"/>
  <c r="F12435" i="6"/>
  <c r="G12435" i="6"/>
  <c r="H12435" i="6" s="1"/>
  <c r="I12435" i="6"/>
  <c r="J12435" i="6"/>
  <c r="F12436" i="6"/>
  <c r="G12436" i="6"/>
  <c r="H12436" i="6" s="1"/>
  <c r="I12436" i="6"/>
  <c r="J12436" i="6"/>
  <c r="F12437" i="6"/>
  <c r="G12437" i="6"/>
  <c r="H12437" i="6" s="1"/>
  <c r="I12437" i="6"/>
  <c r="J12437" i="6"/>
  <c r="F12438" i="6"/>
  <c r="G12438" i="6"/>
  <c r="H12438" i="6" s="1"/>
  <c r="I12438" i="6"/>
  <c r="J12438" i="6"/>
  <c r="F12439" i="6"/>
  <c r="G12439" i="6"/>
  <c r="H12439" i="6" s="1"/>
  <c r="I12439" i="6"/>
  <c r="J12439" i="6"/>
  <c r="F12440" i="6"/>
  <c r="G12440" i="6"/>
  <c r="H12440" i="6" s="1"/>
  <c r="I12440" i="6"/>
  <c r="J12440" i="6"/>
  <c r="F12441" i="6"/>
  <c r="G12441" i="6"/>
  <c r="H12441" i="6" s="1"/>
  <c r="I12441" i="6"/>
  <c r="J12441" i="6"/>
  <c r="F12442" i="6"/>
  <c r="G12442" i="6"/>
  <c r="H12442" i="6" s="1"/>
  <c r="I12442" i="6"/>
  <c r="J12442" i="6"/>
  <c r="F12443" i="6"/>
  <c r="G12443" i="6"/>
  <c r="H12443" i="6" s="1"/>
  <c r="I12443" i="6"/>
  <c r="J12443" i="6"/>
  <c r="F12444" i="6"/>
  <c r="G12444" i="6"/>
  <c r="H12444" i="6" s="1"/>
  <c r="I12444" i="6"/>
  <c r="J12444" i="6"/>
  <c r="F12445" i="6"/>
  <c r="G12445" i="6"/>
  <c r="H12445" i="6" s="1"/>
  <c r="I12445" i="6"/>
  <c r="J12445" i="6"/>
  <c r="F12446" i="6"/>
  <c r="G12446" i="6"/>
  <c r="H12446" i="6" s="1"/>
  <c r="I12446" i="6"/>
  <c r="J12446" i="6"/>
  <c r="F12447" i="6"/>
  <c r="G12447" i="6"/>
  <c r="H12447" i="6" s="1"/>
  <c r="I12447" i="6"/>
  <c r="J12447" i="6"/>
  <c r="F12448" i="6"/>
  <c r="G12448" i="6"/>
  <c r="H12448" i="6" s="1"/>
  <c r="I12448" i="6"/>
  <c r="J12448" i="6"/>
  <c r="F12449" i="6"/>
  <c r="G12449" i="6"/>
  <c r="H12449" i="6" s="1"/>
  <c r="I12449" i="6"/>
  <c r="J12449" i="6"/>
  <c r="F12450" i="6"/>
  <c r="G12450" i="6"/>
  <c r="H12450" i="6" s="1"/>
  <c r="I12450" i="6"/>
  <c r="J12450" i="6"/>
  <c r="F12451" i="6"/>
  <c r="G12451" i="6"/>
  <c r="H12451" i="6" s="1"/>
  <c r="I12451" i="6"/>
  <c r="J12451" i="6"/>
  <c r="F12452" i="6"/>
  <c r="G12452" i="6"/>
  <c r="H12452" i="6" s="1"/>
  <c r="I12452" i="6"/>
  <c r="J12452" i="6"/>
  <c r="F12453" i="6"/>
  <c r="G12453" i="6"/>
  <c r="H12453" i="6" s="1"/>
  <c r="I12453" i="6"/>
  <c r="J12453" i="6"/>
  <c r="F12454" i="6"/>
  <c r="G12454" i="6"/>
  <c r="H12454" i="6" s="1"/>
  <c r="I12454" i="6"/>
  <c r="J12454" i="6"/>
  <c r="F12455" i="6"/>
  <c r="G12455" i="6"/>
  <c r="H12455" i="6" s="1"/>
  <c r="I12455" i="6"/>
  <c r="J12455" i="6"/>
  <c r="F12456" i="6"/>
  <c r="G12456" i="6"/>
  <c r="H12456" i="6" s="1"/>
  <c r="I12456" i="6"/>
  <c r="J12456" i="6"/>
  <c r="F12457" i="6"/>
  <c r="G12457" i="6"/>
  <c r="H12457" i="6" s="1"/>
  <c r="I12457" i="6"/>
  <c r="J12457" i="6"/>
  <c r="F12458" i="6"/>
  <c r="G12458" i="6"/>
  <c r="H12458" i="6" s="1"/>
  <c r="I12458" i="6"/>
  <c r="J12458" i="6"/>
  <c r="F12459" i="6"/>
  <c r="G12459" i="6"/>
  <c r="H12459" i="6" s="1"/>
  <c r="I12459" i="6"/>
  <c r="J12459" i="6"/>
  <c r="F12460" i="6"/>
  <c r="G12460" i="6"/>
  <c r="H12460" i="6" s="1"/>
  <c r="I12460" i="6"/>
  <c r="J12460" i="6"/>
  <c r="F12461" i="6"/>
  <c r="G12461" i="6"/>
  <c r="H12461" i="6" s="1"/>
  <c r="I12461" i="6"/>
  <c r="J12461" i="6"/>
  <c r="F12462" i="6"/>
  <c r="G12462" i="6"/>
  <c r="H12462" i="6" s="1"/>
  <c r="I12462" i="6"/>
  <c r="J12462" i="6"/>
  <c r="F12463" i="6"/>
  <c r="G12463" i="6"/>
  <c r="H12463" i="6" s="1"/>
  <c r="I12463" i="6"/>
  <c r="J12463" i="6"/>
  <c r="F12464" i="6"/>
  <c r="G12464" i="6"/>
  <c r="H12464" i="6" s="1"/>
  <c r="I12464" i="6"/>
  <c r="J12464" i="6"/>
  <c r="F12465" i="6"/>
  <c r="G12465" i="6"/>
  <c r="H12465" i="6" s="1"/>
  <c r="I12465" i="6"/>
  <c r="J12465" i="6"/>
  <c r="F12466" i="6"/>
  <c r="G12466" i="6"/>
  <c r="H12466" i="6" s="1"/>
  <c r="I12466" i="6"/>
  <c r="J12466" i="6"/>
  <c r="F12467" i="6"/>
  <c r="G12467" i="6"/>
  <c r="H12467" i="6" s="1"/>
  <c r="I12467" i="6"/>
  <c r="J12467" i="6"/>
  <c r="F12468" i="6"/>
  <c r="G12468" i="6"/>
  <c r="H12468" i="6" s="1"/>
  <c r="I12468" i="6"/>
  <c r="J12468" i="6"/>
  <c r="F12469" i="6"/>
  <c r="G12469" i="6"/>
  <c r="H12469" i="6" s="1"/>
  <c r="I12469" i="6"/>
  <c r="J12469" i="6"/>
  <c r="F12470" i="6"/>
  <c r="G12470" i="6"/>
  <c r="H12470" i="6" s="1"/>
  <c r="I12470" i="6"/>
  <c r="J12470" i="6"/>
  <c r="F12471" i="6"/>
  <c r="G12471" i="6"/>
  <c r="H12471" i="6" s="1"/>
  <c r="I12471" i="6"/>
  <c r="J12471" i="6"/>
  <c r="F12472" i="6"/>
  <c r="G12472" i="6"/>
  <c r="H12472" i="6" s="1"/>
  <c r="I12472" i="6"/>
  <c r="J12472" i="6"/>
  <c r="F12473" i="6"/>
  <c r="G12473" i="6"/>
  <c r="H12473" i="6" s="1"/>
  <c r="I12473" i="6"/>
  <c r="J12473" i="6"/>
  <c r="F12474" i="6"/>
  <c r="G12474" i="6"/>
  <c r="H12474" i="6" s="1"/>
  <c r="I12474" i="6"/>
  <c r="J12474" i="6"/>
  <c r="F12475" i="6"/>
  <c r="G12475" i="6"/>
  <c r="H12475" i="6" s="1"/>
  <c r="I12475" i="6"/>
  <c r="J12475" i="6"/>
  <c r="F12476" i="6"/>
  <c r="G12476" i="6"/>
  <c r="H12476" i="6" s="1"/>
  <c r="I12476" i="6"/>
  <c r="J12476" i="6"/>
  <c r="F12477" i="6"/>
  <c r="G12477" i="6"/>
  <c r="H12477" i="6" s="1"/>
  <c r="I12477" i="6"/>
  <c r="J12477" i="6"/>
  <c r="F12478" i="6"/>
  <c r="G12478" i="6"/>
  <c r="H12478" i="6" s="1"/>
  <c r="I12478" i="6"/>
  <c r="J12478" i="6"/>
  <c r="F12479" i="6"/>
  <c r="G12479" i="6"/>
  <c r="H12479" i="6" s="1"/>
  <c r="I12479" i="6"/>
  <c r="J12479" i="6"/>
  <c r="F12480" i="6"/>
  <c r="G12480" i="6"/>
  <c r="H12480" i="6" s="1"/>
  <c r="I12480" i="6"/>
  <c r="J12480" i="6"/>
  <c r="F12481" i="6"/>
  <c r="G12481" i="6"/>
  <c r="H12481" i="6" s="1"/>
  <c r="I12481" i="6"/>
  <c r="J12481" i="6"/>
  <c r="F12482" i="6"/>
  <c r="G12482" i="6"/>
  <c r="H12482" i="6" s="1"/>
  <c r="I12482" i="6"/>
  <c r="J12482" i="6"/>
  <c r="F12483" i="6"/>
  <c r="G12483" i="6"/>
  <c r="H12483" i="6" s="1"/>
  <c r="I12483" i="6"/>
  <c r="J12483" i="6"/>
  <c r="F12484" i="6"/>
  <c r="G12484" i="6"/>
  <c r="H12484" i="6" s="1"/>
  <c r="I12484" i="6"/>
  <c r="J12484" i="6"/>
  <c r="F12485" i="6"/>
  <c r="G12485" i="6"/>
  <c r="H12485" i="6" s="1"/>
  <c r="I12485" i="6"/>
  <c r="J12485" i="6"/>
  <c r="F12486" i="6"/>
  <c r="G12486" i="6"/>
  <c r="H12486" i="6" s="1"/>
  <c r="I12486" i="6"/>
  <c r="J12486" i="6"/>
  <c r="F12487" i="6"/>
  <c r="G12487" i="6"/>
  <c r="H12487" i="6" s="1"/>
  <c r="I12487" i="6"/>
  <c r="J12487" i="6"/>
  <c r="F12488" i="6"/>
  <c r="G12488" i="6"/>
  <c r="H12488" i="6" s="1"/>
  <c r="I12488" i="6"/>
  <c r="J12488" i="6"/>
  <c r="F12489" i="6"/>
  <c r="G12489" i="6"/>
  <c r="H12489" i="6" s="1"/>
  <c r="I12489" i="6"/>
  <c r="J12489" i="6"/>
  <c r="F12490" i="6"/>
  <c r="G12490" i="6"/>
  <c r="H12490" i="6" s="1"/>
  <c r="I12490" i="6"/>
  <c r="J12490" i="6"/>
  <c r="F12491" i="6"/>
  <c r="G12491" i="6"/>
  <c r="H12491" i="6" s="1"/>
  <c r="I12491" i="6"/>
  <c r="J12491" i="6"/>
  <c r="F12492" i="6"/>
  <c r="G12492" i="6"/>
  <c r="H12492" i="6" s="1"/>
  <c r="I12492" i="6"/>
  <c r="J12492" i="6"/>
  <c r="F12493" i="6"/>
  <c r="G12493" i="6"/>
  <c r="H12493" i="6" s="1"/>
  <c r="I12493" i="6"/>
  <c r="J12493" i="6"/>
  <c r="F12494" i="6"/>
  <c r="G12494" i="6"/>
  <c r="H12494" i="6" s="1"/>
  <c r="I12494" i="6"/>
  <c r="J12494" i="6"/>
  <c r="F12495" i="6"/>
  <c r="G12495" i="6"/>
  <c r="H12495" i="6" s="1"/>
  <c r="I12495" i="6"/>
  <c r="J12495" i="6"/>
  <c r="F12496" i="6"/>
  <c r="G12496" i="6"/>
  <c r="H12496" i="6" s="1"/>
  <c r="I12496" i="6"/>
  <c r="J12496" i="6"/>
  <c r="F12497" i="6"/>
  <c r="G12497" i="6"/>
  <c r="H12497" i="6" s="1"/>
  <c r="I12497" i="6"/>
  <c r="J12497" i="6"/>
  <c r="F12498" i="6"/>
  <c r="G12498" i="6"/>
  <c r="H12498" i="6" s="1"/>
  <c r="I12498" i="6"/>
  <c r="J12498" i="6"/>
  <c r="F12499" i="6"/>
  <c r="G12499" i="6"/>
  <c r="H12499" i="6" s="1"/>
  <c r="I12499" i="6"/>
  <c r="J12499" i="6"/>
  <c r="F12500" i="6"/>
  <c r="G12500" i="6"/>
  <c r="H12500" i="6" s="1"/>
  <c r="I12500" i="6"/>
  <c r="J12500" i="6"/>
  <c r="F12501" i="6"/>
  <c r="G12501" i="6"/>
  <c r="H12501" i="6" s="1"/>
  <c r="I12501" i="6"/>
  <c r="J12501" i="6"/>
  <c r="F12502" i="6"/>
  <c r="G12502" i="6"/>
  <c r="H12502" i="6" s="1"/>
  <c r="I12502" i="6"/>
  <c r="J12502" i="6"/>
  <c r="F12503" i="6"/>
  <c r="G12503" i="6"/>
  <c r="H12503" i="6" s="1"/>
  <c r="I12503" i="6"/>
  <c r="J12503" i="6"/>
  <c r="F12504" i="6"/>
  <c r="G12504" i="6"/>
  <c r="H12504" i="6" s="1"/>
  <c r="I12504" i="6"/>
  <c r="J12504" i="6"/>
  <c r="F12505" i="6"/>
  <c r="G12505" i="6"/>
  <c r="H12505" i="6" s="1"/>
  <c r="I12505" i="6"/>
  <c r="J12505" i="6"/>
  <c r="F12506" i="6"/>
  <c r="G12506" i="6"/>
  <c r="H12506" i="6" s="1"/>
  <c r="I12506" i="6"/>
  <c r="J12506" i="6"/>
  <c r="F12507" i="6"/>
  <c r="G12507" i="6"/>
  <c r="H12507" i="6" s="1"/>
  <c r="I12507" i="6"/>
  <c r="J12507" i="6"/>
  <c r="F12508" i="6"/>
  <c r="G12508" i="6"/>
  <c r="H12508" i="6" s="1"/>
  <c r="I12508" i="6"/>
  <c r="J12508" i="6"/>
  <c r="F12509" i="6"/>
  <c r="G12509" i="6"/>
  <c r="H12509" i="6" s="1"/>
  <c r="I12509" i="6"/>
  <c r="J12509" i="6"/>
  <c r="F12510" i="6"/>
  <c r="G12510" i="6"/>
  <c r="H12510" i="6" s="1"/>
  <c r="I12510" i="6"/>
  <c r="J12510" i="6"/>
  <c r="F12511" i="6"/>
  <c r="G12511" i="6"/>
  <c r="H12511" i="6" s="1"/>
  <c r="I12511" i="6"/>
  <c r="J12511" i="6"/>
  <c r="F12512" i="6"/>
  <c r="G12512" i="6"/>
  <c r="H12512" i="6" s="1"/>
  <c r="I12512" i="6"/>
  <c r="J12512" i="6"/>
  <c r="F12513" i="6"/>
  <c r="G12513" i="6"/>
  <c r="H12513" i="6" s="1"/>
  <c r="I12513" i="6"/>
  <c r="J12513" i="6"/>
  <c r="F12514" i="6"/>
  <c r="G12514" i="6"/>
  <c r="H12514" i="6" s="1"/>
  <c r="I12514" i="6"/>
  <c r="J12514" i="6"/>
  <c r="F12515" i="6"/>
  <c r="G12515" i="6"/>
  <c r="H12515" i="6" s="1"/>
  <c r="I12515" i="6"/>
  <c r="J12515" i="6"/>
  <c r="F12516" i="6"/>
  <c r="G12516" i="6"/>
  <c r="H12516" i="6" s="1"/>
  <c r="I12516" i="6"/>
  <c r="J12516" i="6"/>
  <c r="F12517" i="6"/>
  <c r="G12517" i="6"/>
  <c r="H12517" i="6" s="1"/>
  <c r="I12517" i="6"/>
  <c r="J12517" i="6"/>
  <c r="F12518" i="6"/>
  <c r="G12518" i="6"/>
  <c r="H12518" i="6" s="1"/>
  <c r="I12518" i="6"/>
  <c r="J12518" i="6"/>
  <c r="F12519" i="6"/>
  <c r="G12519" i="6"/>
  <c r="H12519" i="6" s="1"/>
  <c r="I12519" i="6"/>
  <c r="J12519" i="6"/>
  <c r="F12520" i="6"/>
  <c r="G12520" i="6"/>
  <c r="H12520" i="6" s="1"/>
  <c r="I12520" i="6"/>
  <c r="J12520" i="6"/>
  <c r="F12521" i="6"/>
  <c r="G12521" i="6"/>
  <c r="H12521" i="6" s="1"/>
  <c r="I12521" i="6"/>
  <c r="J12521" i="6"/>
  <c r="F12522" i="6"/>
  <c r="G12522" i="6"/>
  <c r="H12522" i="6" s="1"/>
  <c r="I12522" i="6"/>
  <c r="J12522" i="6"/>
  <c r="F12523" i="6"/>
  <c r="G12523" i="6"/>
  <c r="H12523" i="6" s="1"/>
  <c r="I12523" i="6"/>
  <c r="J12523" i="6"/>
  <c r="F12524" i="6"/>
  <c r="G12524" i="6"/>
  <c r="H12524" i="6" s="1"/>
  <c r="I12524" i="6"/>
  <c r="J12524" i="6"/>
  <c r="F12525" i="6"/>
  <c r="G12525" i="6"/>
  <c r="H12525" i="6" s="1"/>
  <c r="I12525" i="6"/>
  <c r="J12525" i="6"/>
  <c r="F12526" i="6"/>
  <c r="G12526" i="6"/>
  <c r="H12526" i="6" s="1"/>
  <c r="I12526" i="6"/>
  <c r="J12526" i="6"/>
  <c r="F12527" i="6"/>
  <c r="G12527" i="6"/>
  <c r="H12527" i="6" s="1"/>
  <c r="I12527" i="6"/>
  <c r="J12527" i="6"/>
  <c r="F12528" i="6"/>
  <c r="G12528" i="6"/>
  <c r="H12528" i="6" s="1"/>
  <c r="I12528" i="6"/>
  <c r="J12528" i="6"/>
  <c r="F12529" i="6"/>
  <c r="G12529" i="6"/>
  <c r="H12529" i="6" s="1"/>
  <c r="I12529" i="6"/>
  <c r="J12529" i="6"/>
  <c r="F12530" i="6"/>
  <c r="G12530" i="6"/>
  <c r="H12530" i="6" s="1"/>
  <c r="I12530" i="6"/>
  <c r="J12530" i="6"/>
  <c r="F12531" i="6"/>
  <c r="G12531" i="6"/>
  <c r="H12531" i="6" s="1"/>
  <c r="I12531" i="6"/>
  <c r="J12531" i="6"/>
  <c r="F12532" i="6"/>
  <c r="G12532" i="6"/>
  <c r="H12532" i="6" s="1"/>
  <c r="I12532" i="6"/>
  <c r="J12532" i="6"/>
  <c r="F12533" i="6"/>
  <c r="G12533" i="6"/>
  <c r="H12533" i="6" s="1"/>
  <c r="I12533" i="6"/>
  <c r="J12533" i="6"/>
  <c r="F12534" i="6"/>
  <c r="G12534" i="6"/>
  <c r="H12534" i="6" s="1"/>
  <c r="I12534" i="6"/>
  <c r="J12534" i="6"/>
  <c r="F12535" i="6"/>
  <c r="G12535" i="6"/>
  <c r="H12535" i="6" s="1"/>
  <c r="I12535" i="6"/>
  <c r="J12535" i="6"/>
  <c r="F12536" i="6"/>
  <c r="G12536" i="6"/>
  <c r="H12536" i="6" s="1"/>
  <c r="I12536" i="6"/>
  <c r="J12536" i="6"/>
  <c r="F12537" i="6"/>
  <c r="G12537" i="6"/>
  <c r="H12537" i="6" s="1"/>
  <c r="I12537" i="6"/>
  <c r="J12537" i="6"/>
  <c r="F12538" i="6"/>
  <c r="G12538" i="6"/>
  <c r="H12538" i="6" s="1"/>
  <c r="I12538" i="6"/>
  <c r="J12538" i="6"/>
  <c r="F12539" i="6"/>
  <c r="G12539" i="6"/>
  <c r="H12539" i="6" s="1"/>
  <c r="I12539" i="6"/>
  <c r="J12539" i="6"/>
  <c r="F12540" i="6"/>
  <c r="G12540" i="6"/>
  <c r="H12540" i="6" s="1"/>
  <c r="I12540" i="6"/>
  <c r="J12540" i="6"/>
  <c r="F12541" i="6"/>
  <c r="G12541" i="6"/>
  <c r="H12541" i="6" s="1"/>
  <c r="I12541" i="6"/>
  <c r="J12541" i="6"/>
  <c r="F12542" i="6"/>
  <c r="G12542" i="6"/>
  <c r="H12542" i="6" s="1"/>
  <c r="I12542" i="6"/>
  <c r="J12542" i="6"/>
  <c r="F12543" i="6"/>
  <c r="G12543" i="6"/>
  <c r="H12543" i="6" s="1"/>
  <c r="I12543" i="6"/>
  <c r="J12543" i="6"/>
  <c r="F12544" i="6"/>
  <c r="G12544" i="6"/>
  <c r="H12544" i="6" s="1"/>
  <c r="I12544" i="6"/>
  <c r="J12544" i="6"/>
  <c r="F12545" i="6"/>
  <c r="G12545" i="6"/>
  <c r="H12545" i="6" s="1"/>
  <c r="I12545" i="6"/>
  <c r="J12545" i="6"/>
  <c r="F12546" i="6"/>
  <c r="G12546" i="6"/>
  <c r="H12546" i="6" s="1"/>
  <c r="I12546" i="6"/>
  <c r="J12546" i="6"/>
  <c r="F12547" i="6"/>
  <c r="G12547" i="6"/>
  <c r="H12547" i="6" s="1"/>
  <c r="I12547" i="6"/>
  <c r="J12547" i="6"/>
  <c r="F12548" i="6"/>
  <c r="G12548" i="6"/>
  <c r="H12548" i="6" s="1"/>
  <c r="I12548" i="6"/>
  <c r="J12548" i="6"/>
  <c r="F12549" i="6"/>
  <c r="G12549" i="6"/>
  <c r="H12549" i="6" s="1"/>
  <c r="I12549" i="6"/>
  <c r="J12549" i="6"/>
  <c r="F12550" i="6"/>
  <c r="G12550" i="6"/>
  <c r="H12550" i="6" s="1"/>
  <c r="I12550" i="6"/>
  <c r="J12550" i="6"/>
  <c r="F12551" i="6"/>
  <c r="G12551" i="6"/>
  <c r="H12551" i="6" s="1"/>
  <c r="I12551" i="6"/>
  <c r="J12551" i="6"/>
  <c r="F12552" i="6"/>
  <c r="G12552" i="6"/>
  <c r="H12552" i="6" s="1"/>
  <c r="I12552" i="6"/>
  <c r="J12552" i="6"/>
  <c r="F12553" i="6"/>
  <c r="G12553" i="6"/>
  <c r="H12553" i="6" s="1"/>
  <c r="I12553" i="6"/>
  <c r="J12553" i="6"/>
  <c r="F12554" i="6"/>
  <c r="G12554" i="6"/>
  <c r="H12554" i="6" s="1"/>
  <c r="I12554" i="6"/>
  <c r="J12554" i="6"/>
  <c r="F12555" i="6"/>
  <c r="G12555" i="6"/>
  <c r="H12555" i="6" s="1"/>
  <c r="I12555" i="6"/>
  <c r="J12555" i="6"/>
  <c r="F12556" i="6"/>
  <c r="G12556" i="6"/>
  <c r="H12556" i="6" s="1"/>
  <c r="I12556" i="6"/>
  <c r="J12556" i="6"/>
  <c r="F12557" i="6"/>
  <c r="G12557" i="6"/>
  <c r="H12557" i="6" s="1"/>
  <c r="I12557" i="6"/>
  <c r="J12557" i="6"/>
  <c r="F12558" i="6"/>
  <c r="G12558" i="6"/>
  <c r="H12558" i="6" s="1"/>
  <c r="I12558" i="6"/>
  <c r="J12558" i="6"/>
  <c r="F12559" i="6"/>
  <c r="G12559" i="6"/>
  <c r="H12559" i="6" s="1"/>
  <c r="I12559" i="6"/>
  <c r="J12559" i="6"/>
  <c r="F12560" i="6"/>
  <c r="G12560" i="6"/>
  <c r="H12560" i="6" s="1"/>
  <c r="I12560" i="6"/>
  <c r="J12560" i="6"/>
  <c r="F12561" i="6"/>
  <c r="G12561" i="6"/>
  <c r="H12561" i="6" s="1"/>
  <c r="I12561" i="6"/>
  <c r="J12561" i="6"/>
  <c r="F12562" i="6"/>
  <c r="G12562" i="6"/>
  <c r="H12562" i="6" s="1"/>
  <c r="I12562" i="6"/>
  <c r="J12562" i="6"/>
  <c r="F12563" i="6"/>
  <c r="G12563" i="6"/>
  <c r="H12563" i="6" s="1"/>
  <c r="I12563" i="6"/>
  <c r="J12563" i="6"/>
  <c r="F12564" i="6"/>
  <c r="G12564" i="6"/>
  <c r="H12564" i="6" s="1"/>
  <c r="I12564" i="6"/>
  <c r="J12564" i="6"/>
  <c r="F12565" i="6"/>
  <c r="G12565" i="6"/>
  <c r="H12565" i="6" s="1"/>
  <c r="I12565" i="6"/>
  <c r="J12565" i="6"/>
  <c r="F12566" i="6"/>
  <c r="G12566" i="6"/>
  <c r="H12566" i="6" s="1"/>
  <c r="I12566" i="6"/>
  <c r="J12566" i="6"/>
  <c r="F12567" i="6"/>
  <c r="G12567" i="6"/>
  <c r="H12567" i="6" s="1"/>
  <c r="I12567" i="6"/>
  <c r="J12567" i="6"/>
  <c r="F12568" i="6"/>
  <c r="G12568" i="6"/>
  <c r="H12568" i="6" s="1"/>
  <c r="I12568" i="6"/>
  <c r="J12568" i="6"/>
  <c r="D15" i="7" l="1"/>
  <c r="I2" i="7"/>
  <c r="H2" i="7"/>
  <c r="G2" i="7"/>
  <c r="F2" i="7"/>
  <c r="E2" i="7"/>
  <c r="D27" i="7" l="1"/>
  <c r="D16" i="7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2" i="5"/>
  <c r="J54" i="7" l="1"/>
  <c r="D4" i="8" l="1"/>
  <c r="D5" i="8"/>
  <c r="D6" i="8"/>
  <c r="D7" i="8"/>
  <c r="D8" i="8"/>
  <c r="D9" i="8"/>
  <c r="D10" i="8"/>
  <c r="D11" i="8"/>
  <c r="D12" i="8"/>
  <c r="D3" i="8"/>
  <c r="K13" i="7" l="1"/>
  <c r="L13" i="7"/>
  <c r="M13" i="7"/>
  <c r="N13" i="7"/>
  <c r="O13" i="7"/>
  <c r="P13" i="7"/>
  <c r="J13" i="7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2" i="5"/>
  <c r="J27" i="7" l="1"/>
  <c r="P25" i="7"/>
  <c r="P28" i="7"/>
  <c r="P23" i="7"/>
  <c r="L25" i="7"/>
  <c r="L23" i="7"/>
  <c r="O25" i="7"/>
  <c r="O28" i="7"/>
  <c r="O23" i="7"/>
  <c r="K25" i="7"/>
  <c r="K23" i="7"/>
  <c r="N23" i="7"/>
  <c r="N25" i="7"/>
  <c r="M23" i="7"/>
  <c r="M25" i="7"/>
  <c r="J23" i="7"/>
  <c r="N19" i="7"/>
  <c r="N20" i="7"/>
  <c r="J25" i="7"/>
  <c r="J19" i="7"/>
  <c r="M19" i="7"/>
  <c r="P19" i="7"/>
  <c r="P20" i="7"/>
  <c r="L19" i="7"/>
  <c r="L20" i="7"/>
  <c r="O19" i="7"/>
  <c r="O20" i="7"/>
  <c r="K19" i="7"/>
  <c r="M17" i="7"/>
  <c r="P17" i="7"/>
  <c r="L17" i="7"/>
  <c r="O17" i="7"/>
  <c r="K17" i="7"/>
  <c r="N17" i="7"/>
  <c r="J17" i="7"/>
  <c r="J15" i="7"/>
  <c r="J37" i="7"/>
  <c r="J22" i="7"/>
  <c r="J18" i="7"/>
  <c r="J21" i="7"/>
  <c r="J28" i="7" s="1"/>
  <c r="J16" i="7"/>
  <c r="M18" i="7"/>
  <c r="M22" i="7"/>
  <c r="M37" i="7"/>
  <c r="M15" i="7"/>
  <c r="M21" i="7"/>
  <c r="M20" i="7" s="1"/>
  <c r="M27" i="7"/>
  <c r="M16" i="7"/>
  <c r="N16" i="7"/>
  <c r="N18" i="7"/>
  <c r="N22" i="7"/>
  <c r="N37" i="7"/>
  <c r="N15" i="7"/>
  <c r="N21" i="7"/>
  <c r="N28" i="7" s="1"/>
  <c r="N27" i="7"/>
  <c r="P37" i="7"/>
  <c r="P15" i="7"/>
  <c r="P21" i="7"/>
  <c r="P27" i="7"/>
  <c r="P16" i="7"/>
  <c r="P18" i="7"/>
  <c r="P22" i="7"/>
  <c r="L37" i="7"/>
  <c r="L15" i="7"/>
  <c r="L21" i="7"/>
  <c r="L27" i="7"/>
  <c r="L16" i="7"/>
  <c r="L18" i="7"/>
  <c r="L22" i="7"/>
  <c r="O21" i="7"/>
  <c r="O27" i="7"/>
  <c r="O16" i="7"/>
  <c r="O18" i="7"/>
  <c r="O22" i="7"/>
  <c r="O37" i="7"/>
  <c r="O15" i="7"/>
  <c r="K21" i="7"/>
  <c r="K20" i="7" s="1"/>
  <c r="K27" i="7"/>
  <c r="K16" i="7"/>
  <c r="K18" i="7"/>
  <c r="K22" i="7"/>
  <c r="K37" i="7"/>
  <c r="K15" i="7"/>
  <c r="L28" i="7" l="1"/>
  <c r="L41" i="7" s="1"/>
  <c r="P50" i="7"/>
  <c r="P32" i="7"/>
  <c r="N50" i="7"/>
  <c r="M50" i="7"/>
  <c r="O50" i="7"/>
  <c r="O32" i="7"/>
  <c r="L50" i="7"/>
  <c r="K28" i="7"/>
  <c r="K41" i="7" s="1"/>
  <c r="M28" i="7"/>
  <c r="M41" i="7" s="1"/>
  <c r="K50" i="7"/>
  <c r="M33" i="7"/>
  <c r="J50" i="7"/>
  <c r="P48" i="7"/>
  <c r="P49" i="7"/>
  <c r="N49" i="7"/>
  <c r="N48" i="7"/>
  <c r="M49" i="7"/>
  <c r="M48" i="7"/>
  <c r="K48" i="7"/>
  <c r="K49" i="7"/>
  <c r="O48" i="7"/>
  <c r="O49" i="7"/>
  <c r="L48" i="7"/>
  <c r="L49" i="7"/>
  <c r="J49" i="7"/>
  <c r="J48" i="7"/>
  <c r="P38" i="7"/>
  <c r="P43" i="7"/>
  <c r="P44" i="7"/>
  <c r="N43" i="7"/>
  <c r="N44" i="7"/>
  <c r="N45" i="7" s="1"/>
  <c r="M43" i="7"/>
  <c r="M44" i="7"/>
  <c r="M45" i="7" s="1"/>
  <c r="K43" i="7"/>
  <c r="K44" i="7"/>
  <c r="K45" i="7" s="1"/>
  <c r="O38" i="7"/>
  <c r="O43" i="7"/>
  <c r="O44" i="7"/>
  <c r="L43" i="7"/>
  <c r="L44" i="7"/>
  <c r="L45" i="7" s="1"/>
  <c r="J43" i="7"/>
  <c r="J44" i="7"/>
  <c r="J45" i="7" s="1"/>
  <c r="J41" i="7"/>
  <c r="O47" i="7"/>
  <c r="O42" i="7"/>
  <c r="O41" i="7"/>
  <c r="P47" i="7"/>
  <c r="P41" i="7"/>
  <c r="P42" i="7"/>
  <c r="J42" i="7"/>
  <c r="J38" i="7" s="1"/>
  <c r="M42" i="7"/>
  <c r="M38" i="7" s="1"/>
  <c r="K42" i="7"/>
  <c r="K38" i="7" s="1"/>
  <c r="L42" i="7"/>
  <c r="N42" i="7"/>
  <c r="N38" i="7" s="1"/>
  <c r="N41" i="7"/>
  <c r="J20" i="7"/>
  <c r="J35" i="7" s="1"/>
  <c r="P45" i="7"/>
  <c r="O45" i="7"/>
  <c r="O33" i="7"/>
  <c r="L29" i="7"/>
  <c r="K24" i="7"/>
  <c r="K26" i="7"/>
  <c r="M24" i="7"/>
  <c r="M26" i="7"/>
  <c r="O24" i="7"/>
  <c r="O26" i="7"/>
  <c r="L24" i="7"/>
  <c r="L26" i="7"/>
  <c r="P24" i="7"/>
  <c r="P26" i="7"/>
  <c r="N24" i="7"/>
  <c r="N26" i="7"/>
  <c r="M29" i="7"/>
  <c r="J24" i="7"/>
  <c r="J26" i="7"/>
  <c r="J33" i="7"/>
  <c r="K29" i="7"/>
  <c r="K33" i="7"/>
  <c r="M36" i="7"/>
  <c r="O29" i="7"/>
  <c r="O30" i="7" s="1"/>
  <c r="O35" i="7"/>
  <c r="N36" i="7"/>
  <c r="N35" i="7"/>
  <c r="K35" i="7"/>
  <c r="M35" i="7"/>
  <c r="L36" i="7"/>
  <c r="L35" i="7"/>
  <c r="P36" i="7"/>
  <c r="P35" i="7"/>
  <c r="K36" i="7"/>
  <c r="O36" i="7"/>
  <c r="J29" i="7"/>
  <c r="P29" i="7"/>
  <c r="P33" i="7"/>
  <c r="L33" i="7"/>
  <c r="N29" i="7"/>
  <c r="N33" i="7"/>
  <c r="L38" i="7" l="1"/>
  <c r="D18" i="7" s="1"/>
  <c r="N39" i="7"/>
  <c r="N32" i="7" s="1"/>
  <c r="D30" i="7"/>
  <c r="J39" i="7"/>
  <c r="J32" i="7" s="1"/>
  <c r="D20" i="7"/>
  <c r="J36" i="7"/>
  <c r="N47" i="7"/>
  <c r="D28" i="7"/>
  <c r="D38" i="7" s="1"/>
  <c r="M47" i="7"/>
  <c r="M30" i="7"/>
  <c r="K47" i="7"/>
  <c r="L47" i="7"/>
  <c r="K30" i="7"/>
  <c r="J47" i="7"/>
  <c r="J30" i="7"/>
  <c r="J34" i="7"/>
  <c r="J31" i="7" s="1"/>
  <c r="K39" i="7"/>
  <c r="K32" i="7" s="1"/>
  <c r="L39" i="7"/>
  <c r="O39" i="7"/>
  <c r="P30" i="7"/>
  <c r="P39" i="7"/>
  <c r="M39" i="7"/>
  <c r="M32" i="7" s="1"/>
  <c r="N30" i="7"/>
  <c r="P34" i="7"/>
  <c r="P31" i="7" s="1"/>
  <c r="N34" i="7"/>
  <c r="N31" i="7" s="1"/>
  <c r="O34" i="7"/>
  <c r="O31" i="7" s="1"/>
  <c r="M34" i="7"/>
  <c r="M31" i="7" s="1"/>
  <c r="L30" i="7"/>
  <c r="L34" i="7"/>
  <c r="L31" i="7" s="1"/>
  <c r="K34" i="7"/>
  <c r="K31" i="7" s="1"/>
  <c r="L32" i="7" l="1"/>
  <c r="D32" i="7" s="1"/>
  <c r="B26" i="7"/>
  <c r="A26" i="7" s="1"/>
  <c r="D26" i="7"/>
  <c r="E26" i="7" s="1"/>
  <c r="D25" i="7"/>
  <c r="D19" i="7"/>
  <c r="B25" i="7"/>
  <c r="A25" i="7" s="1"/>
  <c r="B24" i="7"/>
  <c r="A24" i="7" s="1"/>
  <c r="B23" i="7"/>
  <c r="A23" i="7" s="1"/>
  <c r="D24" i="7"/>
  <c r="E24" i="7" s="1"/>
  <c r="D23" i="7"/>
  <c r="E23" i="7" s="1"/>
  <c r="D52" i="7"/>
  <c r="D29" i="7"/>
  <c r="D17" i="7" s="1"/>
  <c r="D22" i="7" s="1"/>
  <c r="E22" i="7" s="1"/>
  <c r="F25" i="7" l="1"/>
  <c r="E25" i="7"/>
  <c r="D21" i="7"/>
  <c r="E21" i="7" s="1"/>
  <c r="F24" i="7"/>
  <c r="F26" i="7"/>
  <c r="F23" i="7"/>
  <c r="F21" i="7" l="1"/>
  <c r="F22" i="7"/>
  <c r="A22" i="7" l="1"/>
  <c r="D37" i="7" l="1"/>
  <c r="D51" i="7"/>
  <c r="B57" i="7" s="1"/>
  <c r="D57" i="7" s="1"/>
  <c r="E57" i="7" s="1"/>
  <c r="B40" i="7" l="1"/>
  <c r="D40" i="7" s="1"/>
  <c r="E40" i="7" s="1"/>
  <c r="D39" i="7"/>
  <c r="E39" i="7" s="1"/>
  <c r="D53" i="7"/>
  <c r="E53" i="7" s="1"/>
  <c r="B54" i="7"/>
  <c r="D54" i="7" s="1"/>
  <c r="E54" i="7" s="1"/>
  <c r="B44" i="7"/>
  <c r="D44" i="7" s="1"/>
  <c r="E44" i="7" s="1"/>
  <c r="B43" i="7"/>
  <c r="D43" i="7" s="1"/>
  <c r="E43" i="7" s="1"/>
  <c r="B42" i="7"/>
  <c r="D42" i="7" s="1"/>
  <c r="E42" i="7" s="1"/>
  <c r="B41" i="7"/>
  <c r="D41" i="7" s="1"/>
  <c r="E41" i="7" s="1"/>
  <c r="B56" i="7"/>
  <c r="D56" i="7" s="1"/>
  <c r="E56" i="7" s="1"/>
  <c r="B58" i="7"/>
  <c r="D58" i="7" s="1"/>
  <c r="E58" i="7" s="1"/>
  <c r="B55" i="7"/>
  <c r="D55" i="7" s="1"/>
  <c r="E55" i="7" s="1"/>
  <c r="D59" i="7" l="1"/>
  <c r="D45" i="7"/>
  <c r="D46" i="7" s="1"/>
  <c r="D60" i="7" l="1"/>
</calcChain>
</file>

<file path=xl/sharedStrings.xml><?xml version="1.0" encoding="utf-8"?>
<sst xmlns="http://schemas.openxmlformats.org/spreadsheetml/2006/main" count="616" uniqueCount="247">
  <si>
    <t>eficacia_gar</t>
  </si>
  <si>
    <t>cli_rut</t>
  </si>
  <si>
    <t>dop_num_ope</t>
  </si>
  <si>
    <t>dec_cpd</t>
  </si>
  <si>
    <t>dop_mnt_cuo</t>
  </si>
  <si>
    <t>dop_sdo_tot</t>
  </si>
  <si>
    <t>dop_sdo_cst</t>
  </si>
  <si>
    <t>dop_dia_mra</t>
  </si>
  <si>
    <t>fecha_curse</t>
  </si>
  <si>
    <t>fec_oto</t>
  </si>
  <si>
    <t>primer_ven</t>
  </si>
  <si>
    <t>cpd_repro</t>
  </si>
  <si>
    <t>familia</t>
  </si>
  <si>
    <t>ope_num_mes_cuo</t>
  </si>
  <si>
    <t>ope_monto_origen_pes</t>
  </si>
  <si>
    <t>ope_tasa</t>
  </si>
  <si>
    <t>fecha_pago_final</t>
  </si>
  <si>
    <t>ope_moneda</t>
  </si>
  <si>
    <t>cli_rut_dv</t>
  </si>
  <si>
    <t>Tramo Plazo</t>
  </si>
  <si>
    <t>Perfil de Riesgo</t>
  </si>
  <si>
    <t>Monto $/Perfil de Riesgo</t>
  </si>
  <si>
    <t>Tasas</t>
  </si>
  <si>
    <t>0 a 24</t>
  </si>
  <si>
    <t>E</t>
  </si>
  <si>
    <t>0 a 1.000.000</t>
  </si>
  <si>
    <t>1.000.001 a 3.000.000</t>
  </si>
  <si>
    <t>3.000.001 a 4.000.000</t>
  </si>
  <si>
    <t>4.000.001 a 5.000.000</t>
  </si>
  <si>
    <t>5.000.001 a 7.000.000</t>
  </si>
  <si>
    <t>7.000.001 a 10.000.000</t>
  </si>
  <si>
    <t>10.000.001 a 15.000.000</t>
  </si>
  <si>
    <t>15.000.001 a 20.000.000</t>
  </si>
  <si>
    <t>Mayor a 20.000.000</t>
  </si>
  <si>
    <t>B</t>
  </si>
  <si>
    <t>R</t>
  </si>
  <si>
    <t>M</t>
  </si>
  <si>
    <t>25 a 48</t>
  </si>
  <si>
    <t>49 o mas</t>
  </si>
  <si>
    <t>CPD</t>
  </si>
  <si>
    <t>Cantidad de operaciones</t>
  </si>
  <si>
    <t>Clasificacion Cliente</t>
  </si>
  <si>
    <t>Pago Mensual Actual</t>
  </si>
  <si>
    <t>Tasa Pizarra</t>
  </si>
  <si>
    <t>Plazo</t>
  </si>
  <si>
    <t>Operaciones</t>
  </si>
  <si>
    <t>Nª Operación</t>
  </si>
  <si>
    <t>Fecha Prox Vencimiento</t>
  </si>
  <si>
    <t>Monto Origen Credito</t>
  </si>
  <si>
    <t>Moneda</t>
  </si>
  <si>
    <t>Nª Cuotas totales</t>
  </si>
  <si>
    <t>Nª Cuotas Pagadas</t>
  </si>
  <si>
    <t>Valor Cuota Actual</t>
  </si>
  <si>
    <t>Tasa Interes</t>
  </si>
  <si>
    <t>Saldo</t>
  </si>
  <si>
    <t>Monto</t>
  </si>
  <si>
    <t>Cod_Monto</t>
  </si>
  <si>
    <t>Excelente</t>
  </si>
  <si>
    <t>Bueno</t>
  </si>
  <si>
    <t>Regular</t>
  </si>
  <si>
    <t>Malo</t>
  </si>
  <si>
    <t>Perfil</t>
  </si>
  <si>
    <t>Cod_Perfil</t>
  </si>
  <si>
    <t>Cod_Plazo</t>
  </si>
  <si>
    <t>Codigo</t>
  </si>
  <si>
    <t>Nª Cuotas por pagar</t>
  </si>
  <si>
    <t>Fecha Ultimo Pago</t>
  </si>
  <si>
    <t>Prorroga Vigente</t>
  </si>
  <si>
    <t>Plazo Restante</t>
  </si>
  <si>
    <t>Tasa Media</t>
  </si>
  <si>
    <t>Interes x recibir</t>
  </si>
  <si>
    <t>Valor Cuota al 95%</t>
  </si>
  <si>
    <t>Saldo Insoluto</t>
  </si>
  <si>
    <t>Disminución Cuota 30% aprox</t>
  </si>
  <si>
    <t>Disminución Cuota 5% aprox</t>
  </si>
  <si>
    <t>Rut Cliente:</t>
  </si>
  <si>
    <t>Información Cliente</t>
  </si>
  <si>
    <t>Valor Cuota al 70%</t>
  </si>
  <si>
    <t>Interes Moratorio</t>
  </si>
  <si>
    <t>Gastos de Cobranza</t>
  </si>
  <si>
    <t>Valor UF Hoy</t>
  </si>
  <si>
    <t>Fecha</t>
  </si>
  <si>
    <t>Valor UF</t>
  </si>
  <si>
    <t>Cuota UF</t>
  </si>
  <si>
    <t>Tasa Penal</t>
  </si>
  <si>
    <t>Cuotas Atrasadas</t>
  </si>
  <si>
    <t>Días de mora</t>
  </si>
  <si>
    <t>Comisión de Prepago</t>
  </si>
  <si>
    <t>Periodo de Gracia</t>
  </si>
  <si>
    <t>Plazo del Credito</t>
  </si>
  <si>
    <t>Tasa unica por mil</t>
  </si>
  <si>
    <t>Seguro de desagravamen</t>
  </si>
  <si>
    <t>1 a 12</t>
  </si>
  <si>
    <t>13 a 24</t>
  </si>
  <si>
    <t>25 a 36</t>
  </si>
  <si>
    <t>37 a 48</t>
  </si>
  <si>
    <t>Plazo_Inicial</t>
  </si>
  <si>
    <t>Tasa Final</t>
  </si>
  <si>
    <t>49 a 60</t>
  </si>
  <si>
    <t>61 a 72</t>
  </si>
  <si>
    <t>73 a 84</t>
  </si>
  <si>
    <t>85 a 96</t>
  </si>
  <si>
    <t>97 a 108</t>
  </si>
  <si>
    <t>109 a 120</t>
  </si>
  <si>
    <t>Max Cuo</t>
  </si>
  <si>
    <t>Extra Cuo</t>
  </si>
  <si>
    <t>Validez 2</t>
  </si>
  <si>
    <t>Status_2</t>
  </si>
  <si>
    <t>Tasa Repro</t>
  </si>
  <si>
    <t>Familia</t>
  </si>
  <si>
    <t>Comisión Prepago o interes</t>
  </si>
  <si>
    <t>Interes Prepago</t>
  </si>
  <si>
    <t>Marca Garantia</t>
  </si>
  <si>
    <t>Eficacia</t>
  </si>
  <si>
    <t>Operación 1</t>
  </si>
  <si>
    <t>Operación 2</t>
  </si>
  <si>
    <t>Operación 3</t>
  </si>
  <si>
    <t>Operación 4</t>
  </si>
  <si>
    <t>Operación 5</t>
  </si>
  <si>
    <t>Operación 6</t>
  </si>
  <si>
    <t>Operación 7</t>
  </si>
  <si>
    <t>Tasa Seguro Degravamen</t>
  </si>
  <si>
    <t>Saldo Deuda Gar 1</t>
  </si>
  <si>
    <t>Saldo Deuda Gar 2</t>
  </si>
  <si>
    <t>Saldo Deuda Gar 3</t>
  </si>
  <si>
    <t>Acum Gar</t>
  </si>
  <si>
    <t>Valor Final Cred</t>
  </si>
  <si>
    <t>Valor Cuota Cred 1</t>
  </si>
  <si>
    <t>Valor Total Cuotas</t>
  </si>
  <si>
    <t>Maxima Tasa Penal</t>
  </si>
  <si>
    <t>Operación K</t>
  </si>
  <si>
    <t>Antigüedad FOGAPE</t>
  </si>
  <si>
    <t>Saldo Adeudado sin GAR Comercial</t>
  </si>
  <si>
    <t>Saldo Adeudado Consumo</t>
  </si>
  <si>
    <t>Valor Cuota Cred K</t>
  </si>
  <si>
    <t>Valor Cuota Cred C</t>
  </si>
  <si>
    <t>Valor Cuota Cred Gar 1</t>
  </si>
  <si>
    <t>Valor Cuota Cred Gar 2</t>
  </si>
  <si>
    <t>Valor Cuota Cred Gar 3</t>
  </si>
  <si>
    <t>FOGAPE</t>
  </si>
  <si>
    <t>Tipo Garantia</t>
  </si>
  <si>
    <t>Plazo Max FOGAPE</t>
  </si>
  <si>
    <t>Tipo Producto</t>
  </si>
  <si>
    <t>Saldo Deuda Gar 4</t>
  </si>
  <si>
    <t>Valor Cuota Cred Gar 4</t>
  </si>
  <si>
    <t>dv_micro</t>
  </si>
  <si>
    <t>preaprobados_reng</t>
  </si>
  <si>
    <t>max_mora_cli_act</t>
  </si>
  <si>
    <t>Opcion 1</t>
  </si>
  <si>
    <t>Opcion 2</t>
  </si>
  <si>
    <t>Cuotas</t>
  </si>
  <si>
    <t>Total a Pagar hoy</t>
  </si>
  <si>
    <t>Total a pagar Final</t>
  </si>
  <si>
    <t>formulario_web</t>
  </si>
  <si>
    <t>Rut Cliente</t>
  </si>
  <si>
    <t>Cliente Acepta Propuesta de Renegociacion</t>
  </si>
  <si>
    <t>Cliente No Acepta Propuesta</t>
  </si>
  <si>
    <t>Cliente no es posible contactar</t>
  </si>
  <si>
    <t>Status Cliente</t>
  </si>
  <si>
    <t>Plazo Final Crédito</t>
  </si>
  <si>
    <t>CONTACTABILIDAD</t>
  </si>
  <si>
    <t>RESPUESTA CLIENTE</t>
  </si>
  <si>
    <t>FORMULARIO CLIENTE</t>
  </si>
  <si>
    <t>cli_nom</t>
  </si>
  <si>
    <t>clas_cliente_final</t>
  </si>
  <si>
    <t>tel_fijo_1</t>
  </si>
  <si>
    <t>tel_fijo_2</t>
  </si>
  <si>
    <t>tel_cel_1</t>
  </si>
  <si>
    <t>tel_cel_2</t>
  </si>
  <si>
    <t>direccion_particular</t>
  </si>
  <si>
    <t>direccion_comercial</t>
  </si>
  <si>
    <t>estado_diario</t>
  </si>
  <si>
    <t>descripcion_grupo_solucion</t>
  </si>
  <si>
    <t>postergacion</t>
  </si>
  <si>
    <t>canal_ccl</t>
  </si>
  <si>
    <t>canal_web</t>
  </si>
  <si>
    <t>contactabilidad</t>
  </si>
  <si>
    <t>respuesta_cliente</t>
  </si>
  <si>
    <t>impacto_gasto</t>
  </si>
  <si>
    <t>cod_ec_cli</t>
  </si>
  <si>
    <t>ejecutivo_cartera</t>
  </si>
  <si>
    <t>sucursal_cli</t>
  </si>
  <si>
    <t>modulo_cli</t>
  </si>
  <si>
    <t>zona_cli</t>
  </si>
  <si>
    <t>marca</t>
  </si>
  <si>
    <t>ope_cant_cuo</t>
  </si>
  <si>
    <t>num_ope</t>
  </si>
  <si>
    <t>cpd</t>
  </si>
  <si>
    <t>clave</t>
  </si>
  <si>
    <t>n_cuota</t>
  </si>
  <si>
    <t>prox_ven</t>
  </si>
  <si>
    <t>cpds_gar</t>
  </si>
  <si>
    <t>ope_cuotas_pagadas</t>
  </si>
  <si>
    <t>perfil_de_riesgo</t>
  </si>
  <si>
    <t>status</t>
  </si>
  <si>
    <t>clas_cliente</t>
  </si>
  <si>
    <t>madurezpe</t>
  </si>
  <si>
    <t>cant_cuo</t>
  </si>
  <si>
    <t>28601.15</t>
  </si>
  <si>
    <t>28604.83</t>
  </si>
  <si>
    <t>28608.51</t>
  </si>
  <si>
    <t>28612.20</t>
  </si>
  <si>
    <t>28615.88</t>
  </si>
  <si>
    <t>28619.57</t>
  </si>
  <si>
    <t>28623.25</t>
  </si>
  <si>
    <t>28626.94</t>
  </si>
  <si>
    <t>28630.63</t>
  </si>
  <si>
    <t>28633.49</t>
  </si>
  <si>
    <t>28636.35</t>
  </si>
  <si>
    <t>28639.21</t>
  </si>
  <si>
    <t>28642.07</t>
  </si>
  <si>
    <t>28644.93</t>
  </si>
  <si>
    <t>28647.79</t>
  </si>
  <si>
    <t>28650.65</t>
  </si>
  <si>
    <t>28653.51</t>
  </si>
  <si>
    <t>28656.37</t>
  </si>
  <si>
    <t>28659.23</t>
  </si>
  <si>
    <t>28662.09</t>
  </si>
  <si>
    <t>28664.96</t>
  </si>
  <si>
    <t>28667.82</t>
  </si>
  <si>
    <t>28670.68</t>
  </si>
  <si>
    <t>28673.54</t>
  </si>
  <si>
    <t>28676.41</t>
  </si>
  <si>
    <t>28679.27</t>
  </si>
  <si>
    <t>28682.13</t>
  </si>
  <si>
    <t>28685.00</t>
  </si>
  <si>
    <t>28687.86</t>
  </si>
  <si>
    <t>28690.73</t>
  </si>
  <si>
    <t>28693.59</t>
  </si>
  <si>
    <t>28696.46</t>
  </si>
  <si>
    <t>28699.32</t>
  </si>
  <si>
    <t>28702.19</t>
  </si>
  <si>
    <t>28705.05</t>
  </si>
  <si>
    <t>28707.92</t>
  </si>
  <si>
    <t>28710.79</t>
  </si>
  <si>
    <t>28713.65</t>
  </si>
  <si>
    <t>28716.52</t>
  </si>
  <si>
    <t>ope_tasa_penal</t>
  </si>
  <si>
    <t>NUMERO FIJO</t>
  </si>
  <si>
    <t>NUMERO FIJO 2</t>
  </si>
  <si>
    <t>NUMERO MOVIL 1</t>
  </si>
  <si>
    <t>NUMERO MOVIL 2</t>
  </si>
  <si>
    <t>ESTADO NEGOCIACION</t>
  </si>
  <si>
    <t>OBERVACION</t>
  </si>
  <si>
    <t>estado_negociacion</t>
  </si>
  <si>
    <t>observacion</t>
  </si>
  <si>
    <t>perfil_de_riesgo_ok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</si>
</sst>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43" formatCode="_-* #,##0.00_-;\-* #,##0.00_-;_-* &quot;-&quot;??_-;_-@_-"/>
    <numFmt numFmtId="164" formatCode="&quot;$&quot;#,##0;[Red]\-&quot;$&quot;#,##0"/>
    <numFmt numFmtId="165" formatCode="_-&quot;$&quot;* #,##0_-;\-&quot;$&quot;* #,##0_-;_-&quot;$&quot;* &quot;-&quot;_-;_-@_-"/>
    <numFmt numFmtId="166" formatCode="_-* #,##0_-;\-* #,##0_-;_-* &quot;-&quot;??_-;_-@_-"/>
    <numFmt numFmtId="167" formatCode="_-* #,##0.000_-;\-* #,##0.000_-;_-* &quot;-&quot;??_-;_-@_-"/>
    <numFmt numFmtId="168" formatCode="0.0000%"/>
    <numFmt numFmtId="169" formatCode="0.0"/>
    <numFmt numFmtId="170" formatCode="_-* #,##0.0000_-;\-* #,##0.0000_-;_-* &quot;-&quot;????_-;_-@_-"/>
    <numFmt numFmtId="171" formatCode="0.00000%"/>
    <numFmt numFmtId="172" formatCode="&quot;$&quot;#,##0"/>
    <numFmt numFmtId="173" formatCode="_-* #,##0.00000_-;\-* #,##0.00000_-;_-* &quot;-&quot;_-;_-@_-"/>
    <numFmt numFmtId="174" formatCode="yyyy\-mm\-dd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706F6F"/>
      <name val="Helvetica Neue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Helvetica Neue"/>
      <family val="2"/>
    </font>
    <font>
      <u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Helvetica Neue"/>
      <family val="2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14" fontId="0" fillId="0" borderId="0" xfId="0" applyNumberFormat="1"/>
    <xf numFmtId="166" fontId="0" fillId="0" borderId="0" xfId="1" applyNumberFormat="1" applyFont="1"/>
    <xf numFmtId="0" fontId="2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3" fillId="0" borderId="0" xfId="0" applyFont="1"/>
    <xf numFmtId="0" fontId="4" fillId="3" borderId="1" xfId="0" applyFont="1" applyFill="1" applyBorder="1" applyAlignment="1">
      <alignment horizontal="left"/>
    </xf>
    <xf numFmtId="2" fontId="5" fillId="0" borderId="2" xfId="0" applyNumberFormat="1" applyFont="1" applyBorder="1"/>
    <xf numFmtId="0" fontId="4" fillId="3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 wrapText="1"/>
    </xf>
    <xf numFmtId="2" fontId="5" fillId="0" borderId="4" xfId="0" applyNumberFormat="1" applyFont="1" applyBorder="1"/>
    <xf numFmtId="0" fontId="2" fillId="2" borderId="5" xfId="0" applyFont="1" applyFill="1" applyBorder="1" applyAlignment="1">
      <alignment horizontal="center" wrapText="1"/>
    </xf>
    <xf numFmtId="2" fontId="5" fillId="0" borderId="5" xfId="0" applyNumberFormat="1" applyFont="1" applyBorder="1"/>
    <xf numFmtId="2" fontId="5" fillId="4" borderId="2" xfId="0" applyNumberFormat="1" applyFont="1" applyFill="1" applyBorder="1"/>
    <xf numFmtId="2" fontId="5" fillId="5" borderId="2" xfId="0" applyNumberFormat="1" applyFont="1" applyFill="1" applyBorder="1"/>
    <xf numFmtId="2" fontId="5" fillId="4" borderId="4" xfId="0" applyNumberFormat="1" applyFont="1" applyFill="1" applyBorder="1"/>
    <xf numFmtId="2" fontId="5" fillId="5" borderId="4" xfId="0" applyNumberFormat="1" applyFont="1" applyFill="1" applyBorder="1"/>
    <xf numFmtId="2" fontId="5" fillId="4" borderId="5" xfId="0" applyNumberFormat="1" applyFont="1" applyFill="1" applyBorder="1"/>
    <xf numFmtId="2" fontId="5" fillId="5" borderId="5" xfId="0" applyNumberFormat="1" applyFont="1" applyFill="1" applyBorder="1"/>
    <xf numFmtId="10" fontId="0" fillId="0" borderId="0" xfId="4" applyNumberFormat="1" applyFont="1"/>
    <xf numFmtId="0" fontId="0" fillId="0" borderId="0" xfId="0" applyAlignment="1">
      <alignment horizontal="center"/>
    </xf>
    <xf numFmtId="0" fontId="2" fillId="2" borderId="6" xfId="0" applyFont="1" applyFill="1" applyBorder="1" applyAlignment="1">
      <alignment horizontal="center" wrapText="1"/>
    </xf>
    <xf numFmtId="0" fontId="4" fillId="3" borderId="6" xfId="0" applyFont="1" applyFill="1" applyBorder="1" applyAlignment="1">
      <alignment horizontal="left"/>
    </xf>
    <xf numFmtId="0" fontId="6" fillId="0" borderId="0" xfId="0" applyFont="1"/>
    <xf numFmtId="0" fontId="7" fillId="0" borderId="0" xfId="0" applyFont="1"/>
    <xf numFmtId="0" fontId="7" fillId="7" borderId="0" xfId="0" applyFont="1" applyFill="1"/>
    <xf numFmtId="0" fontId="7" fillId="7" borderId="0" xfId="0" applyFont="1" applyFill="1" applyAlignment="1">
      <alignment horizontal="center"/>
    </xf>
    <xf numFmtId="0" fontId="8" fillId="7" borderId="4" xfId="0" applyFont="1" applyFill="1" applyBorder="1"/>
    <xf numFmtId="170" fontId="7" fillId="0" borderId="0" xfId="0" applyNumberFormat="1" applyFont="1"/>
    <xf numFmtId="41" fontId="7" fillId="0" borderId="0" xfId="2" applyFont="1"/>
    <xf numFmtId="0" fontId="10" fillId="0" borderId="0" xfId="0" applyFont="1"/>
    <xf numFmtId="41" fontId="7" fillId="0" borderId="0" xfId="0" applyNumberFormat="1" applyFont="1"/>
    <xf numFmtId="0" fontId="0" fillId="0" borderId="0" xfId="0" applyAlignment="1">
      <alignment horizontal="left"/>
    </xf>
    <xf numFmtId="10" fontId="0" fillId="0" borderId="0" xfId="0" applyNumberFormat="1"/>
    <xf numFmtId="16" fontId="0" fillId="0" borderId="0" xfId="0" applyNumberFormat="1" applyAlignment="1">
      <alignment horizontal="center"/>
    </xf>
    <xf numFmtId="171" fontId="0" fillId="0" borderId="0" xfId="4" applyNumberFormat="1" applyFont="1"/>
    <xf numFmtId="0" fontId="12" fillId="0" borderId="0" xfId="0" applyFont="1"/>
    <xf numFmtId="0" fontId="2" fillId="2" borderId="0" xfId="0" applyFont="1" applyFill="1" applyBorder="1" applyAlignment="1">
      <alignment horizontal="center" wrapText="1"/>
    </xf>
    <xf numFmtId="0" fontId="7" fillId="0" borderId="4" xfId="0" applyFont="1" applyBorder="1" applyProtection="1">
      <protection hidden="1"/>
    </xf>
    <xf numFmtId="0" fontId="7" fillId="0" borderId="0" xfId="0" applyFont="1" applyProtection="1">
      <protection hidden="1"/>
    </xf>
    <xf numFmtId="0" fontId="7" fillId="0" borderId="4" xfId="0" applyFont="1" applyBorder="1" applyAlignment="1" applyProtection="1">
      <alignment horizontal="center"/>
      <protection hidden="1"/>
    </xf>
    <xf numFmtId="14" fontId="7" fillId="0" borderId="4" xfId="0" applyNumberFormat="1" applyFont="1" applyBorder="1" applyProtection="1">
      <protection hidden="1"/>
    </xf>
    <xf numFmtId="41" fontId="7" fillId="0" borderId="4" xfId="2" applyFont="1" applyBorder="1" applyProtection="1">
      <protection hidden="1"/>
    </xf>
    <xf numFmtId="0" fontId="7" fillId="0" borderId="4" xfId="0" applyFont="1" applyFill="1" applyBorder="1" applyProtection="1">
      <protection hidden="1"/>
    </xf>
    <xf numFmtId="0" fontId="0" fillId="0" borderId="4" xfId="0" applyBorder="1" applyProtection="1">
      <protection hidden="1"/>
    </xf>
    <xf numFmtId="10" fontId="7" fillId="0" borderId="4" xfId="4" applyNumberFormat="1" applyFont="1" applyBorder="1" applyProtection="1">
      <protection hidden="1"/>
    </xf>
    <xf numFmtId="165" fontId="7" fillId="0" borderId="4" xfId="3" applyFont="1" applyBorder="1" applyProtection="1">
      <protection hidden="1"/>
    </xf>
    <xf numFmtId="0" fontId="6" fillId="0" borderId="0" xfId="0" applyFont="1" applyProtection="1">
      <protection hidden="1"/>
    </xf>
    <xf numFmtId="14" fontId="6" fillId="0" borderId="0" xfId="0" applyNumberFormat="1" applyFont="1" applyProtection="1">
      <protection hidden="1"/>
    </xf>
    <xf numFmtId="0" fontId="7" fillId="0" borderId="11" xfId="0" applyFont="1" applyBorder="1" applyProtection="1">
      <protection hidden="1"/>
    </xf>
    <xf numFmtId="41" fontId="7" fillId="0" borderId="4" xfId="0" applyNumberFormat="1" applyFont="1" applyBorder="1" applyProtection="1">
      <protection hidden="1"/>
    </xf>
    <xf numFmtId="41" fontId="7" fillId="0" borderId="0" xfId="2" applyFont="1" applyProtection="1">
      <protection hidden="1"/>
    </xf>
    <xf numFmtId="169" fontId="0" fillId="0" borderId="4" xfId="0" applyNumberFormat="1" applyBorder="1" applyProtection="1">
      <protection hidden="1"/>
    </xf>
    <xf numFmtId="166" fontId="0" fillId="0" borderId="4" xfId="0" applyNumberFormat="1" applyBorder="1" applyProtection="1">
      <protection hidden="1"/>
    </xf>
    <xf numFmtId="0" fontId="7" fillId="0" borderId="14" xfId="0" applyFont="1" applyFill="1" applyBorder="1" applyProtection="1">
      <protection hidden="1"/>
    </xf>
    <xf numFmtId="43" fontId="7" fillId="0" borderId="0" xfId="0" applyNumberFormat="1" applyFont="1" applyProtection="1">
      <protection hidden="1"/>
    </xf>
    <xf numFmtId="0" fontId="0" fillId="0" borderId="0" xfId="0" applyProtection="1">
      <protection hidden="1"/>
    </xf>
    <xf numFmtId="0" fontId="8" fillId="0" borderId="0" xfId="0" applyFont="1" applyProtection="1">
      <protection hidden="1"/>
    </xf>
    <xf numFmtId="169" fontId="0" fillId="0" borderId="0" xfId="0" applyNumberFormat="1" applyProtection="1">
      <protection hidden="1"/>
    </xf>
    <xf numFmtId="0" fontId="8" fillId="0" borderId="0" xfId="0" applyFont="1" applyFill="1" applyBorder="1" applyProtection="1">
      <protection hidden="1"/>
    </xf>
    <xf numFmtId="41" fontId="3" fillId="0" borderId="0" xfId="2" applyFont="1" applyProtection="1">
      <protection hidden="1"/>
    </xf>
    <xf numFmtId="0" fontId="3" fillId="0" borderId="0" xfId="0" applyFont="1" applyProtection="1">
      <protection hidden="1"/>
    </xf>
    <xf numFmtId="10" fontId="7" fillId="0" borderId="0" xfId="4" applyNumberFormat="1" applyFont="1" applyProtection="1">
      <protection hidden="1"/>
    </xf>
    <xf numFmtId="166" fontId="0" fillId="0" borderId="0" xfId="0" applyNumberFormat="1" applyProtection="1">
      <protection hidden="1"/>
    </xf>
    <xf numFmtId="41" fontId="7" fillId="0" borderId="0" xfId="0" applyNumberFormat="1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applyAlignment="1" applyProtection="1">
      <alignment horizontal="left"/>
      <protection hidden="1"/>
    </xf>
    <xf numFmtId="0" fontId="7" fillId="0" borderId="0" xfId="0" applyFont="1" applyAlignment="1" applyProtection="1">
      <alignment horizontal="left"/>
      <protection hidden="1"/>
    </xf>
    <xf numFmtId="0" fontId="7" fillId="7" borderId="4" xfId="0" applyFont="1" applyFill="1" applyBorder="1" applyProtection="1">
      <protection hidden="1"/>
    </xf>
    <xf numFmtId="0" fontId="7" fillId="11" borderId="4" xfId="0" applyFont="1" applyFill="1" applyBorder="1" applyAlignment="1" applyProtection="1">
      <alignment horizontal="center"/>
      <protection hidden="1"/>
    </xf>
    <xf numFmtId="41" fontId="7" fillId="8" borderId="4" xfId="0" applyNumberFormat="1" applyFont="1" applyFill="1" applyBorder="1" applyProtection="1">
      <protection hidden="1"/>
    </xf>
    <xf numFmtId="0" fontId="7" fillId="10" borderId="4" xfId="0" applyFont="1" applyFill="1" applyBorder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41" fontId="7" fillId="8" borderId="4" xfId="2" applyFont="1" applyFill="1" applyBorder="1" applyProtection="1">
      <protection hidden="1"/>
    </xf>
    <xf numFmtId="0" fontId="7" fillId="6" borderId="4" xfId="0" applyFont="1" applyFill="1" applyBorder="1" applyProtection="1">
      <protection hidden="1"/>
    </xf>
    <xf numFmtId="166" fontId="0" fillId="0" borderId="0" xfId="0" applyNumberFormat="1" applyFont="1" applyProtection="1">
      <protection hidden="1"/>
    </xf>
    <xf numFmtId="0" fontId="9" fillId="0" borderId="7" xfId="0" applyFont="1" applyBorder="1" applyProtection="1">
      <protection hidden="1"/>
    </xf>
    <xf numFmtId="9" fontId="9" fillId="0" borderId="8" xfId="0" applyNumberFormat="1" applyFont="1" applyBorder="1" applyProtection="1">
      <protection hidden="1"/>
    </xf>
    <xf numFmtId="0" fontId="7" fillId="0" borderId="12" xfId="0" applyFont="1" applyBorder="1" applyProtection="1">
      <protection hidden="1"/>
    </xf>
    <xf numFmtId="41" fontId="7" fillId="0" borderId="13" xfId="0" applyNumberFormat="1" applyFont="1" applyBorder="1" applyProtection="1">
      <protection hidden="1"/>
    </xf>
    <xf numFmtId="168" fontId="7" fillId="0" borderId="13" xfId="4" applyNumberFormat="1" applyFont="1" applyBorder="1" applyProtection="1">
      <protection hidden="1"/>
    </xf>
    <xf numFmtId="0" fontId="7" fillId="0" borderId="13" xfId="0" applyFont="1" applyBorder="1" applyProtection="1">
      <protection hidden="1"/>
    </xf>
    <xf numFmtId="165" fontId="7" fillId="0" borderId="13" xfId="3" applyFont="1" applyBorder="1" applyProtection="1">
      <protection hidden="1"/>
    </xf>
    <xf numFmtId="0" fontId="7" fillId="8" borderId="12" xfId="0" applyFont="1" applyFill="1" applyBorder="1" applyProtection="1">
      <protection hidden="1"/>
    </xf>
    <xf numFmtId="164" fontId="7" fillId="8" borderId="13" xfId="0" applyNumberFormat="1" applyFont="1" applyFill="1" applyBorder="1" applyProtection="1">
      <protection hidden="1"/>
    </xf>
    <xf numFmtId="164" fontId="7" fillId="0" borderId="13" xfId="0" applyNumberFormat="1" applyFont="1" applyFill="1" applyBorder="1" applyProtection="1">
      <protection hidden="1"/>
    </xf>
    <xf numFmtId="172" fontId="7" fillId="0" borderId="13" xfId="0" applyNumberFormat="1" applyFont="1" applyFill="1" applyBorder="1" applyProtection="1">
      <protection hidden="1"/>
    </xf>
    <xf numFmtId="0" fontId="7" fillId="12" borderId="9" xfId="0" applyFont="1" applyFill="1" applyBorder="1" applyProtection="1">
      <protection hidden="1"/>
    </xf>
    <xf numFmtId="172" fontId="7" fillId="12" borderId="10" xfId="3" applyNumberFormat="1" applyFont="1" applyFill="1" applyBorder="1" applyProtection="1">
      <protection hidden="1"/>
    </xf>
    <xf numFmtId="172" fontId="7" fillId="0" borderId="13" xfId="3" applyNumberFormat="1" applyFont="1" applyBorder="1" applyProtection="1">
      <protection hidden="1"/>
    </xf>
    <xf numFmtId="172" fontId="7" fillId="6" borderId="4" xfId="0" applyNumberFormat="1" applyFont="1" applyFill="1" applyBorder="1" applyProtection="1">
      <protection hidden="1"/>
    </xf>
    <xf numFmtId="0" fontId="7" fillId="12" borderId="11" xfId="0" applyFont="1" applyFill="1" applyBorder="1" applyProtection="1">
      <protection hidden="1"/>
    </xf>
    <xf numFmtId="172" fontId="7" fillId="12" borderId="15" xfId="3" applyNumberFormat="1" applyFont="1" applyFill="1" applyBorder="1" applyProtection="1">
      <protection hidden="1"/>
    </xf>
    <xf numFmtId="4" fontId="0" fillId="0" borderId="0" xfId="0" applyNumberFormat="1"/>
    <xf numFmtId="173" fontId="3" fillId="0" borderId="0" xfId="2" applyNumberFormat="1" applyFont="1" applyProtection="1">
      <protection hidden="1"/>
    </xf>
    <xf numFmtId="0" fontId="7" fillId="11" borderId="4" xfId="0" applyFont="1" applyFill="1" applyBorder="1" applyProtection="1">
      <protection hidden="1"/>
    </xf>
    <xf numFmtId="0" fontId="13" fillId="13" borderId="1" xfId="0" applyFont="1" applyFill="1" applyBorder="1"/>
    <xf numFmtId="0" fontId="3" fillId="7" borderId="16" xfId="0" applyFont="1" applyFill="1" applyBorder="1"/>
    <xf numFmtId="0" fontId="0" fillId="0" borderId="18" xfId="0" applyBorder="1" applyAlignment="1" applyProtection="1">
      <alignment horizontal="center"/>
      <protection locked="0"/>
    </xf>
    <xf numFmtId="0" fontId="13" fillId="13" borderId="19" xfId="0" applyFont="1" applyFill="1" applyBorder="1"/>
    <xf numFmtId="166" fontId="0" fillId="0" borderId="0" xfId="1" applyNumberFormat="1" applyFont="1" applyAlignment="1">
      <alignment horizontal="left"/>
    </xf>
    <xf numFmtId="0" fontId="0" fillId="0" borderId="0" xfId="1" applyNumberFormat="1" applyFont="1" applyAlignment="1">
      <alignment horizontal="center"/>
    </xf>
    <xf numFmtId="3" fontId="0" fillId="0" borderId="0" xfId="0" applyNumberFormat="1"/>
    <xf numFmtId="43" fontId="0" fillId="0" borderId="0" xfId="1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6" borderId="0" xfId="0" applyFont="1" applyFill="1"/>
    <xf numFmtId="166" fontId="14" fillId="0" borderId="0" xfId="1" applyNumberFormat="1" applyFont="1"/>
    <xf numFmtId="43" fontId="14" fillId="9" borderId="0" xfId="1" applyFont="1" applyFill="1"/>
    <xf numFmtId="167" fontId="14" fillId="0" borderId="0" xfId="1" applyNumberFormat="1" applyFont="1"/>
    <xf numFmtId="0" fontId="15" fillId="0" borderId="0" xfId="0" applyFont="1" applyProtection="1">
      <protection hidden="1"/>
    </xf>
    <xf numFmtId="0" fontId="16" fillId="0" borderId="0" xfId="0" applyFont="1"/>
    <xf numFmtId="0" fontId="0" fillId="0" borderId="17" xfId="1" applyNumberFormat="1" applyFont="1" applyBorder="1" applyAlignment="1" applyProtection="1">
      <alignment horizontal="center"/>
    </xf>
    <xf numFmtId="0" fontId="17" fillId="0" borderId="0" xfId="0" applyFont="1"/>
    <xf numFmtId="0" fontId="7" fillId="5" borderId="0" xfId="0" applyFont="1" applyFill="1"/>
    <xf numFmtId="174" fontId="7" fillId="0" borderId="0" xfId="0" applyNumberFormat="1" applyFont="1"/>
    <xf numFmtId="0" fontId="18" fillId="0" borderId="0" xfId="0" applyFont="1"/>
    <xf numFmtId="0" fontId="7" fillId="0" borderId="0" xfId="0" applyFont="1" applyAlignment="1">
      <alignment horizontal="center"/>
    </xf>
    <xf numFmtId="0" fontId="6" fillId="14" borderId="20" xfId="0" applyFont="1" applyFill="1" applyBorder="1" applyAlignment="1">
      <alignment horizontal="center"/>
    </xf>
    <xf numFmtId="0" fontId="6" fillId="14" borderId="18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5">
    <cellStyle name="Millares" xfId="1" builtinId="3"/>
    <cellStyle name="Millares [0]" xfId="2" builtinId="6"/>
    <cellStyle name="Moneda [0]" xfId="3" builtinId="7"/>
    <cellStyle name="Normal" xfId="0" builtinId="0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L20938"/>
  <sheetViews>
    <sheetView zoomScale="60" zoomScaleNormal="60" workbookViewId="0">
      <pane ySplit="1" topLeftCell="A2" activePane="bottomLeft" state="frozen"/>
      <selection pane="bottomLeft" activeCell="C14" sqref="C14"/>
    </sheetView>
  </sheetViews>
  <sheetFormatPr baseColWidth="10" defaultRowHeight="15"/>
  <cols>
    <col min="1" max="1" width="19.7109375" customWidth="1"/>
    <col min="2" max="2" width="14.28515625" customWidth="1"/>
    <col min="6" max="6" width="16.85546875" customWidth="1"/>
    <col min="7" max="7" width="9.28515625" customWidth="1"/>
    <col min="8" max="8" width="12.85546875" customWidth="1"/>
    <col min="11" max="11" width="14.28515625" customWidth="1"/>
    <col min="12" max="12" width="16.28515625" customWidth="1"/>
    <col min="13" max="13" width="17.5703125" customWidth="1"/>
    <col min="14" max="14" width="14.28515625" customWidth="1"/>
    <col min="22" max="22" width="20.140625" bestFit="1" customWidth="1"/>
    <col min="23" max="23" width="22.42578125" bestFit="1" customWidth="1"/>
    <col min="24" max="24" width="19.42578125" bestFit="1" customWidth="1"/>
    <col min="25" max="25" width="15.28515625" bestFit="1" customWidth="1"/>
    <col min="26" max="26" width="10.42578125" bestFit="1" customWidth="1"/>
    <col min="27" max="27" width="25.5703125" bestFit="1" customWidth="1"/>
    <col min="28" max="28" width="16.28515625" bestFit="1" customWidth="1"/>
    <col min="29" max="29" width="12.85546875" bestFit="1" customWidth="1"/>
    <col min="30" max="30" width="12.42578125" bestFit="1" customWidth="1"/>
    <col min="31" max="31" width="13.85546875" bestFit="1" customWidth="1"/>
    <col min="32" max="32" width="16.85546875" bestFit="1" customWidth="1"/>
    <col min="33" max="33" width="21.140625" bestFit="1" customWidth="1"/>
    <col min="34" max="34" width="6.85546875" bestFit="1" customWidth="1"/>
  </cols>
  <sheetData>
    <row r="1" spans="1:38" s="104" customFormat="1" ht="15.75">
      <c r="A1" s="104" t="s">
        <v>2</v>
      </c>
      <c r="B1" s="104" t="s">
        <v>3</v>
      </c>
      <c r="C1" s="104" t="s">
        <v>184</v>
      </c>
      <c r="D1" s="104" t="s">
        <v>1</v>
      </c>
      <c r="E1" s="104" t="s">
        <v>18</v>
      </c>
      <c r="F1" s="106" t="s">
        <v>197</v>
      </c>
      <c r="G1" s="106" t="s">
        <v>189</v>
      </c>
      <c r="H1" s="106" t="s">
        <v>188</v>
      </c>
      <c r="I1" s="106" t="s">
        <v>186</v>
      </c>
      <c r="J1" s="106" t="s">
        <v>187</v>
      </c>
      <c r="K1" s="104" t="s">
        <v>4</v>
      </c>
      <c r="L1" s="104" t="s">
        <v>5</v>
      </c>
      <c r="M1" s="104" t="s">
        <v>6</v>
      </c>
      <c r="N1" s="107" t="s">
        <v>7</v>
      </c>
      <c r="O1" s="104" t="s">
        <v>8</v>
      </c>
      <c r="P1" s="104" t="s">
        <v>9</v>
      </c>
      <c r="Q1" s="104" t="s">
        <v>10</v>
      </c>
      <c r="R1" s="104" t="s">
        <v>190</v>
      </c>
      <c r="S1" s="104" t="s">
        <v>11</v>
      </c>
      <c r="T1" s="104" t="s">
        <v>191</v>
      </c>
      <c r="U1" s="104" t="s">
        <v>12</v>
      </c>
      <c r="V1" s="104" t="s">
        <v>13</v>
      </c>
      <c r="W1" s="104" t="s">
        <v>14</v>
      </c>
      <c r="X1" s="104" t="s">
        <v>192</v>
      </c>
      <c r="Y1" s="104" t="s">
        <v>185</v>
      </c>
      <c r="Z1" s="108" t="s">
        <v>15</v>
      </c>
      <c r="AA1" s="108" t="s">
        <v>237</v>
      </c>
      <c r="AB1" s="104" t="s">
        <v>16</v>
      </c>
      <c r="AC1" s="109" t="s">
        <v>0</v>
      </c>
      <c r="AD1" s="109" t="s">
        <v>196</v>
      </c>
      <c r="AE1" s="104" t="s">
        <v>17</v>
      </c>
      <c r="AF1" s="104" t="s">
        <v>193</v>
      </c>
      <c r="AG1" s="106" t="s">
        <v>246</v>
      </c>
      <c r="AH1" s="106" t="s">
        <v>194</v>
      </c>
      <c r="AI1" s="104" t="s">
        <v>195</v>
      </c>
    </row>
    <row r="2" spans="1:38">
      <c r="O2" s="1"/>
      <c r="P2" s="1"/>
      <c r="Q2" s="1"/>
      <c r="R2" s="1"/>
      <c r="Z2" s="103"/>
      <c r="AA2" s="103"/>
      <c r="AB2" s="1"/>
    </row>
    <row r="3" spans="1:38">
      <c r="O3" s="1"/>
      <c r="P3" s="1"/>
      <c r="Q3" s="1"/>
      <c r="R3" s="1"/>
      <c r="Z3" s="103"/>
      <c r="AA3" s="103"/>
      <c r="AB3" s="1"/>
    </row>
    <row r="4" spans="1:38">
      <c r="O4" s="1"/>
      <c r="P4" s="1"/>
      <c r="Q4" s="1"/>
      <c r="R4" s="1"/>
      <c r="Z4" s="103"/>
      <c r="AA4" s="103"/>
      <c r="AB4" s="1"/>
    </row>
    <row r="5" spans="1:38">
      <c r="O5" s="1"/>
      <c r="P5" s="1"/>
      <c r="Q5" s="1"/>
      <c r="R5" s="1"/>
      <c r="Z5" s="103"/>
      <c r="AA5" s="103"/>
      <c r="AB5" s="1"/>
    </row>
    <row r="6" spans="1:38">
      <c r="O6" s="1"/>
      <c r="P6" s="1"/>
      <c r="Q6" s="1"/>
      <c r="R6" s="1"/>
      <c r="Z6" s="103"/>
      <c r="AA6" s="103"/>
      <c r="AB6" s="1"/>
    </row>
    <row r="7" spans="1:38">
      <c r="O7" s="1"/>
      <c r="P7" s="1"/>
      <c r="Q7" s="1"/>
      <c r="R7" s="1"/>
      <c r="Z7" s="103"/>
      <c r="AA7" s="103"/>
      <c r="AB7" s="1"/>
      <c r="AL7" s="93"/>
    </row>
    <row r="8" spans="1:38">
      <c r="O8" s="1"/>
      <c r="P8" s="1"/>
      <c r="Q8" s="1"/>
      <c r="R8" s="1"/>
      <c r="Z8" s="103"/>
      <c r="AA8" s="103"/>
      <c r="AB8" s="1"/>
    </row>
    <row r="9" spans="1:38">
      <c r="O9" s="1"/>
      <c r="P9" s="1"/>
      <c r="Q9" s="1"/>
      <c r="R9" s="1"/>
      <c r="Z9" s="103"/>
      <c r="AA9" s="103"/>
      <c r="AB9" s="1"/>
    </row>
    <row r="10" spans="1:38">
      <c r="O10" s="1"/>
      <c r="P10" s="1"/>
      <c r="Q10" s="1"/>
      <c r="R10" s="1"/>
      <c r="Z10" s="103"/>
      <c r="AA10" s="103"/>
      <c r="AB10" s="1"/>
    </row>
    <row r="11" spans="1:38">
      <c r="O11" s="1"/>
      <c r="P11" s="1"/>
      <c r="Q11" s="1"/>
      <c r="R11" s="1"/>
      <c r="Z11" s="103"/>
      <c r="AA11" s="103"/>
      <c r="AB11" s="1"/>
    </row>
    <row r="12" spans="1:38">
      <c r="O12" s="1"/>
      <c r="P12" s="1"/>
      <c r="Q12" s="1"/>
      <c r="R12" s="1"/>
      <c r="Z12" s="103"/>
      <c r="AA12" s="103"/>
      <c r="AB12" s="1"/>
    </row>
    <row r="13" spans="1:38">
      <c r="O13" s="1"/>
      <c r="P13" s="1"/>
      <c r="Q13" s="1"/>
      <c r="R13" s="1"/>
      <c r="Z13" s="103"/>
      <c r="AA13" s="103"/>
      <c r="AB13" s="1"/>
    </row>
    <row r="14" spans="1:38">
      <c r="O14" s="1"/>
      <c r="P14" s="1"/>
      <c r="Q14" s="1"/>
      <c r="R14" s="1"/>
      <c r="Z14" s="103"/>
      <c r="AA14" s="103"/>
      <c r="AB14" s="1"/>
      <c r="AD14" s="102"/>
    </row>
    <row r="15" spans="1:38">
      <c r="O15" s="1"/>
      <c r="P15" s="1"/>
      <c r="Q15" s="1"/>
      <c r="R15" s="1"/>
      <c r="Z15" s="103"/>
      <c r="AA15" s="103"/>
      <c r="AB15" s="1"/>
    </row>
    <row r="16" spans="1:38">
      <c r="O16" s="1"/>
      <c r="P16" s="1"/>
      <c r="Q16" s="1"/>
      <c r="R16" s="1"/>
      <c r="Z16" s="103"/>
      <c r="AA16" s="103"/>
      <c r="AB16" s="1"/>
    </row>
    <row r="17" spans="8:28">
      <c r="O17" s="1"/>
      <c r="P17" s="1"/>
      <c r="Q17" s="1"/>
      <c r="R17" s="1"/>
      <c r="Z17" s="103"/>
      <c r="AA17" s="103"/>
      <c r="AB17" s="1"/>
    </row>
    <row r="18" spans="8:28">
      <c r="H18" s="113"/>
      <c r="O18" s="1"/>
      <c r="P18" s="1"/>
      <c r="Q18" s="1"/>
      <c r="R18" s="1"/>
      <c r="Z18" s="103"/>
      <c r="AA18" s="103"/>
      <c r="AB18" s="1"/>
    </row>
    <row r="19" spans="8:28">
      <c r="O19" s="1"/>
      <c r="P19" s="1"/>
      <c r="Q19" s="1"/>
      <c r="R19" s="1"/>
      <c r="Z19" s="103"/>
      <c r="AA19" s="103"/>
      <c r="AB19" s="1"/>
    </row>
    <row r="20" spans="8:28">
      <c r="O20" s="1"/>
      <c r="P20" s="1"/>
      <c r="Q20" s="1"/>
      <c r="R20" s="1"/>
      <c r="Z20" s="103"/>
      <c r="AA20" s="103"/>
      <c r="AB20" s="1"/>
    </row>
    <row r="21" spans="8:28">
      <c r="O21" s="1"/>
      <c r="P21" s="1"/>
      <c r="Q21" s="1"/>
      <c r="R21" s="1"/>
      <c r="Z21" s="103"/>
      <c r="AA21" s="103"/>
      <c r="AB21" s="1"/>
    </row>
    <row r="22" spans="8:28">
      <c r="O22" s="1"/>
      <c r="P22" s="1"/>
      <c r="Q22" s="1"/>
      <c r="R22" s="1"/>
      <c r="Z22" s="103"/>
      <c r="AA22" s="103"/>
      <c r="AB22" s="1"/>
    </row>
    <row r="23" spans="8:28">
      <c r="O23" s="1"/>
      <c r="P23" s="1"/>
      <c r="Q23" s="1"/>
      <c r="R23" s="1"/>
      <c r="Z23" s="103"/>
      <c r="AA23" s="103"/>
      <c r="AB23" s="1"/>
    </row>
    <row r="24" spans="8:28">
      <c r="O24" s="1"/>
      <c r="P24" s="1"/>
      <c r="Q24" s="1"/>
      <c r="R24" s="1"/>
      <c r="Z24" s="103"/>
      <c r="AA24" s="103"/>
      <c r="AB24" s="1"/>
    </row>
    <row r="25" spans="8:28">
      <c r="O25" s="1"/>
      <c r="P25" s="1"/>
      <c r="Q25" s="1"/>
      <c r="R25" s="1"/>
      <c r="Z25" s="103"/>
      <c r="AA25" s="103"/>
      <c r="AB25" s="1"/>
    </row>
    <row r="26" spans="8:28">
      <c r="O26" s="1"/>
      <c r="P26" s="1"/>
      <c r="Q26" s="1"/>
      <c r="R26" s="1"/>
      <c r="Z26" s="103"/>
      <c r="AA26" s="103"/>
      <c r="AB26" s="1"/>
    </row>
    <row r="27" spans="8:28">
      <c r="O27" s="1"/>
      <c r="P27" s="1"/>
      <c r="Q27" s="1"/>
      <c r="R27" s="1"/>
      <c r="Z27" s="103"/>
      <c r="AA27" s="103"/>
      <c r="AB27" s="1"/>
    </row>
    <row r="28" spans="8:28">
      <c r="O28" s="1"/>
      <c r="P28" s="1"/>
      <c r="Q28" s="1"/>
      <c r="R28" s="1"/>
      <c r="Z28" s="103"/>
      <c r="AA28" s="103"/>
      <c r="AB28" s="1"/>
    </row>
    <row r="29" spans="8:28">
      <c r="O29" s="1"/>
      <c r="P29" s="1"/>
      <c r="Q29" s="1"/>
      <c r="R29" s="1"/>
      <c r="Z29" s="103"/>
      <c r="AA29" s="103"/>
      <c r="AB29" s="1"/>
    </row>
    <row r="30" spans="8:28">
      <c r="O30" s="1"/>
      <c r="P30" s="1"/>
      <c r="Q30" s="1"/>
      <c r="R30" s="1"/>
      <c r="Z30" s="103"/>
      <c r="AA30" s="103"/>
      <c r="AB30" s="1"/>
    </row>
    <row r="31" spans="8:28">
      <c r="O31" s="1"/>
      <c r="P31" s="1"/>
      <c r="Q31" s="1"/>
      <c r="R31" s="1"/>
      <c r="Z31" s="103"/>
      <c r="AA31" s="103"/>
      <c r="AB31" s="1"/>
    </row>
    <row r="32" spans="8:28">
      <c r="O32" s="1"/>
      <c r="P32" s="1"/>
      <c r="Q32" s="1"/>
      <c r="R32" s="1"/>
      <c r="Z32" s="103"/>
      <c r="AA32" s="103"/>
      <c r="AB32" s="1"/>
    </row>
    <row r="33" spans="15:28">
      <c r="O33" s="1"/>
      <c r="P33" s="1"/>
      <c r="Q33" s="1"/>
      <c r="R33" s="1"/>
      <c r="Z33" s="103"/>
      <c r="AA33" s="103"/>
      <c r="AB33" s="1"/>
    </row>
    <row r="34" spans="15:28">
      <c r="O34" s="1"/>
      <c r="P34" s="1"/>
      <c r="Q34" s="1"/>
      <c r="R34" s="1"/>
      <c r="Z34" s="103"/>
      <c r="AA34" s="103"/>
      <c r="AB34" s="1"/>
    </row>
    <row r="35" spans="15:28">
      <c r="O35" s="1"/>
      <c r="P35" s="1"/>
      <c r="Q35" s="1"/>
      <c r="R35" s="1"/>
      <c r="Z35" s="103"/>
      <c r="AA35" s="103"/>
      <c r="AB35" s="1"/>
    </row>
    <row r="36" spans="15:28">
      <c r="O36" s="1"/>
      <c r="P36" s="1"/>
      <c r="Q36" s="1"/>
      <c r="R36" s="1"/>
      <c r="Z36" s="103"/>
      <c r="AA36" s="103"/>
      <c r="AB36" s="1"/>
    </row>
    <row r="37" spans="15:28">
      <c r="O37" s="1"/>
      <c r="P37" s="1"/>
      <c r="Q37" s="1"/>
      <c r="R37" s="1"/>
      <c r="Z37" s="103"/>
      <c r="AA37" s="103"/>
      <c r="AB37" s="1"/>
    </row>
    <row r="38" spans="15:28">
      <c r="O38" s="1"/>
      <c r="P38" s="1"/>
      <c r="Q38" s="1"/>
      <c r="R38" s="1"/>
      <c r="Z38" s="103"/>
      <c r="AA38" s="103"/>
      <c r="AB38" s="1"/>
    </row>
    <row r="39" spans="15:28">
      <c r="O39" s="1"/>
      <c r="P39" s="1"/>
      <c r="Q39" s="1"/>
      <c r="R39" s="1"/>
      <c r="Z39" s="103"/>
      <c r="AA39" s="103"/>
      <c r="AB39" s="1"/>
    </row>
    <row r="40" spans="15:28">
      <c r="O40" s="1"/>
      <c r="P40" s="1"/>
      <c r="Q40" s="1"/>
      <c r="R40" s="1"/>
      <c r="Z40" s="103"/>
      <c r="AA40" s="103"/>
      <c r="AB40" s="1"/>
    </row>
    <row r="41" spans="15:28">
      <c r="O41" s="1"/>
      <c r="P41" s="1"/>
      <c r="Q41" s="1"/>
      <c r="R41" s="1"/>
      <c r="Z41" s="103"/>
      <c r="AA41" s="103"/>
      <c r="AB41" s="1"/>
    </row>
    <row r="42" spans="15:28">
      <c r="O42" s="1"/>
      <c r="P42" s="1"/>
      <c r="Q42" s="1"/>
      <c r="R42" s="1"/>
      <c r="Z42" s="103"/>
      <c r="AA42" s="103"/>
      <c r="AB42" s="1"/>
    </row>
    <row r="43" spans="15:28">
      <c r="O43" s="1"/>
      <c r="P43" s="1"/>
      <c r="Q43" s="1"/>
      <c r="R43" s="1"/>
      <c r="Z43" s="103"/>
      <c r="AA43" s="103"/>
      <c r="AB43" s="1"/>
    </row>
    <row r="44" spans="15:28">
      <c r="O44" s="1"/>
      <c r="P44" s="1"/>
      <c r="Q44" s="1"/>
      <c r="R44" s="1"/>
      <c r="Z44" s="103"/>
      <c r="AA44" s="103"/>
      <c r="AB44" s="1"/>
    </row>
    <row r="45" spans="15:28">
      <c r="O45" s="1"/>
      <c r="P45" s="1"/>
      <c r="Q45" s="1"/>
      <c r="R45" s="1"/>
      <c r="Z45" s="103"/>
      <c r="AA45" s="103"/>
      <c r="AB45" s="1"/>
    </row>
    <row r="46" spans="15:28">
      <c r="O46" s="1"/>
      <c r="P46" s="1"/>
      <c r="Q46" s="1"/>
      <c r="R46" s="1"/>
      <c r="Z46" s="103"/>
      <c r="AA46" s="103"/>
      <c r="AB46" s="1"/>
    </row>
    <row r="47" spans="15:28">
      <c r="O47" s="1"/>
      <c r="P47" s="1"/>
      <c r="Q47" s="1"/>
      <c r="R47" s="1"/>
      <c r="Z47" s="103"/>
      <c r="AA47" s="103"/>
      <c r="AB47" s="1"/>
    </row>
    <row r="48" spans="15:28">
      <c r="O48" s="1"/>
      <c r="P48" s="1"/>
      <c r="Q48" s="1"/>
      <c r="R48" s="1"/>
      <c r="Z48" s="103"/>
      <c r="AA48" s="103"/>
      <c r="AB48" s="1"/>
    </row>
    <row r="49" spans="15:28">
      <c r="O49" s="1"/>
      <c r="P49" s="1"/>
      <c r="Q49" s="1"/>
      <c r="R49" s="1"/>
      <c r="Z49" s="103"/>
      <c r="AA49" s="103"/>
      <c r="AB49" s="1"/>
    </row>
    <row r="50" spans="15:28">
      <c r="O50" s="1"/>
      <c r="P50" s="1"/>
      <c r="Q50" s="1"/>
      <c r="R50" s="1"/>
      <c r="Z50" s="103"/>
      <c r="AA50" s="103"/>
      <c r="AB50" s="1"/>
    </row>
    <row r="51" spans="15:28">
      <c r="O51" s="1"/>
      <c r="P51" s="1"/>
      <c r="Q51" s="1"/>
      <c r="R51" s="1"/>
      <c r="Z51" s="103"/>
      <c r="AA51" s="103"/>
      <c r="AB51" s="1"/>
    </row>
    <row r="52" spans="15:28">
      <c r="O52" s="1"/>
      <c r="P52" s="1"/>
      <c r="Q52" s="1"/>
      <c r="R52" s="1"/>
      <c r="Z52" s="103"/>
      <c r="AA52" s="103"/>
      <c r="AB52" s="1"/>
    </row>
    <row r="53" spans="15:28">
      <c r="O53" s="1"/>
      <c r="P53" s="1"/>
      <c r="Q53" s="1"/>
      <c r="R53" s="1"/>
      <c r="Z53" s="103"/>
      <c r="AA53" s="103"/>
      <c r="AB53" s="1"/>
    </row>
    <row r="54" spans="15:28">
      <c r="O54" s="1"/>
      <c r="P54" s="1"/>
      <c r="Q54" s="1"/>
      <c r="R54" s="1"/>
      <c r="Z54" s="103"/>
      <c r="AA54" s="103"/>
      <c r="AB54" s="1"/>
    </row>
    <row r="55" spans="15:28">
      <c r="O55" s="1"/>
      <c r="P55" s="1"/>
      <c r="Q55" s="1"/>
      <c r="R55" s="1"/>
      <c r="Z55" s="103"/>
      <c r="AA55" s="103"/>
      <c r="AB55" s="1"/>
    </row>
    <row r="56" spans="15:28">
      <c r="O56" s="1"/>
      <c r="P56" s="1"/>
      <c r="Q56" s="1"/>
      <c r="R56" s="1"/>
      <c r="Z56" s="103"/>
      <c r="AA56" s="103"/>
      <c r="AB56" s="1"/>
    </row>
    <row r="57" spans="15:28">
      <c r="O57" s="1"/>
      <c r="P57" s="1"/>
      <c r="Q57" s="1"/>
      <c r="R57" s="1"/>
      <c r="Z57" s="103"/>
      <c r="AA57" s="103"/>
      <c r="AB57" s="1"/>
    </row>
    <row r="58" spans="15:28">
      <c r="O58" s="1"/>
      <c r="P58" s="1"/>
      <c r="Q58" s="1"/>
      <c r="R58" s="1"/>
      <c r="Z58" s="103"/>
      <c r="AA58" s="103"/>
      <c r="AB58" s="1"/>
    </row>
    <row r="59" spans="15:28">
      <c r="O59" s="1"/>
      <c r="P59" s="1"/>
      <c r="Q59" s="1"/>
      <c r="R59" s="1"/>
      <c r="Z59" s="103"/>
      <c r="AA59" s="103"/>
      <c r="AB59" s="1"/>
    </row>
    <row r="60" spans="15:28">
      <c r="O60" s="1"/>
      <c r="P60" s="1"/>
      <c r="Q60" s="1"/>
      <c r="R60" s="1"/>
      <c r="Z60" s="103"/>
      <c r="AA60" s="103"/>
      <c r="AB60" s="1"/>
    </row>
    <row r="61" spans="15:28">
      <c r="O61" s="1"/>
      <c r="P61" s="1"/>
      <c r="Q61" s="1"/>
      <c r="R61" s="1"/>
      <c r="Z61" s="103"/>
      <c r="AA61" s="103"/>
      <c r="AB61" s="1"/>
    </row>
    <row r="62" spans="15:28">
      <c r="O62" s="1"/>
      <c r="P62" s="1"/>
      <c r="Q62" s="1"/>
      <c r="R62" s="1"/>
      <c r="Z62" s="103"/>
      <c r="AA62" s="103"/>
      <c r="AB62" s="1"/>
    </row>
    <row r="63" spans="15:28">
      <c r="O63" s="1"/>
      <c r="P63" s="1"/>
      <c r="Q63" s="1"/>
      <c r="R63" s="1"/>
      <c r="Z63" s="103"/>
      <c r="AA63" s="103"/>
      <c r="AB63" s="1"/>
    </row>
    <row r="64" spans="15:28">
      <c r="O64" s="1"/>
      <c r="P64" s="1"/>
      <c r="Q64" s="1"/>
      <c r="R64" s="1"/>
      <c r="Z64" s="103"/>
      <c r="AA64" s="103"/>
      <c r="AB64" s="1"/>
    </row>
    <row r="65" spans="15:28">
      <c r="O65" s="1"/>
      <c r="P65" s="1"/>
      <c r="Q65" s="1"/>
      <c r="R65" s="1"/>
      <c r="Z65" s="103"/>
      <c r="AA65" s="103"/>
      <c r="AB65" s="1"/>
    </row>
    <row r="66" spans="15:28">
      <c r="O66" s="1"/>
      <c r="P66" s="1"/>
      <c r="Q66" s="1"/>
      <c r="R66" s="1"/>
      <c r="Z66" s="103"/>
      <c r="AA66" s="103"/>
      <c r="AB66" s="1"/>
    </row>
    <row r="67" spans="15:28">
      <c r="O67" s="1"/>
      <c r="P67" s="1"/>
      <c r="Q67" s="1"/>
      <c r="R67" s="1"/>
      <c r="Z67" s="103"/>
      <c r="AA67" s="103"/>
      <c r="AB67" s="1"/>
    </row>
    <row r="68" spans="15:28">
      <c r="O68" s="1"/>
      <c r="P68" s="1"/>
      <c r="Q68" s="1"/>
      <c r="R68" s="1"/>
      <c r="Z68" s="103"/>
      <c r="AA68" s="103"/>
      <c r="AB68" s="1"/>
    </row>
    <row r="69" spans="15:28">
      <c r="O69" s="1"/>
      <c r="P69" s="1"/>
      <c r="Q69" s="1"/>
      <c r="R69" s="1"/>
      <c r="Z69" s="103"/>
      <c r="AA69" s="103"/>
      <c r="AB69" s="1"/>
    </row>
    <row r="70" spans="15:28">
      <c r="O70" s="1"/>
      <c r="P70" s="1"/>
      <c r="Q70" s="1"/>
      <c r="R70" s="1"/>
      <c r="Z70" s="103"/>
      <c r="AA70" s="103"/>
      <c r="AB70" s="1"/>
    </row>
    <row r="71" spans="15:28">
      <c r="O71" s="1"/>
      <c r="P71" s="1"/>
      <c r="Q71" s="1"/>
      <c r="R71" s="1"/>
      <c r="Z71" s="103"/>
      <c r="AA71" s="103"/>
      <c r="AB71" s="1"/>
    </row>
    <row r="72" spans="15:28">
      <c r="O72" s="1"/>
      <c r="P72" s="1"/>
      <c r="Q72" s="1"/>
      <c r="R72" s="1"/>
      <c r="Z72" s="103"/>
      <c r="AA72" s="103"/>
      <c r="AB72" s="1"/>
    </row>
    <row r="73" spans="15:28">
      <c r="O73" s="1"/>
      <c r="P73" s="1"/>
      <c r="Q73" s="1"/>
      <c r="R73" s="1"/>
      <c r="Z73" s="103"/>
      <c r="AA73" s="103"/>
      <c r="AB73" s="1"/>
    </row>
    <row r="74" spans="15:28">
      <c r="O74" s="1"/>
      <c r="P74" s="1"/>
      <c r="Q74" s="1"/>
      <c r="R74" s="1"/>
      <c r="Z74" s="103"/>
      <c r="AA74" s="103"/>
      <c r="AB74" s="1"/>
    </row>
    <row r="75" spans="15:28">
      <c r="O75" s="1"/>
      <c r="P75" s="1"/>
      <c r="Q75" s="1"/>
      <c r="R75" s="1"/>
      <c r="Z75" s="103"/>
      <c r="AA75" s="103"/>
      <c r="AB75" s="1"/>
    </row>
    <row r="76" spans="15:28">
      <c r="O76" s="1"/>
      <c r="P76" s="1"/>
      <c r="Q76" s="1"/>
      <c r="R76" s="1"/>
      <c r="Z76" s="103"/>
      <c r="AA76" s="103"/>
      <c r="AB76" s="1"/>
    </row>
    <row r="77" spans="15:28">
      <c r="O77" s="1"/>
      <c r="P77" s="1"/>
      <c r="Q77" s="1"/>
      <c r="R77" s="1"/>
      <c r="Z77" s="103"/>
      <c r="AA77" s="103"/>
      <c r="AB77" s="1"/>
    </row>
    <row r="78" spans="15:28">
      <c r="O78" s="1"/>
      <c r="P78" s="1"/>
      <c r="Q78" s="1"/>
      <c r="R78" s="1"/>
      <c r="Z78" s="103"/>
      <c r="AA78" s="103"/>
      <c r="AB78" s="1"/>
    </row>
    <row r="79" spans="15:28">
      <c r="O79" s="1"/>
      <c r="P79" s="1"/>
      <c r="Q79" s="1"/>
      <c r="R79" s="1"/>
      <c r="Z79" s="103"/>
      <c r="AA79" s="103"/>
      <c r="AB79" s="1"/>
    </row>
    <row r="80" spans="15:28">
      <c r="O80" s="1"/>
      <c r="P80" s="1"/>
      <c r="Q80" s="1"/>
      <c r="R80" s="1"/>
      <c r="Z80" s="103"/>
      <c r="AA80" s="103"/>
      <c r="AB80" s="1"/>
    </row>
    <row r="81" spans="15:30">
      <c r="O81" s="1"/>
      <c r="P81" s="1"/>
      <c r="Q81" s="1"/>
      <c r="R81" s="1"/>
      <c r="Z81" s="103"/>
      <c r="AA81" s="103"/>
      <c r="AB81" s="1"/>
      <c r="AD81" s="102"/>
    </row>
    <row r="82" spans="15:30">
      <c r="O82" s="1"/>
      <c r="P82" s="1"/>
      <c r="Q82" s="1"/>
      <c r="R82" s="1"/>
      <c r="Z82" s="103"/>
      <c r="AA82" s="103"/>
      <c r="AB82" s="1"/>
    </row>
    <row r="83" spans="15:30">
      <c r="O83" s="1"/>
      <c r="P83" s="1"/>
      <c r="Q83" s="1"/>
      <c r="R83" s="1"/>
      <c r="Z83" s="103"/>
      <c r="AA83" s="103"/>
      <c r="AB83" s="1"/>
    </row>
    <row r="84" spans="15:30">
      <c r="O84" s="1"/>
      <c r="P84" s="1"/>
      <c r="Q84" s="1"/>
      <c r="R84" s="1"/>
      <c r="Z84" s="103"/>
      <c r="AA84" s="103"/>
      <c r="AB84" s="1"/>
    </row>
    <row r="85" spans="15:30">
      <c r="O85" s="1"/>
      <c r="P85" s="1"/>
      <c r="Q85" s="1"/>
      <c r="R85" s="1"/>
      <c r="Z85" s="103"/>
      <c r="AA85" s="103"/>
      <c r="AB85" s="1"/>
    </row>
    <row r="86" spans="15:30">
      <c r="O86" s="1"/>
      <c r="P86" s="1"/>
      <c r="Q86" s="1"/>
      <c r="R86" s="1"/>
      <c r="Z86" s="103"/>
      <c r="AA86" s="103"/>
      <c r="AB86" s="1"/>
    </row>
    <row r="87" spans="15:30">
      <c r="O87" s="1"/>
      <c r="P87" s="1"/>
      <c r="Q87" s="1"/>
      <c r="R87" s="1"/>
      <c r="Z87" s="103"/>
      <c r="AA87" s="103"/>
      <c r="AB87" s="1"/>
    </row>
    <row r="88" spans="15:30">
      <c r="O88" s="1"/>
      <c r="P88" s="1"/>
      <c r="Q88" s="1"/>
      <c r="R88" s="1"/>
      <c r="Z88" s="103"/>
      <c r="AA88" s="103"/>
      <c r="AB88" s="1"/>
    </row>
    <row r="89" spans="15:30">
      <c r="O89" s="1"/>
      <c r="P89" s="1"/>
      <c r="Q89" s="1"/>
      <c r="R89" s="1"/>
      <c r="Z89" s="103"/>
      <c r="AA89" s="103"/>
      <c r="AB89" s="1"/>
    </row>
    <row r="90" spans="15:30">
      <c r="O90" s="1"/>
      <c r="P90" s="1"/>
      <c r="Q90" s="1"/>
      <c r="R90" s="1"/>
      <c r="Z90" s="103"/>
      <c r="AA90" s="103"/>
      <c r="AB90" s="1"/>
    </row>
    <row r="91" spans="15:30">
      <c r="O91" s="1"/>
      <c r="P91" s="1"/>
      <c r="Q91" s="1"/>
      <c r="R91" s="1"/>
      <c r="Z91" s="103"/>
      <c r="AA91" s="103"/>
      <c r="AB91" s="1"/>
    </row>
    <row r="92" spans="15:30">
      <c r="O92" s="1"/>
      <c r="P92" s="1"/>
      <c r="Q92" s="1"/>
      <c r="R92" s="1"/>
      <c r="Z92" s="103"/>
      <c r="AA92" s="103"/>
      <c r="AB92" s="1"/>
    </row>
    <row r="93" spans="15:30">
      <c r="O93" s="1"/>
      <c r="P93" s="1"/>
      <c r="Q93" s="1"/>
      <c r="R93" s="1"/>
      <c r="Z93" s="103"/>
      <c r="AA93" s="103"/>
      <c r="AB93" s="1"/>
    </row>
    <row r="94" spans="15:30">
      <c r="O94" s="1"/>
      <c r="P94" s="1"/>
      <c r="Q94" s="1"/>
      <c r="R94" s="1"/>
      <c r="Z94" s="103"/>
      <c r="AA94" s="103"/>
      <c r="AB94" s="1"/>
    </row>
    <row r="95" spans="15:30">
      <c r="O95" s="1"/>
      <c r="P95" s="1"/>
      <c r="Q95" s="1"/>
      <c r="R95" s="1"/>
      <c r="Z95" s="103"/>
      <c r="AA95" s="103"/>
      <c r="AB95" s="1"/>
    </row>
    <row r="96" spans="15:30">
      <c r="O96" s="1"/>
      <c r="P96" s="1"/>
      <c r="Q96" s="1"/>
      <c r="R96" s="1"/>
      <c r="Z96" s="103"/>
      <c r="AA96" s="103"/>
      <c r="AB96" s="1"/>
    </row>
    <row r="97" spans="15:30">
      <c r="O97" s="1"/>
      <c r="P97" s="1"/>
      <c r="Q97" s="1"/>
      <c r="R97" s="1"/>
      <c r="Z97" s="103"/>
      <c r="AA97" s="103"/>
      <c r="AB97" s="1"/>
    </row>
    <row r="98" spans="15:30">
      <c r="O98" s="1"/>
      <c r="P98" s="1"/>
      <c r="Q98" s="1"/>
      <c r="R98" s="1"/>
      <c r="Z98" s="103"/>
      <c r="AA98" s="103"/>
      <c r="AB98" s="1"/>
    </row>
    <row r="99" spans="15:30">
      <c r="O99" s="1"/>
      <c r="P99" s="1"/>
      <c r="Q99" s="1"/>
      <c r="R99" s="1"/>
      <c r="Z99" s="103"/>
      <c r="AA99" s="103"/>
      <c r="AB99" s="1"/>
    </row>
    <row r="100" spans="15:30">
      <c r="O100" s="1"/>
      <c r="P100" s="1"/>
      <c r="Q100" s="1"/>
      <c r="R100" s="1"/>
      <c r="Z100" s="103"/>
      <c r="AA100" s="103"/>
      <c r="AB100" s="1"/>
    </row>
    <row r="101" spans="15:30">
      <c r="O101" s="1"/>
      <c r="P101" s="1"/>
      <c r="Q101" s="1"/>
      <c r="R101" s="1"/>
      <c r="Z101" s="103"/>
      <c r="AA101" s="103"/>
      <c r="AB101" s="1"/>
    </row>
    <row r="102" spans="15:30">
      <c r="O102" s="1"/>
      <c r="P102" s="1"/>
      <c r="Q102" s="1"/>
      <c r="R102" s="1"/>
      <c r="Z102" s="103"/>
      <c r="AA102" s="103"/>
      <c r="AB102" s="1"/>
      <c r="AD102" s="102"/>
    </row>
    <row r="103" spans="15:30">
      <c r="O103" s="1"/>
      <c r="P103" s="1"/>
      <c r="Q103" s="1"/>
      <c r="R103" s="1"/>
      <c r="Z103" s="103"/>
      <c r="AA103" s="103"/>
      <c r="AB103" s="1"/>
    </row>
    <row r="104" spans="15:30">
      <c r="O104" s="1"/>
      <c r="P104" s="1"/>
      <c r="Q104" s="1"/>
      <c r="R104" s="1"/>
      <c r="Z104" s="103"/>
      <c r="AA104" s="103"/>
      <c r="AB104" s="1"/>
    </row>
    <row r="105" spans="15:30">
      <c r="O105" s="1"/>
      <c r="P105" s="1"/>
      <c r="Q105" s="1"/>
      <c r="R105" s="1"/>
      <c r="Z105" s="103"/>
      <c r="AA105" s="103"/>
      <c r="AB105" s="1"/>
    </row>
    <row r="106" spans="15:30">
      <c r="O106" s="1"/>
      <c r="P106" s="1"/>
      <c r="Q106" s="1"/>
      <c r="R106" s="1"/>
      <c r="Z106" s="103"/>
      <c r="AA106" s="103"/>
      <c r="AB106" s="1"/>
    </row>
    <row r="107" spans="15:30">
      <c r="O107" s="1"/>
      <c r="P107" s="1"/>
      <c r="Q107" s="1"/>
      <c r="R107" s="1"/>
      <c r="Z107" s="103"/>
      <c r="AA107" s="103"/>
      <c r="AB107" s="1"/>
    </row>
    <row r="108" spans="15:30">
      <c r="O108" s="1"/>
      <c r="P108" s="1"/>
      <c r="Q108" s="1"/>
      <c r="R108" s="1"/>
      <c r="Z108" s="103"/>
      <c r="AA108" s="103"/>
      <c r="AB108" s="1"/>
    </row>
    <row r="109" spans="15:30">
      <c r="O109" s="1"/>
      <c r="P109" s="1"/>
      <c r="Q109" s="1"/>
      <c r="R109" s="1"/>
      <c r="Z109" s="103"/>
      <c r="AA109" s="103"/>
      <c r="AB109" s="1"/>
    </row>
    <row r="110" spans="15:30">
      <c r="O110" s="1"/>
      <c r="P110" s="1"/>
      <c r="Q110" s="1"/>
      <c r="R110" s="1"/>
      <c r="Z110" s="103"/>
      <c r="AA110" s="103"/>
      <c r="AB110" s="1"/>
    </row>
    <row r="111" spans="15:30">
      <c r="O111" s="1"/>
      <c r="P111" s="1"/>
      <c r="Q111" s="1"/>
      <c r="R111" s="1"/>
      <c r="Z111" s="103"/>
      <c r="AA111" s="103"/>
      <c r="AB111" s="1"/>
    </row>
    <row r="112" spans="15:30">
      <c r="O112" s="1"/>
      <c r="P112" s="1"/>
      <c r="Q112" s="1"/>
      <c r="R112" s="1"/>
      <c r="Z112" s="103"/>
      <c r="AA112" s="103"/>
      <c r="AB112" s="1"/>
    </row>
    <row r="113" spans="15:30">
      <c r="O113" s="1"/>
      <c r="P113" s="1"/>
      <c r="Q113" s="1"/>
      <c r="R113" s="1"/>
      <c r="Z113" s="103"/>
      <c r="AA113" s="103"/>
      <c r="AB113" s="1"/>
    </row>
    <row r="114" spans="15:30">
      <c r="O114" s="1"/>
      <c r="P114" s="1"/>
      <c r="Q114" s="1"/>
      <c r="R114" s="1"/>
      <c r="Z114" s="103"/>
      <c r="AA114" s="103"/>
      <c r="AB114" s="1"/>
    </row>
    <row r="115" spans="15:30">
      <c r="O115" s="1"/>
      <c r="P115" s="1"/>
      <c r="Q115" s="1"/>
      <c r="R115" s="1"/>
      <c r="Z115" s="103"/>
      <c r="AA115" s="103"/>
      <c r="AB115" s="1"/>
    </row>
    <row r="116" spans="15:30">
      <c r="O116" s="1"/>
      <c r="P116" s="1"/>
      <c r="Q116" s="1"/>
      <c r="R116" s="1"/>
      <c r="Z116" s="103"/>
      <c r="AA116" s="103"/>
      <c r="AB116" s="1"/>
    </row>
    <row r="117" spans="15:30">
      <c r="O117" s="1"/>
      <c r="P117" s="1"/>
      <c r="Q117" s="1"/>
      <c r="R117" s="1"/>
      <c r="Z117" s="103"/>
      <c r="AA117" s="103"/>
      <c r="AB117" s="1"/>
      <c r="AD117" s="102"/>
    </row>
    <row r="118" spans="15:30">
      <c r="O118" s="1"/>
      <c r="P118" s="1"/>
      <c r="Q118" s="1"/>
      <c r="R118" s="1"/>
      <c r="Z118" s="103"/>
      <c r="AA118" s="103"/>
      <c r="AB118" s="1"/>
    </row>
    <row r="119" spans="15:30">
      <c r="O119" s="1"/>
      <c r="P119" s="1"/>
      <c r="Q119" s="1"/>
      <c r="R119" s="1"/>
      <c r="Z119" s="103"/>
      <c r="AA119" s="103"/>
      <c r="AB119" s="1"/>
    </row>
    <row r="120" spans="15:30">
      <c r="O120" s="1"/>
      <c r="P120" s="1"/>
      <c r="Q120" s="1"/>
      <c r="R120" s="1"/>
      <c r="Z120" s="103"/>
      <c r="AA120" s="103"/>
      <c r="AB120" s="1"/>
    </row>
    <row r="121" spans="15:30">
      <c r="O121" s="1"/>
      <c r="P121" s="1"/>
      <c r="Q121" s="1"/>
      <c r="R121" s="1"/>
      <c r="Z121" s="103"/>
      <c r="AA121" s="103"/>
      <c r="AB121" s="1"/>
    </row>
    <row r="122" spans="15:30">
      <c r="O122" s="1"/>
      <c r="P122" s="1"/>
      <c r="Q122" s="1"/>
      <c r="R122" s="1"/>
      <c r="Z122" s="103"/>
      <c r="AA122" s="103"/>
      <c r="AB122" s="1"/>
    </row>
    <row r="123" spans="15:30">
      <c r="O123" s="1"/>
      <c r="P123" s="1"/>
      <c r="Q123" s="1"/>
      <c r="R123" s="1"/>
      <c r="Z123" s="103"/>
      <c r="AA123" s="103"/>
      <c r="AB123" s="1"/>
    </row>
    <row r="124" spans="15:30">
      <c r="O124" s="1"/>
      <c r="P124" s="1"/>
      <c r="Q124" s="1"/>
      <c r="R124" s="1"/>
      <c r="Z124" s="103"/>
      <c r="AA124" s="103"/>
      <c r="AB124" s="1"/>
    </row>
    <row r="125" spans="15:30">
      <c r="O125" s="1"/>
      <c r="P125" s="1"/>
      <c r="Q125" s="1"/>
      <c r="R125" s="1"/>
      <c r="Z125" s="103"/>
      <c r="AA125" s="103"/>
      <c r="AB125" s="1"/>
    </row>
    <row r="126" spans="15:30">
      <c r="O126" s="1"/>
      <c r="P126" s="1"/>
      <c r="Q126" s="1"/>
      <c r="R126" s="1"/>
      <c r="Z126" s="103"/>
      <c r="AA126" s="103"/>
      <c r="AB126" s="1"/>
    </row>
    <row r="127" spans="15:30">
      <c r="O127" s="1"/>
      <c r="P127" s="1"/>
      <c r="Q127" s="1"/>
      <c r="R127" s="1"/>
      <c r="Z127" s="103"/>
      <c r="AA127" s="103"/>
      <c r="AB127" s="1"/>
    </row>
    <row r="128" spans="15:30">
      <c r="O128" s="1"/>
      <c r="P128" s="1"/>
      <c r="Q128" s="1"/>
      <c r="R128" s="1"/>
      <c r="Z128" s="103"/>
      <c r="AA128" s="103"/>
      <c r="AB128" s="1"/>
    </row>
    <row r="129" spans="15:28">
      <c r="O129" s="1"/>
      <c r="P129" s="1"/>
      <c r="Q129" s="1"/>
      <c r="R129" s="1"/>
      <c r="Z129" s="103"/>
      <c r="AA129" s="103"/>
      <c r="AB129" s="1"/>
    </row>
    <row r="130" spans="15:28">
      <c r="O130" s="1"/>
      <c r="P130" s="1"/>
      <c r="Q130" s="1"/>
      <c r="R130" s="1"/>
      <c r="Z130" s="103"/>
      <c r="AA130" s="103"/>
      <c r="AB130" s="1"/>
    </row>
    <row r="131" spans="15:28">
      <c r="O131" s="1"/>
      <c r="P131" s="1"/>
      <c r="Q131" s="1"/>
      <c r="R131" s="1"/>
      <c r="Z131" s="103"/>
      <c r="AA131" s="103"/>
      <c r="AB131" s="1"/>
    </row>
    <row r="132" spans="15:28">
      <c r="O132" s="1"/>
      <c r="P132" s="1"/>
      <c r="Q132" s="1"/>
      <c r="R132" s="1"/>
      <c r="Z132" s="103"/>
      <c r="AA132" s="103"/>
      <c r="AB132" s="1"/>
    </row>
    <row r="133" spans="15:28">
      <c r="O133" s="1"/>
      <c r="P133" s="1"/>
      <c r="Q133" s="1"/>
      <c r="R133" s="1"/>
      <c r="Z133" s="103"/>
      <c r="AA133" s="103"/>
      <c r="AB133" s="1"/>
    </row>
    <row r="134" spans="15:28">
      <c r="O134" s="1"/>
      <c r="P134" s="1"/>
      <c r="Q134" s="1"/>
      <c r="R134" s="1"/>
      <c r="Z134" s="103"/>
      <c r="AA134" s="103"/>
      <c r="AB134" s="1"/>
    </row>
    <row r="135" spans="15:28">
      <c r="O135" s="1"/>
      <c r="P135" s="1"/>
      <c r="Q135" s="1"/>
      <c r="R135" s="1"/>
      <c r="Z135" s="103"/>
      <c r="AA135" s="103"/>
      <c r="AB135" s="1"/>
    </row>
    <row r="136" spans="15:28">
      <c r="O136" s="1"/>
      <c r="P136" s="1"/>
      <c r="Q136" s="1"/>
      <c r="R136" s="1"/>
      <c r="Z136" s="103"/>
      <c r="AA136" s="103"/>
      <c r="AB136" s="1"/>
    </row>
    <row r="137" spans="15:28">
      <c r="O137" s="1"/>
      <c r="P137" s="1"/>
      <c r="Q137" s="1"/>
      <c r="R137" s="1"/>
      <c r="Z137" s="103"/>
      <c r="AA137" s="103"/>
      <c r="AB137" s="1"/>
    </row>
    <row r="138" spans="15:28">
      <c r="O138" s="1"/>
      <c r="P138" s="1"/>
      <c r="Q138" s="1"/>
      <c r="R138" s="1"/>
      <c r="Z138" s="103"/>
      <c r="AA138" s="103"/>
      <c r="AB138" s="1"/>
    </row>
    <row r="139" spans="15:28">
      <c r="O139" s="1"/>
      <c r="P139" s="1"/>
      <c r="Q139" s="1"/>
      <c r="R139" s="1"/>
      <c r="Z139" s="103"/>
      <c r="AA139" s="103"/>
      <c r="AB139" s="1"/>
    </row>
    <row r="140" spans="15:28">
      <c r="O140" s="1"/>
      <c r="P140" s="1"/>
      <c r="Q140" s="1"/>
      <c r="R140" s="1"/>
      <c r="Z140" s="103"/>
      <c r="AA140" s="103"/>
      <c r="AB140" s="1"/>
    </row>
    <row r="141" spans="15:28">
      <c r="O141" s="1"/>
      <c r="P141" s="1"/>
      <c r="Q141" s="1"/>
      <c r="R141" s="1"/>
      <c r="Z141" s="103"/>
      <c r="AA141" s="103"/>
      <c r="AB141" s="1"/>
    </row>
    <row r="142" spans="15:28">
      <c r="O142" s="1"/>
      <c r="P142" s="1"/>
      <c r="Q142" s="1"/>
      <c r="R142" s="1"/>
      <c r="Z142" s="103"/>
      <c r="AA142" s="103"/>
      <c r="AB142" s="1"/>
    </row>
    <row r="143" spans="15:28">
      <c r="O143" s="1"/>
      <c r="P143" s="1"/>
      <c r="Q143" s="1"/>
      <c r="R143" s="1"/>
      <c r="Z143" s="103"/>
      <c r="AA143" s="103"/>
      <c r="AB143" s="1"/>
    </row>
    <row r="144" spans="15:28">
      <c r="O144" s="1"/>
      <c r="P144" s="1"/>
      <c r="Q144" s="1"/>
      <c r="R144" s="1"/>
      <c r="Z144" s="103"/>
      <c r="AA144" s="103"/>
      <c r="AB144" s="1"/>
    </row>
    <row r="145" spans="15:28">
      <c r="O145" s="1"/>
      <c r="P145" s="1"/>
      <c r="Q145" s="1"/>
      <c r="R145" s="1"/>
      <c r="Z145" s="103"/>
      <c r="AA145" s="103"/>
      <c r="AB145" s="1"/>
    </row>
    <row r="146" spans="15:28">
      <c r="O146" s="1"/>
      <c r="P146" s="1"/>
      <c r="Q146" s="1"/>
      <c r="R146" s="1"/>
      <c r="Z146" s="103"/>
      <c r="AA146" s="103"/>
      <c r="AB146" s="1"/>
    </row>
    <row r="147" spans="15:28">
      <c r="O147" s="1"/>
      <c r="P147" s="1"/>
      <c r="Q147" s="1"/>
      <c r="R147" s="1"/>
      <c r="Z147" s="103"/>
      <c r="AA147" s="103"/>
      <c r="AB147" s="1"/>
    </row>
    <row r="148" spans="15:28">
      <c r="O148" s="1"/>
      <c r="P148" s="1"/>
      <c r="Q148" s="1"/>
      <c r="R148" s="1"/>
      <c r="Z148" s="103"/>
      <c r="AA148" s="103"/>
      <c r="AB148" s="1"/>
    </row>
    <row r="149" spans="15:28">
      <c r="O149" s="1"/>
      <c r="P149" s="1"/>
      <c r="Q149" s="1"/>
      <c r="R149" s="1"/>
      <c r="Z149" s="103"/>
      <c r="AA149" s="103"/>
      <c r="AB149" s="1"/>
    </row>
    <row r="150" spans="15:28">
      <c r="O150" s="1"/>
      <c r="P150" s="1"/>
      <c r="Q150" s="1"/>
      <c r="R150" s="1"/>
      <c r="Z150" s="103"/>
      <c r="AA150" s="103"/>
      <c r="AB150" s="1"/>
    </row>
    <row r="151" spans="15:28">
      <c r="O151" s="1"/>
      <c r="P151" s="1"/>
      <c r="Q151" s="1"/>
      <c r="R151" s="1"/>
      <c r="Z151" s="103"/>
      <c r="AA151" s="103"/>
      <c r="AB151" s="1"/>
    </row>
    <row r="152" spans="15:28">
      <c r="O152" s="1"/>
      <c r="P152" s="1"/>
      <c r="Q152" s="1"/>
      <c r="R152" s="1"/>
      <c r="Z152" s="103"/>
      <c r="AA152" s="103"/>
      <c r="AB152" s="1"/>
    </row>
    <row r="153" spans="15:28">
      <c r="O153" s="1"/>
      <c r="P153" s="1"/>
      <c r="Q153" s="1"/>
      <c r="R153" s="1"/>
      <c r="Z153" s="103"/>
      <c r="AA153" s="103"/>
      <c r="AB153" s="1"/>
    </row>
    <row r="154" spans="15:28">
      <c r="O154" s="1"/>
      <c r="P154" s="1"/>
      <c r="Q154" s="1"/>
      <c r="R154" s="1"/>
      <c r="Z154" s="103"/>
      <c r="AA154" s="103"/>
      <c r="AB154" s="1"/>
    </row>
    <row r="155" spans="15:28">
      <c r="O155" s="1"/>
      <c r="P155" s="1"/>
      <c r="Q155" s="1"/>
      <c r="R155" s="1"/>
      <c r="Z155" s="103"/>
      <c r="AA155" s="103"/>
      <c r="AB155" s="1"/>
    </row>
    <row r="156" spans="15:28">
      <c r="O156" s="1"/>
      <c r="P156" s="1"/>
      <c r="Q156" s="1"/>
      <c r="R156" s="1"/>
      <c r="Z156" s="103"/>
      <c r="AA156" s="103"/>
      <c r="AB156" s="1"/>
    </row>
    <row r="157" spans="15:28">
      <c r="O157" s="1"/>
      <c r="P157" s="1"/>
      <c r="Q157" s="1"/>
      <c r="R157" s="1"/>
      <c r="Z157" s="103"/>
      <c r="AA157" s="103"/>
      <c r="AB157" s="1"/>
    </row>
    <row r="158" spans="15:28">
      <c r="O158" s="1"/>
      <c r="P158" s="1"/>
      <c r="Q158" s="1"/>
      <c r="R158" s="1"/>
      <c r="Z158" s="103"/>
      <c r="AA158" s="103"/>
      <c r="AB158" s="1"/>
    </row>
    <row r="159" spans="15:28">
      <c r="O159" s="1"/>
      <c r="P159" s="1"/>
      <c r="Q159" s="1"/>
      <c r="R159" s="1"/>
      <c r="Z159" s="103"/>
      <c r="AA159" s="103"/>
      <c r="AB159" s="1"/>
    </row>
    <row r="160" spans="15:28">
      <c r="O160" s="1"/>
      <c r="P160" s="1"/>
      <c r="Q160" s="1"/>
      <c r="R160" s="1"/>
      <c r="Z160" s="103"/>
      <c r="AA160" s="103"/>
      <c r="AB160" s="1"/>
    </row>
    <row r="161" spans="15:28">
      <c r="O161" s="1"/>
      <c r="P161" s="1"/>
      <c r="Q161" s="1"/>
      <c r="R161" s="1"/>
      <c r="Z161" s="103"/>
      <c r="AA161" s="103"/>
      <c r="AB161" s="1"/>
    </row>
    <row r="162" spans="15:28">
      <c r="O162" s="1"/>
      <c r="P162" s="1"/>
      <c r="Q162" s="1"/>
      <c r="R162" s="1"/>
      <c r="Z162" s="103"/>
      <c r="AA162" s="103"/>
      <c r="AB162" s="1"/>
    </row>
    <row r="163" spans="15:28">
      <c r="O163" s="1"/>
      <c r="P163" s="1"/>
      <c r="Q163" s="1"/>
      <c r="R163" s="1"/>
      <c r="Z163" s="103"/>
      <c r="AA163" s="103"/>
      <c r="AB163" s="1"/>
    </row>
    <row r="164" spans="15:28">
      <c r="O164" s="1"/>
      <c r="P164" s="1"/>
      <c r="Q164" s="1"/>
      <c r="R164" s="1"/>
      <c r="Z164" s="103"/>
      <c r="AA164" s="103"/>
      <c r="AB164" s="1"/>
    </row>
    <row r="165" spans="15:28">
      <c r="O165" s="1"/>
      <c r="P165" s="1"/>
      <c r="Q165" s="1"/>
      <c r="R165" s="1"/>
      <c r="Z165" s="103"/>
      <c r="AA165" s="103"/>
      <c r="AB165" s="1"/>
    </row>
    <row r="166" spans="15:28">
      <c r="O166" s="1"/>
      <c r="P166" s="1"/>
      <c r="Q166" s="1"/>
      <c r="R166" s="1"/>
      <c r="Z166" s="103"/>
      <c r="AA166" s="103"/>
      <c r="AB166" s="1"/>
    </row>
    <row r="167" spans="15:28">
      <c r="O167" s="1"/>
      <c r="P167" s="1"/>
      <c r="Q167" s="1"/>
      <c r="R167" s="1"/>
      <c r="Z167" s="103"/>
      <c r="AA167" s="103"/>
      <c r="AB167" s="1"/>
    </row>
    <row r="168" spans="15:28">
      <c r="O168" s="1"/>
      <c r="P168" s="1"/>
      <c r="Q168" s="1"/>
      <c r="R168" s="1"/>
      <c r="Z168" s="103"/>
      <c r="AA168" s="103"/>
      <c r="AB168" s="1"/>
    </row>
    <row r="169" spans="15:28">
      <c r="O169" s="1"/>
      <c r="P169" s="1"/>
      <c r="Q169" s="1"/>
      <c r="R169" s="1"/>
      <c r="Z169" s="103"/>
      <c r="AA169" s="103"/>
      <c r="AB169" s="1"/>
    </row>
    <row r="170" spans="15:28">
      <c r="O170" s="1"/>
      <c r="P170" s="1"/>
      <c r="Q170" s="1"/>
      <c r="R170" s="1"/>
      <c r="Z170" s="103"/>
      <c r="AA170" s="103"/>
      <c r="AB170" s="1"/>
    </row>
    <row r="171" spans="15:28">
      <c r="O171" s="1"/>
      <c r="P171" s="1"/>
      <c r="Q171" s="1"/>
      <c r="R171" s="1"/>
      <c r="Z171" s="103"/>
      <c r="AA171" s="103"/>
      <c r="AB171" s="1"/>
    </row>
    <row r="172" spans="15:28">
      <c r="O172" s="1"/>
      <c r="P172" s="1"/>
      <c r="Q172" s="1"/>
      <c r="R172" s="1"/>
      <c r="Z172" s="103"/>
      <c r="AA172" s="103"/>
      <c r="AB172" s="1"/>
    </row>
    <row r="173" spans="15:28">
      <c r="O173" s="1"/>
      <c r="P173" s="1"/>
      <c r="Q173" s="1"/>
      <c r="R173" s="1"/>
      <c r="Z173" s="103"/>
      <c r="AA173" s="103"/>
      <c r="AB173" s="1"/>
    </row>
    <row r="174" spans="15:28">
      <c r="O174" s="1"/>
      <c r="P174" s="1"/>
      <c r="Q174" s="1"/>
      <c r="R174" s="1"/>
      <c r="Z174" s="103"/>
      <c r="AA174" s="103"/>
      <c r="AB174" s="1"/>
    </row>
    <row r="175" spans="15:28">
      <c r="O175" s="1"/>
      <c r="P175" s="1"/>
      <c r="Q175" s="1"/>
      <c r="R175" s="1"/>
      <c r="Z175" s="103"/>
      <c r="AA175" s="103"/>
      <c r="AB175" s="1"/>
    </row>
    <row r="176" spans="15:28">
      <c r="O176" s="1"/>
      <c r="P176" s="1"/>
      <c r="Q176" s="1"/>
      <c r="R176" s="1"/>
      <c r="Z176" s="103"/>
      <c r="AA176" s="103"/>
      <c r="AB176" s="1"/>
    </row>
    <row r="177" spans="15:28">
      <c r="O177" s="1"/>
      <c r="P177" s="1"/>
      <c r="Q177" s="1"/>
      <c r="R177" s="1"/>
      <c r="Z177" s="103"/>
      <c r="AA177" s="103"/>
      <c r="AB177" s="1"/>
    </row>
    <row r="178" spans="15:28">
      <c r="O178" s="1"/>
      <c r="P178" s="1"/>
      <c r="Q178" s="1"/>
      <c r="R178" s="1"/>
      <c r="Z178" s="103"/>
      <c r="AA178" s="103"/>
      <c r="AB178" s="1"/>
    </row>
    <row r="179" spans="15:28">
      <c r="O179" s="1"/>
      <c r="P179" s="1"/>
      <c r="Q179" s="1"/>
      <c r="R179" s="1"/>
      <c r="Z179" s="103"/>
      <c r="AA179" s="103"/>
      <c r="AB179" s="1"/>
    </row>
    <row r="180" spans="15:28">
      <c r="O180" s="1"/>
      <c r="P180" s="1"/>
      <c r="Q180" s="1"/>
      <c r="R180" s="1"/>
      <c r="Z180" s="103"/>
      <c r="AA180" s="103"/>
      <c r="AB180" s="1"/>
    </row>
    <row r="181" spans="15:28">
      <c r="O181" s="1"/>
      <c r="P181" s="1"/>
      <c r="Q181" s="1"/>
      <c r="R181" s="1"/>
      <c r="Z181" s="103"/>
      <c r="AA181" s="103"/>
      <c r="AB181" s="1"/>
    </row>
    <row r="182" spans="15:28">
      <c r="O182" s="1"/>
      <c r="P182" s="1"/>
      <c r="Q182" s="1"/>
      <c r="R182" s="1"/>
      <c r="Z182" s="103"/>
      <c r="AA182" s="103"/>
      <c r="AB182" s="1"/>
    </row>
    <row r="183" spans="15:28">
      <c r="O183" s="1"/>
      <c r="P183" s="1"/>
      <c r="Q183" s="1"/>
      <c r="R183" s="1"/>
      <c r="Z183" s="103"/>
      <c r="AA183" s="103"/>
      <c r="AB183" s="1"/>
    </row>
    <row r="184" spans="15:28">
      <c r="O184" s="1"/>
      <c r="P184" s="1"/>
      <c r="Q184" s="1"/>
      <c r="R184" s="1"/>
      <c r="Z184" s="103"/>
      <c r="AA184" s="103"/>
      <c r="AB184" s="1"/>
    </row>
    <row r="185" spans="15:28">
      <c r="O185" s="1"/>
      <c r="P185" s="1"/>
      <c r="Q185" s="1"/>
      <c r="R185" s="1"/>
      <c r="Z185" s="103"/>
      <c r="AA185" s="103"/>
      <c r="AB185" s="1"/>
    </row>
    <row r="186" spans="15:28">
      <c r="O186" s="1"/>
      <c r="P186" s="1"/>
      <c r="Q186" s="1"/>
      <c r="R186" s="1"/>
      <c r="Z186" s="103"/>
      <c r="AA186" s="103"/>
      <c r="AB186" s="1"/>
    </row>
    <row r="187" spans="15:28">
      <c r="O187" s="1"/>
      <c r="P187" s="1"/>
      <c r="Q187" s="1"/>
      <c r="R187" s="1"/>
      <c r="Z187" s="103"/>
      <c r="AA187" s="103"/>
      <c r="AB187" s="1"/>
    </row>
    <row r="188" spans="15:28">
      <c r="O188" s="1"/>
      <c r="P188" s="1"/>
      <c r="Q188" s="1"/>
      <c r="R188" s="1"/>
      <c r="Z188" s="103"/>
      <c r="AA188" s="103"/>
      <c r="AB188" s="1"/>
    </row>
    <row r="189" spans="15:28">
      <c r="O189" s="1"/>
      <c r="P189" s="1"/>
      <c r="Q189" s="1"/>
      <c r="R189" s="1"/>
      <c r="Z189" s="103"/>
      <c r="AA189" s="103"/>
      <c r="AB189" s="1"/>
    </row>
    <row r="190" spans="15:28">
      <c r="O190" s="1"/>
      <c r="P190" s="1"/>
      <c r="Q190" s="1"/>
      <c r="R190" s="1"/>
      <c r="Z190" s="103"/>
      <c r="AA190" s="103"/>
      <c r="AB190" s="1"/>
    </row>
    <row r="191" spans="15:28">
      <c r="O191" s="1"/>
      <c r="P191" s="1"/>
      <c r="Q191" s="1"/>
      <c r="R191" s="1"/>
      <c r="Z191" s="103"/>
      <c r="AA191" s="103"/>
      <c r="AB191" s="1"/>
    </row>
    <row r="192" spans="15:28">
      <c r="O192" s="1"/>
      <c r="P192" s="1"/>
      <c r="Q192" s="1"/>
      <c r="R192" s="1"/>
      <c r="Z192" s="103"/>
      <c r="AA192" s="103"/>
      <c r="AB192" s="1"/>
    </row>
    <row r="193" spans="15:30">
      <c r="O193" s="1"/>
      <c r="P193" s="1"/>
      <c r="Q193" s="1"/>
      <c r="R193" s="1"/>
      <c r="Z193" s="103"/>
      <c r="AA193" s="103"/>
      <c r="AB193" s="1"/>
    </row>
    <row r="194" spans="15:30">
      <c r="O194" s="1"/>
      <c r="P194" s="1"/>
      <c r="Q194" s="1"/>
      <c r="R194" s="1"/>
      <c r="Z194" s="103"/>
      <c r="AA194" s="103"/>
      <c r="AB194" s="1"/>
    </row>
    <row r="195" spans="15:30">
      <c r="O195" s="1"/>
      <c r="P195" s="1"/>
      <c r="Q195" s="1"/>
      <c r="R195" s="1"/>
      <c r="Z195" s="103"/>
      <c r="AA195" s="103"/>
      <c r="AB195" s="1"/>
    </row>
    <row r="196" spans="15:30">
      <c r="O196" s="1"/>
      <c r="P196" s="1"/>
      <c r="Q196" s="1"/>
      <c r="R196" s="1"/>
      <c r="Z196" s="103"/>
      <c r="AA196" s="103"/>
      <c r="AB196" s="1"/>
    </row>
    <row r="197" spans="15:30">
      <c r="O197" s="1"/>
      <c r="P197" s="1"/>
      <c r="Q197" s="1"/>
      <c r="R197" s="1"/>
      <c r="Z197" s="103"/>
      <c r="AA197" s="103"/>
      <c r="AB197" s="1"/>
    </row>
    <row r="198" spans="15:30">
      <c r="O198" s="1"/>
      <c r="P198" s="1"/>
      <c r="Q198" s="1"/>
      <c r="R198" s="1"/>
      <c r="Z198" s="103"/>
      <c r="AA198" s="103"/>
      <c r="AB198" s="1"/>
    </row>
    <row r="199" spans="15:30">
      <c r="O199" s="1"/>
      <c r="P199" s="1"/>
      <c r="Q199" s="1"/>
      <c r="R199" s="1"/>
      <c r="Z199" s="103"/>
      <c r="AA199" s="103"/>
      <c r="AB199" s="1"/>
    </row>
    <row r="200" spans="15:30">
      <c r="O200" s="1"/>
      <c r="P200" s="1"/>
      <c r="Q200" s="1"/>
      <c r="R200" s="1"/>
      <c r="Z200" s="103"/>
      <c r="AA200" s="103"/>
      <c r="AB200" s="1"/>
      <c r="AD200" s="102"/>
    </row>
    <row r="201" spans="15:30">
      <c r="O201" s="1"/>
      <c r="P201" s="1"/>
      <c r="Q201" s="1"/>
      <c r="R201" s="1"/>
      <c r="Z201" s="103"/>
      <c r="AA201" s="103"/>
      <c r="AB201" s="1"/>
    </row>
    <row r="202" spans="15:30">
      <c r="O202" s="1"/>
      <c r="P202" s="1"/>
      <c r="Q202" s="1"/>
      <c r="R202" s="1"/>
      <c r="Z202" s="103"/>
      <c r="AA202" s="103"/>
      <c r="AB202" s="1"/>
    </row>
    <row r="203" spans="15:30">
      <c r="O203" s="1"/>
      <c r="P203" s="1"/>
      <c r="Q203" s="1"/>
      <c r="R203" s="1"/>
      <c r="Z203" s="103"/>
      <c r="AA203" s="103"/>
      <c r="AB203" s="1"/>
    </row>
    <row r="204" spans="15:30">
      <c r="O204" s="1"/>
      <c r="P204" s="1"/>
      <c r="Q204" s="1"/>
      <c r="R204" s="1"/>
      <c r="Z204" s="103"/>
      <c r="AA204" s="103"/>
      <c r="AB204" s="1"/>
    </row>
    <row r="205" spans="15:30">
      <c r="O205" s="1"/>
      <c r="P205" s="1"/>
      <c r="Q205" s="1"/>
      <c r="R205" s="1"/>
      <c r="Z205" s="103"/>
      <c r="AA205" s="103"/>
      <c r="AB205" s="1"/>
    </row>
    <row r="206" spans="15:30">
      <c r="O206" s="1"/>
      <c r="P206" s="1"/>
      <c r="Q206" s="1"/>
      <c r="R206" s="1"/>
      <c r="Z206" s="103"/>
      <c r="AA206" s="103"/>
      <c r="AB206" s="1"/>
    </row>
    <row r="207" spans="15:30">
      <c r="O207" s="1"/>
      <c r="P207" s="1"/>
      <c r="Q207" s="1"/>
      <c r="R207" s="1"/>
      <c r="Z207" s="103"/>
      <c r="AA207" s="103"/>
      <c r="AB207" s="1"/>
    </row>
    <row r="208" spans="15:30">
      <c r="O208" s="1"/>
      <c r="P208" s="1"/>
      <c r="Q208" s="1"/>
      <c r="R208" s="1"/>
      <c r="Z208" s="103"/>
      <c r="AA208" s="103"/>
      <c r="AB208" s="1"/>
    </row>
    <row r="209" spans="15:30">
      <c r="O209" s="1"/>
      <c r="P209" s="1"/>
      <c r="Q209" s="1"/>
      <c r="R209" s="1"/>
      <c r="Z209" s="103"/>
      <c r="AA209" s="103"/>
      <c r="AB209" s="1"/>
    </row>
    <row r="210" spans="15:30">
      <c r="O210" s="1"/>
      <c r="P210" s="1"/>
      <c r="Q210" s="1"/>
      <c r="R210" s="1"/>
      <c r="Z210" s="103"/>
      <c r="AA210" s="103"/>
      <c r="AB210" s="1"/>
      <c r="AD210" s="102"/>
    </row>
    <row r="211" spans="15:30">
      <c r="O211" s="1"/>
      <c r="P211" s="1"/>
      <c r="Q211" s="1"/>
      <c r="R211" s="1"/>
      <c r="Z211" s="103"/>
      <c r="AA211" s="103"/>
      <c r="AB211" s="1"/>
    </row>
    <row r="212" spans="15:30">
      <c r="O212" s="1"/>
      <c r="P212" s="1"/>
      <c r="Q212" s="1"/>
      <c r="R212" s="1"/>
      <c r="Z212" s="103"/>
      <c r="AA212" s="103"/>
      <c r="AB212" s="1"/>
    </row>
    <row r="213" spans="15:30">
      <c r="O213" s="1"/>
      <c r="P213" s="1"/>
      <c r="Q213" s="1"/>
      <c r="R213" s="1"/>
      <c r="Z213" s="103"/>
      <c r="AA213" s="103"/>
      <c r="AB213" s="1"/>
    </row>
    <row r="214" spans="15:30">
      <c r="O214" s="1"/>
      <c r="P214" s="1"/>
      <c r="Q214" s="1"/>
      <c r="R214" s="1"/>
      <c r="Z214" s="103"/>
      <c r="AA214" s="103"/>
      <c r="AB214" s="1"/>
    </row>
    <row r="215" spans="15:30">
      <c r="O215" s="1"/>
      <c r="P215" s="1"/>
      <c r="Q215" s="1"/>
      <c r="R215" s="1"/>
      <c r="Z215" s="103"/>
      <c r="AA215" s="103"/>
      <c r="AB215" s="1"/>
    </row>
    <row r="216" spans="15:30">
      <c r="O216" s="1"/>
      <c r="P216" s="1"/>
      <c r="Q216" s="1"/>
      <c r="R216" s="1"/>
      <c r="Z216" s="103"/>
      <c r="AA216" s="103"/>
      <c r="AB216" s="1"/>
    </row>
    <row r="217" spans="15:30">
      <c r="O217" s="1"/>
      <c r="P217" s="1"/>
      <c r="Q217" s="1"/>
      <c r="R217" s="1"/>
      <c r="Z217" s="103"/>
      <c r="AA217" s="103"/>
      <c r="AB217" s="1"/>
    </row>
    <row r="218" spans="15:30">
      <c r="O218" s="1"/>
      <c r="P218" s="1"/>
      <c r="Q218" s="1"/>
      <c r="R218" s="1"/>
      <c r="Z218" s="103"/>
      <c r="AA218" s="103"/>
      <c r="AB218" s="1"/>
    </row>
    <row r="219" spans="15:30">
      <c r="O219" s="1"/>
      <c r="P219" s="1"/>
      <c r="Q219" s="1"/>
      <c r="R219" s="1"/>
      <c r="Z219" s="103"/>
      <c r="AA219" s="103"/>
      <c r="AB219" s="1"/>
    </row>
    <row r="220" spans="15:30">
      <c r="O220" s="1"/>
      <c r="P220" s="1"/>
      <c r="Q220" s="1"/>
      <c r="R220" s="1"/>
      <c r="Z220" s="103"/>
      <c r="AA220" s="103"/>
      <c r="AB220" s="1"/>
      <c r="AD220" s="102"/>
    </row>
    <row r="221" spans="15:30">
      <c r="O221" s="1"/>
      <c r="P221" s="1"/>
      <c r="Q221" s="1"/>
      <c r="R221" s="1"/>
      <c r="Z221" s="103"/>
      <c r="AA221" s="103"/>
      <c r="AB221" s="1"/>
    </row>
    <row r="222" spans="15:30">
      <c r="O222" s="1"/>
      <c r="P222" s="1"/>
      <c r="Q222" s="1"/>
      <c r="R222" s="1"/>
      <c r="Z222" s="103"/>
      <c r="AA222" s="103"/>
      <c r="AB222" s="1"/>
    </row>
    <row r="223" spans="15:30">
      <c r="O223" s="1"/>
      <c r="P223" s="1"/>
      <c r="Q223" s="1"/>
      <c r="R223" s="1"/>
      <c r="Z223" s="103"/>
      <c r="AA223" s="103"/>
      <c r="AB223" s="1"/>
    </row>
    <row r="224" spans="15:30">
      <c r="O224" s="1"/>
      <c r="P224" s="1"/>
      <c r="Q224" s="1"/>
      <c r="R224" s="1"/>
      <c r="Z224" s="103"/>
      <c r="AA224" s="103"/>
      <c r="AB224" s="1"/>
    </row>
    <row r="225" spans="15:30">
      <c r="O225" s="1"/>
      <c r="P225" s="1"/>
      <c r="Q225" s="1"/>
      <c r="R225" s="1"/>
      <c r="Z225" s="103"/>
      <c r="AA225" s="103"/>
      <c r="AB225" s="1"/>
    </row>
    <row r="226" spans="15:30">
      <c r="O226" s="1"/>
      <c r="P226" s="1"/>
      <c r="Q226" s="1"/>
      <c r="R226" s="1"/>
      <c r="Z226" s="103"/>
      <c r="AA226" s="103"/>
      <c r="AB226" s="1"/>
    </row>
    <row r="227" spans="15:30">
      <c r="O227" s="1"/>
      <c r="P227" s="1"/>
      <c r="Q227" s="1"/>
      <c r="R227" s="1"/>
      <c r="Z227" s="103"/>
      <c r="AA227" s="103"/>
      <c r="AB227" s="1"/>
    </row>
    <row r="228" spans="15:30">
      <c r="O228" s="1"/>
      <c r="P228" s="1"/>
      <c r="Q228" s="1"/>
      <c r="R228" s="1"/>
      <c r="Z228" s="103"/>
      <c r="AA228" s="103"/>
      <c r="AB228" s="1"/>
    </row>
    <row r="229" spans="15:30">
      <c r="O229" s="1"/>
      <c r="P229" s="1"/>
      <c r="Q229" s="1"/>
      <c r="R229" s="1"/>
      <c r="Z229" s="103"/>
      <c r="AA229" s="103"/>
      <c r="AB229" s="1"/>
      <c r="AD229" s="102"/>
    </row>
    <row r="230" spans="15:30">
      <c r="O230" s="1"/>
      <c r="P230" s="1"/>
      <c r="Q230" s="1"/>
      <c r="R230" s="1"/>
      <c r="Z230" s="103"/>
      <c r="AA230" s="103"/>
      <c r="AB230" s="1"/>
      <c r="AD230" s="102"/>
    </row>
    <row r="231" spans="15:30">
      <c r="O231" s="1"/>
      <c r="P231" s="1"/>
      <c r="Q231" s="1"/>
      <c r="R231" s="1"/>
      <c r="Z231" s="103"/>
      <c r="AA231" s="103"/>
      <c r="AB231" s="1"/>
    </row>
    <row r="232" spans="15:30">
      <c r="O232" s="1"/>
      <c r="P232" s="1"/>
      <c r="Q232" s="1"/>
      <c r="R232" s="1"/>
      <c r="Z232" s="103"/>
      <c r="AA232" s="103"/>
      <c r="AB232" s="1"/>
    </row>
    <row r="233" spans="15:30">
      <c r="O233" s="1"/>
      <c r="P233" s="1"/>
      <c r="Q233" s="1"/>
      <c r="R233" s="1"/>
      <c r="Z233" s="103"/>
      <c r="AA233" s="103"/>
      <c r="AB233" s="1"/>
    </row>
    <row r="234" spans="15:30">
      <c r="O234" s="1"/>
      <c r="P234" s="1"/>
      <c r="Q234" s="1"/>
      <c r="R234" s="1"/>
      <c r="Z234" s="103"/>
      <c r="AA234" s="103"/>
      <c r="AB234" s="1"/>
    </row>
    <row r="235" spans="15:30">
      <c r="O235" s="1"/>
      <c r="P235" s="1"/>
      <c r="Q235" s="1"/>
      <c r="R235" s="1"/>
      <c r="Z235" s="103"/>
      <c r="AA235" s="103"/>
      <c r="AB235" s="1"/>
    </row>
    <row r="236" spans="15:30">
      <c r="O236" s="1"/>
      <c r="P236" s="1"/>
      <c r="Q236" s="1"/>
      <c r="R236" s="1"/>
      <c r="Z236" s="103"/>
      <c r="AA236" s="103"/>
      <c r="AB236" s="1"/>
    </row>
    <row r="237" spans="15:30">
      <c r="O237" s="1"/>
      <c r="P237" s="1"/>
      <c r="Q237" s="1"/>
      <c r="R237" s="1"/>
      <c r="Z237" s="103"/>
      <c r="AA237" s="103"/>
      <c r="AB237" s="1"/>
    </row>
    <row r="238" spans="15:30">
      <c r="O238" s="1"/>
      <c r="P238" s="1"/>
      <c r="Q238" s="1"/>
      <c r="R238" s="1"/>
      <c r="Z238" s="103"/>
      <c r="AA238" s="103"/>
      <c r="AB238" s="1"/>
    </row>
    <row r="239" spans="15:30">
      <c r="O239" s="1"/>
      <c r="P239" s="1"/>
      <c r="Q239" s="1"/>
      <c r="R239" s="1"/>
      <c r="Z239" s="103"/>
      <c r="AA239" s="103"/>
      <c r="AB239" s="1"/>
    </row>
    <row r="240" spans="15:30">
      <c r="O240" s="1"/>
      <c r="P240" s="1"/>
      <c r="Q240" s="1"/>
      <c r="R240" s="1"/>
      <c r="Z240" s="103"/>
      <c r="AA240" s="103"/>
      <c r="AB240" s="1"/>
    </row>
    <row r="241" spans="15:28">
      <c r="O241" s="1"/>
      <c r="P241" s="1"/>
      <c r="Q241" s="1"/>
      <c r="R241" s="1"/>
      <c r="Z241" s="103"/>
      <c r="AA241" s="103"/>
      <c r="AB241" s="1"/>
    </row>
    <row r="242" spans="15:28">
      <c r="O242" s="1"/>
      <c r="P242" s="1"/>
      <c r="Q242" s="1"/>
      <c r="R242" s="1"/>
      <c r="Z242" s="103"/>
      <c r="AA242" s="103"/>
      <c r="AB242" s="1"/>
    </row>
    <row r="243" spans="15:28">
      <c r="O243" s="1"/>
      <c r="P243" s="1"/>
      <c r="Q243" s="1"/>
      <c r="R243" s="1"/>
      <c r="Z243" s="103"/>
      <c r="AA243" s="103"/>
      <c r="AB243" s="1"/>
    </row>
    <row r="244" spans="15:28">
      <c r="O244" s="1"/>
      <c r="P244" s="1"/>
      <c r="Q244" s="1"/>
      <c r="R244" s="1"/>
      <c r="Z244" s="103"/>
      <c r="AA244" s="103"/>
      <c r="AB244" s="1"/>
    </row>
    <row r="245" spans="15:28">
      <c r="O245" s="1"/>
      <c r="P245" s="1"/>
      <c r="Q245" s="1"/>
      <c r="R245" s="1"/>
      <c r="Z245" s="103"/>
      <c r="AA245" s="103"/>
      <c r="AB245" s="1"/>
    </row>
    <row r="246" spans="15:28">
      <c r="O246" s="1"/>
      <c r="P246" s="1"/>
      <c r="Q246" s="1"/>
      <c r="R246" s="1"/>
      <c r="Z246" s="103"/>
      <c r="AA246" s="103"/>
      <c r="AB246" s="1"/>
    </row>
    <row r="247" spans="15:28">
      <c r="O247" s="1"/>
      <c r="P247" s="1"/>
      <c r="Q247" s="1"/>
      <c r="R247" s="1"/>
      <c r="Z247" s="103"/>
      <c r="AA247" s="103"/>
      <c r="AB247" s="1"/>
    </row>
    <row r="248" spans="15:28">
      <c r="O248" s="1"/>
      <c r="P248" s="1"/>
      <c r="Q248" s="1"/>
      <c r="R248" s="1"/>
      <c r="Z248" s="103"/>
      <c r="AA248" s="103"/>
      <c r="AB248" s="1"/>
    </row>
    <row r="249" spans="15:28">
      <c r="O249" s="1"/>
      <c r="P249" s="1"/>
      <c r="Q249" s="1"/>
      <c r="R249" s="1"/>
      <c r="Z249" s="103"/>
      <c r="AA249" s="103"/>
      <c r="AB249" s="1"/>
    </row>
    <row r="250" spans="15:28">
      <c r="O250" s="1"/>
      <c r="P250" s="1"/>
      <c r="Q250" s="1"/>
      <c r="R250" s="1"/>
      <c r="Z250" s="103"/>
      <c r="AA250" s="103"/>
      <c r="AB250" s="1"/>
    </row>
    <row r="251" spans="15:28">
      <c r="O251" s="1"/>
      <c r="P251" s="1"/>
      <c r="Q251" s="1"/>
      <c r="R251" s="1"/>
      <c r="Z251" s="103"/>
      <c r="AA251" s="103"/>
      <c r="AB251" s="1"/>
    </row>
    <row r="252" spans="15:28">
      <c r="O252" s="1"/>
      <c r="P252" s="1"/>
      <c r="Q252" s="1"/>
      <c r="R252" s="1"/>
      <c r="Z252" s="103"/>
      <c r="AA252" s="103"/>
      <c r="AB252" s="1"/>
    </row>
    <row r="253" spans="15:28">
      <c r="O253" s="1"/>
      <c r="P253" s="1"/>
      <c r="Q253" s="1"/>
      <c r="R253" s="1"/>
      <c r="Z253" s="103"/>
      <c r="AA253" s="103"/>
      <c r="AB253" s="1"/>
    </row>
    <row r="254" spans="15:28">
      <c r="O254" s="1"/>
      <c r="P254" s="1"/>
      <c r="Q254" s="1"/>
      <c r="R254" s="1"/>
      <c r="Z254" s="103"/>
      <c r="AA254" s="103"/>
      <c r="AB254" s="1"/>
    </row>
    <row r="255" spans="15:28">
      <c r="O255" s="1"/>
      <c r="P255" s="1"/>
      <c r="Q255" s="1"/>
      <c r="R255" s="1"/>
      <c r="Z255" s="103"/>
      <c r="AA255" s="103"/>
      <c r="AB255" s="1"/>
    </row>
    <row r="256" spans="15:28">
      <c r="O256" s="1"/>
      <c r="P256" s="1"/>
      <c r="Q256" s="1"/>
      <c r="R256" s="1"/>
      <c r="Z256" s="103"/>
      <c r="AA256" s="103"/>
      <c r="AB256" s="1"/>
    </row>
    <row r="257" spans="15:30">
      <c r="O257" s="1"/>
      <c r="P257" s="1"/>
      <c r="Q257" s="1"/>
      <c r="R257" s="1"/>
      <c r="Z257" s="103"/>
      <c r="AA257" s="103"/>
      <c r="AB257" s="1"/>
    </row>
    <row r="258" spans="15:30">
      <c r="O258" s="1"/>
      <c r="P258" s="1"/>
      <c r="Q258" s="1"/>
      <c r="R258" s="1"/>
      <c r="Z258" s="103"/>
      <c r="AA258" s="103"/>
      <c r="AB258" s="1"/>
    </row>
    <row r="259" spans="15:30">
      <c r="O259" s="1"/>
      <c r="P259" s="1"/>
      <c r="Q259" s="1"/>
      <c r="R259" s="1"/>
      <c r="Z259" s="103"/>
      <c r="AA259" s="103"/>
      <c r="AB259" s="1"/>
    </row>
    <row r="260" spans="15:30">
      <c r="O260" s="1"/>
      <c r="P260" s="1"/>
      <c r="Q260" s="1"/>
      <c r="R260" s="1"/>
      <c r="Z260" s="103"/>
      <c r="AA260" s="103"/>
      <c r="AB260" s="1"/>
    </row>
    <row r="261" spans="15:30">
      <c r="O261" s="1"/>
      <c r="P261" s="1"/>
      <c r="Q261" s="1"/>
      <c r="R261" s="1"/>
      <c r="Z261" s="103"/>
      <c r="AA261" s="103"/>
      <c r="AB261" s="1"/>
    </row>
    <row r="262" spans="15:30">
      <c r="O262" s="1"/>
      <c r="P262" s="1"/>
      <c r="Q262" s="1"/>
      <c r="R262" s="1"/>
      <c r="Z262" s="103"/>
      <c r="AA262" s="103"/>
      <c r="AB262" s="1"/>
    </row>
    <row r="263" spans="15:30">
      <c r="O263" s="1"/>
      <c r="P263" s="1"/>
      <c r="Q263" s="1"/>
      <c r="R263" s="1"/>
      <c r="Z263" s="103"/>
      <c r="AA263" s="103"/>
      <c r="AB263" s="1"/>
    </row>
    <row r="264" spans="15:30">
      <c r="O264" s="1"/>
      <c r="P264" s="1"/>
      <c r="Q264" s="1"/>
      <c r="R264" s="1"/>
      <c r="Z264" s="103"/>
      <c r="AA264" s="103"/>
      <c r="AB264" s="1"/>
    </row>
    <row r="265" spans="15:30">
      <c r="O265" s="1"/>
      <c r="P265" s="1"/>
      <c r="Q265" s="1"/>
      <c r="R265" s="1"/>
      <c r="Z265" s="103"/>
      <c r="AA265" s="103"/>
      <c r="AB265" s="1"/>
    </row>
    <row r="266" spans="15:30">
      <c r="O266" s="1"/>
      <c r="P266" s="1"/>
      <c r="Q266" s="1"/>
      <c r="R266" s="1"/>
      <c r="Z266" s="103"/>
      <c r="AA266" s="103"/>
      <c r="AB266" s="1"/>
    </row>
    <row r="267" spans="15:30">
      <c r="O267" s="1"/>
      <c r="P267" s="1"/>
      <c r="Q267" s="1"/>
      <c r="R267" s="1"/>
      <c r="Z267" s="103"/>
      <c r="AA267" s="103"/>
      <c r="AB267" s="1"/>
    </row>
    <row r="268" spans="15:30">
      <c r="O268" s="1"/>
      <c r="P268" s="1"/>
      <c r="Q268" s="1"/>
      <c r="R268" s="1"/>
      <c r="Z268" s="103"/>
      <c r="AA268" s="103"/>
      <c r="AB268" s="1"/>
    </row>
    <row r="269" spans="15:30">
      <c r="O269" s="1"/>
      <c r="P269" s="1"/>
      <c r="Q269" s="1"/>
      <c r="R269" s="1"/>
      <c r="Z269" s="103"/>
      <c r="AA269" s="103"/>
      <c r="AB269" s="1"/>
    </row>
    <row r="270" spans="15:30">
      <c r="O270" s="1"/>
      <c r="P270" s="1"/>
      <c r="Q270" s="1"/>
      <c r="R270" s="1"/>
      <c r="Z270" s="103"/>
      <c r="AA270" s="103"/>
      <c r="AB270" s="1"/>
    </row>
    <row r="271" spans="15:30">
      <c r="O271" s="1"/>
      <c r="P271" s="1"/>
      <c r="Q271" s="1"/>
      <c r="R271" s="1"/>
      <c r="Z271" s="103"/>
      <c r="AA271" s="103"/>
      <c r="AB271" s="1"/>
    </row>
    <row r="272" spans="15:30">
      <c r="O272" s="1"/>
      <c r="P272" s="1"/>
      <c r="Q272" s="1"/>
      <c r="R272" s="1"/>
      <c r="Z272" s="103"/>
      <c r="AA272" s="103"/>
      <c r="AB272" s="1"/>
      <c r="AD272" s="102"/>
    </row>
    <row r="273" spans="15:28">
      <c r="O273" s="1"/>
      <c r="P273" s="1"/>
      <c r="Q273" s="1"/>
      <c r="R273" s="1"/>
      <c r="Z273" s="103"/>
      <c r="AA273" s="103"/>
      <c r="AB273" s="1"/>
    </row>
    <row r="274" spans="15:28">
      <c r="O274" s="1"/>
      <c r="P274" s="1"/>
      <c r="Q274" s="1"/>
      <c r="R274" s="1"/>
      <c r="Z274" s="103"/>
      <c r="AA274" s="103"/>
      <c r="AB274" s="1"/>
    </row>
    <row r="275" spans="15:28">
      <c r="O275" s="1"/>
      <c r="P275" s="1"/>
      <c r="Q275" s="1"/>
      <c r="R275" s="1"/>
      <c r="Z275" s="103"/>
      <c r="AA275" s="103"/>
      <c r="AB275" s="1"/>
    </row>
    <row r="276" spans="15:28">
      <c r="O276" s="1"/>
      <c r="P276" s="1"/>
      <c r="Q276" s="1"/>
      <c r="R276" s="1"/>
      <c r="Z276" s="103"/>
      <c r="AA276" s="103"/>
      <c r="AB276" s="1"/>
    </row>
    <row r="277" spans="15:28">
      <c r="O277" s="1"/>
      <c r="P277" s="1"/>
      <c r="Q277" s="1"/>
      <c r="R277" s="1"/>
      <c r="Z277" s="103"/>
      <c r="AA277" s="103"/>
      <c r="AB277" s="1"/>
    </row>
    <row r="278" spans="15:28">
      <c r="O278" s="1"/>
      <c r="P278" s="1"/>
      <c r="Q278" s="1"/>
      <c r="R278" s="1"/>
      <c r="Z278" s="103"/>
      <c r="AA278" s="103"/>
      <c r="AB278" s="1"/>
    </row>
    <row r="279" spans="15:28">
      <c r="O279" s="1"/>
      <c r="P279" s="1"/>
      <c r="Q279" s="1"/>
      <c r="R279" s="1"/>
      <c r="Z279" s="103"/>
      <c r="AA279" s="103"/>
      <c r="AB279" s="1"/>
    </row>
    <row r="280" spans="15:28">
      <c r="O280" s="1"/>
      <c r="P280" s="1"/>
      <c r="Q280" s="1"/>
      <c r="R280" s="1"/>
      <c r="Z280" s="103"/>
      <c r="AA280" s="103"/>
      <c r="AB280" s="1"/>
    </row>
    <row r="281" spans="15:28">
      <c r="O281" s="1"/>
      <c r="P281" s="1"/>
      <c r="Q281" s="1"/>
      <c r="R281" s="1"/>
      <c r="Z281" s="103"/>
      <c r="AA281" s="103"/>
      <c r="AB281" s="1"/>
    </row>
    <row r="282" spans="15:28">
      <c r="O282" s="1"/>
      <c r="P282" s="1"/>
      <c r="Q282" s="1"/>
      <c r="R282" s="1"/>
      <c r="Z282" s="103"/>
      <c r="AA282" s="103"/>
      <c r="AB282" s="1"/>
    </row>
    <row r="283" spans="15:28">
      <c r="O283" s="1"/>
      <c r="P283" s="1"/>
      <c r="Q283" s="1"/>
      <c r="R283" s="1"/>
      <c r="Z283" s="103"/>
      <c r="AA283" s="103"/>
      <c r="AB283" s="1"/>
    </row>
    <row r="284" spans="15:28">
      <c r="O284" s="1"/>
      <c r="P284" s="1"/>
      <c r="Q284" s="1"/>
      <c r="R284" s="1"/>
      <c r="Z284" s="103"/>
      <c r="AA284" s="103"/>
      <c r="AB284" s="1"/>
    </row>
    <row r="285" spans="15:28">
      <c r="O285" s="1"/>
      <c r="P285" s="1"/>
      <c r="Q285" s="1"/>
      <c r="R285" s="1"/>
      <c r="Z285" s="103"/>
      <c r="AA285" s="103"/>
      <c r="AB285" s="1"/>
    </row>
    <row r="286" spans="15:28">
      <c r="O286" s="1"/>
      <c r="P286" s="1"/>
      <c r="Q286" s="1"/>
      <c r="R286" s="1"/>
      <c r="Z286" s="103"/>
      <c r="AA286" s="103"/>
      <c r="AB286" s="1"/>
    </row>
    <row r="287" spans="15:28">
      <c r="O287" s="1"/>
      <c r="P287" s="1"/>
      <c r="Q287" s="1"/>
      <c r="R287" s="1"/>
      <c r="Z287" s="103"/>
      <c r="AA287" s="103"/>
      <c r="AB287" s="1"/>
    </row>
    <row r="288" spans="15:28">
      <c r="O288" s="1"/>
      <c r="P288" s="1"/>
      <c r="Q288" s="1"/>
      <c r="R288" s="1"/>
      <c r="Z288" s="103"/>
      <c r="AA288" s="103"/>
      <c r="AB288" s="1"/>
    </row>
    <row r="289" spans="15:28">
      <c r="O289" s="1"/>
      <c r="P289" s="1"/>
      <c r="Q289" s="1"/>
      <c r="R289" s="1"/>
      <c r="Z289" s="103"/>
      <c r="AA289" s="103"/>
      <c r="AB289" s="1"/>
    </row>
    <row r="290" spans="15:28">
      <c r="O290" s="1"/>
      <c r="P290" s="1"/>
      <c r="Q290" s="1"/>
      <c r="R290" s="1"/>
      <c r="Z290" s="103"/>
      <c r="AA290" s="103"/>
      <c r="AB290" s="1"/>
    </row>
    <row r="291" spans="15:28">
      <c r="O291" s="1"/>
      <c r="P291" s="1"/>
      <c r="Q291" s="1"/>
      <c r="R291" s="1"/>
      <c r="Z291" s="103"/>
      <c r="AA291" s="103"/>
      <c r="AB291" s="1"/>
    </row>
    <row r="292" spans="15:28">
      <c r="O292" s="1"/>
      <c r="P292" s="1"/>
      <c r="Q292" s="1"/>
      <c r="R292" s="1"/>
      <c r="Z292" s="103"/>
      <c r="AA292" s="103"/>
      <c r="AB292" s="1"/>
    </row>
    <row r="293" spans="15:28">
      <c r="O293" s="1"/>
      <c r="P293" s="1"/>
      <c r="Q293" s="1"/>
      <c r="R293" s="1"/>
      <c r="Z293" s="103"/>
      <c r="AA293" s="103"/>
      <c r="AB293" s="1"/>
    </row>
    <row r="294" spans="15:28">
      <c r="O294" s="1"/>
      <c r="P294" s="1"/>
      <c r="Q294" s="1"/>
      <c r="R294" s="1"/>
      <c r="Z294" s="103"/>
      <c r="AA294" s="103"/>
      <c r="AB294" s="1"/>
    </row>
    <row r="295" spans="15:28">
      <c r="O295" s="1"/>
      <c r="P295" s="1"/>
      <c r="Q295" s="1"/>
      <c r="R295" s="1"/>
      <c r="Z295" s="103"/>
      <c r="AA295" s="103"/>
      <c r="AB295" s="1"/>
    </row>
    <row r="296" spans="15:28">
      <c r="O296" s="1"/>
      <c r="P296" s="1"/>
      <c r="Q296" s="1"/>
      <c r="R296" s="1"/>
      <c r="Z296" s="103"/>
      <c r="AA296" s="103"/>
      <c r="AB296" s="1"/>
    </row>
    <row r="297" spans="15:28">
      <c r="O297" s="1"/>
      <c r="P297" s="1"/>
      <c r="Q297" s="1"/>
      <c r="R297" s="1"/>
      <c r="Z297" s="103"/>
      <c r="AA297" s="103"/>
      <c r="AB297" s="1"/>
    </row>
    <row r="298" spans="15:28">
      <c r="O298" s="1"/>
      <c r="P298" s="1"/>
      <c r="Q298" s="1"/>
      <c r="R298" s="1"/>
      <c r="Z298" s="103"/>
      <c r="AA298" s="103"/>
      <c r="AB298" s="1"/>
    </row>
    <row r="299" spans="15:28">
      <c r="O299" s="1"/>
      <c r="P299" s="1"/>
      <c r="Q299" s="1"/>
      <c r="R299" s="1"/>
      <c r="Z299" s="103"/>
      <c r="AA299" s="103"/>
      <c r="AB299" s="1"/>
    </row>
    <row r="300" spans="15:28">
      <c r="O300" s="1"/>
      <c r="P300" s="1"/>
      <c r="Q300" s="1"/>
      <c r="R300" s="1"/>
      <c r="Z300" s="103"/>
      <c r="AA300" s="103"/>
      <c r="AB300" s="1"/>
    </row>
    <row r="301" spans="15:28">
      <c r="O301" s="1"/>
      <c r="P301" s="1"/>
      <c r="Q301" s="1"/>
      <c r="R301" s="1"/>
      <c r="Z301" s="103"/>
      <c r="AA301" s="103"/>
      <c r="AB301" s="1"/>
    </row>
    <row r="302" spans="15:28">
      <c r="O302" s="1"/>
      <c r="P302" s="1"/>
      <c r="Q302" s="1"/>
      <c r="R302" s="1"/>
      <c r="Z302" s="103"/>
      <c r="AA302" s="103"/>
      <c r="AB302" s="1"/>
    </row>
    <row r="303" spans="15:28">
      <c r="O303" s="1"/>
      <c r="P303" s="1"/>
      <c r="Q303" s="1"/>
      <c r="R303" s="1"/>
      <c r="Z303" s="103"/>
      <c r="AA303" s="103"/>
      <c r="AB303" s="1"/>
    </row>
    <row r="304" spans="15:28">
      <c r="O304" s="1"/>
      <c r="P304" s="1"/>
      <c r="Q304" s="1"/>
      <c r="R304" s="1"/>
      <c r="Z304" s="103"/>
      <c r="AA304" s="103"/>
      <c r="AB304" s="1"/>
    </row>
    <row r="305" spans="15:30">
      <c r="O305" s="1"/>
      <c r="P305" s="1"/>
      <c r="Q305" s="1"/>
      <c r="R305" s="1"/>
      <c r="Z305" s="103"/>
      <c r="AA305" s="103"/>
      <c r="AB305" s="1"/>
    </row>
    <row r="306" spans="15:30">
      <c r="O306" s="1"/>
      <c r="P306" s="1"/>
      <c r="Q306" s="1"/>
      <c r="R306" s="1"/>
      <c r="Z306" s="103"/>
      <c r="AA306" s="103"/>
      <c r="AB306" s="1"/>
    </row>
    <row r="307" spans="15:30">
      <c r="O307" s="1"/>
      <c r="P307" s="1"/>
      <c r="Q307" s="1"/>
      <c r="R307" s="1"/>
      <c r="Z307" s="103"/>
      <c r="AA307" s="103"/>
      <c r="AB307" s="1"/>
    </row>
    <row r="308" spans="15:30">
      <c r="O308" s="1"/>
      <c r="P308" s="1"/>
      <c r="Q308" s="1"/>
      <c r="R308" s="1"/>
      <c r="Z308" s="103"/>
      <c r="AA308" s="103"/>
      <c r="AB308" s="1"/>
    </row>
    <row r="309" spans="15:30">
      <c r="O309" s="1"/>
      <c r="P309" s="1"/>
      <c r="Q309" s="1"/>
      <c r="R309" s="1"/>
      <c r="Z309" s="103"/>
      <c r="AA309" s="103"/>
      <c r="AB309" s="1"/>
    </row>
    <row r="310" spans="15:30">
      <c r="O310" s="1"/>
      <c r="P310" s="1"/>
      <c r="Q310" s="1"/>
      <c r="R310" s="1"/>
      <c r="Z310" s="103"/>
      <c r="AA310" s="103"/>
      <c r="AB310" s="1"/>
    </row>
    <row r="311" spans="15:30">
      <c r="O311" s="1"/>
      <c r="P311" s="1"/>
      <c r="Q311" s="1"/>
      <c r="R311" s="1"/>
      <c r="Z311" s="103"/>
      <c r="AA311" s="103"/>
      <c r="AB311" s="1"/>
    </row>
    <row r="312" spans="15:30">
      <c r="O312" s="1"/>
      <c r="P312" s="1"/>
      <c r="Q312" s="1"/>
      <c r="R312" s="1"/>
      <c r="Z312" s="103"/>
      <c r="AA312" s="103"/>
      <c r="AB312" s="1"/>
    </row>
    <row r="313" spans="15:30">
      <c r="O313" s="1"/>
      <c r="P313" s="1"/>
      <c r="Q313" s="1"/>
      <c r="R313" s="1"/>
      <c r="Z313" s="103"/>
      <c r="AA313" s="103"/>
      <c r="AB313" s="1"/>
    </row>
    <row r="314" spans="15:30">
      <c r="O314" s="1"/>
      <c r="P314" s="1"/>
      <c r="Q314" s="1"/>
      <c r="R314" s="1"/>
      <c r="Z314" s="103"/>
      <c r="AA314" s="103"/>
      <c r="AB314" s="1"/>
    </row>
    <row r="315" spans="15:30">
      <c r="O315" s="1"/>
      <c r="P315" s="1"/>
      <c r="Q315" s="1"/>
      <c r="R315" s="1"/>
      <c r="Z315" s="103"/>
      <c r="AA315" s="103"/>
      <c r="AB315" s="1"/>
    </row>
    <row r="316" spans="15:30">
      <c r="O316" s="1"/>
      <c r="P316" s="1"/>
      <c r="Q316" s="1"/>
      <c r="R316" s="1"/>
      <c r="Z316" s="103"/>
      <c r="AA316" s="103"/>
      <c r="AB316" s="1"/>
    </row>
    <row r="317" spans="15:30">
      <c r="O317" s="1"/>
      <c r="P317" s="1"/>
      <c r="Q317" s="1"/>
      <c r="R317" s="1"/>
      <c r="Z317" s="103"/>
      <c r="AA317" s="103"/>
      <c r="AB317" s="1"/>
    </row>
    <row r="318" spans="15:30">
      <c r="O318" s="1"/>
      <c r="P318" s="1"/>
      <c r="Q318" s="1"/>
      <c r="R318" s="1"/>
      <c r="Z318" s="103"/>
      <c r="AA318" s="103"/>
      <c r="AB318" s="1"/>
      <c r="AD318" s="102"/>
    </row>
    <row r="319" spans="15:30">
      <c r="O319" s="1"/>
      <c r="P319" s="1"/>
      <c r="Q319" s="1"/>
      <c r="R319" s="1"/>
      <c r="Z319" s="103"/>
      <c r="AA319" s="103"/>
      <c r="AB319" s="1"/>
    </row>
    <row r="320" spans="15:30">
      <c r="O320" s="1"/>
      <c r="P320" s="1"/>
      <c r="Q320" s="1"/>
      <c r="R320" s="1"/>
      <c r="Z320" s="103"/>
      <c r="AA320" s="103"/>
      <c r="AB320" s="1"/>
    </row>
    <row r="321" spans="15:28">
      <c r="O321" s="1"/>
      <c r="P321" s="1"/>
      <c r="Q321" s="1"/>
      <c r="R321" s="1"/>
      <c r="Z321" s="103"/>
      <c r="AA321" s="103"/>
      <c r="AB321" s="1"/>
    </row>
    <row r="322" spans="15:28">
      <c r="O322" s="1"/>
      <c r="P322" s="1"/>
      <c r="Q322" s="1"/>
      <c r="R322" s="1"/>
      <c r="Z322" s="103"/>
      <c r="AA322" s="103"/>
      <c r="AB322" s="1"/>
    </row>
    <row r="323" spans="15:28">
      <c r="O323" s="1"/>
      <c r="P323" s="1"/>
      <c r="Q323" s="1"/>
      <c r="R323" s="1"/>
      <c r="Z323" s="103"/>
      <c r="AA323" s="103"/>
      <c r="AB323" s="1"/>
    </row>
    <row r="324" spans="15:28">
      <c r="O324" s="1"/>
      <c r="P324" s="1"/>
      <c r="Q324" s="1"/>
      <c r="R324" s="1"/>
      <c r="Z324" s="103"/>
      <c r="AA324" s="103"/>
      <c r="AB324" s="1"/>
    </row>
    <row r="325" spans="15:28">
      <c r="O325" s="1"/>
      <c r="P325" s="1"/>
      <c r="Q325" s="1"/>
      <c r="R325" s="1"/>
      <c r="Z325" s="103"/>
      <c r="AA325" s="103"/>
      <c r="AB325" s="1"/>
    </row>
    <row r="326" spans="15:28">
      <c r="O326" s="1"/>
      <c r="P326" s="1"/>
      <c r="Q326" s="1"/>
      <c r="R326" s="1"/>
      <c r="Z326" s="103"/>
      <c r="AA326" s="103"/>
      <c r="AB326" s="1"/>
    </row>
    <row r="327" spans="15:28">
      <c r="O327" s="1"/>
      <c r="P327" s="1"/>
      <c r="Q327" s="1"/>
      <c r="R327" s="1"/>
      <c r="Z327" s="103"/>
      <c r="AA327" s="103"/>
      <c r="AB327" s="1"/>
    </row>
    <row r="328" spans="15:28">
      <c r="O328" s="1"/>
      <c r="P328" s="1"/>
      <c r="Q328" s="1"/>
      <c r="R328" s="1"/>
      <c r="Z328" s="103"/>
      <c r="AA328" s="103"/>
      <c r="AB328" s="1"/>
    </row>
    <row r="329" spans="15:28">
      <c r="O329" s="1"/>
      <c r="P329" s="1"/>
      <c r="Q329" s="1"/>
      <c r="R329" s="1"/>
      <c r="Z329" s="103"/>
      <c r="AA329" s="103"/>
      <c r="AB329" s="1"/>
    </row>
    <row r="330" spans="15:28">
      <c r="O330" s="1"/>
      <c r="P330" s="1"/>
      <c r="Q330" s="1"/>
      <c r="R330" s="1"/>
      <c r="Z330" s="103"/>
      <c r="AA330" s="103"/>
      <c r="AB330" s="1"/>
    </row>
    <row r="331" spans="15:28">
      <c r="O331" s="1"/>
      <c r="P331" s="1"/>
      <c r="Q331" s="1"/>
      <c r="R331" s="1"/>
      <c r="Z331" s="103"/>
      <c r="AA331" s="103"/>
      <c r="AB331" s="1"/>
    </row>
    <row r="332" spans="15:28">
      <c r="O332" s="1"/>
      <c r="P332" s="1"/>
      <c r="Q332" s="1"/>
      <c r="R332" s="1"/>
      <c r="Z332" s="103"/>
      <c r="AA332" s="103"/>
      <c r="AB332" s="1"/>
    </row>
    <row r="333" spans="15:28">
      <c r="O333" s="1"/>
      <c r="P333" s="1"/>
      <c r="Q333" s="1"/>
      <c r="R333" s="1"/>
      <c r="Z333" s="103"/>
      <c r="AA333" s="103"/>
      <c r="AB333" s="1"/>
    </row>
    <row r="334" spans="15:28">
      <c r="O334" s="1"/>
      <c r="P334" s="1"/>
      <c r="Q334" s="1"/>
      <c r="R334" s="1"/>
      <c r="Z334" s="103"/>
      <c r="AA334" s="103"/>
      <c r="AB334" s="1"/>
    </row>
    <row r="335" spans="15:28">
      <c r="O335" s="1"/>
      <c r="P335" s="1"/>
      <c r="Q335" s="1"/>
      <c r="R335" s="1"/>
      <c r="Z335" s="103"/>
      <c r="AA335" s="103"/>
      <c r="AB335" s="1"/>
    </row>
    <row r="336" spans="15:28">
      <c r="O336" s="1"/>
      <c r="P336" s="1"/>
      <c r="Q336" s="1"/>
      <c r="R336" s="1"/>
      <c r="Z336" s="103"/>
      <c r="AA336" s="103"/>
      <c r="AB336" s="1"/>
    </row>
    <row r="337" spans="15:30">
      <c r="O337" s="1"/>
      <c r="P337" s="1"/>
      <c r="Q337" s="1"/>
      <c r="R337" s="1"/>
      <c r="Z337" s="103"/>
      <c r="AA337" s="103"/>
      <c r="AB337" s="1"/>
    </row>
    <row r="338" spans="15:30">
      <c r="O338" s="1"/>
      <c r="P338" s="1"/>
      <c r="Q338" s="1"/>
      <c r="R338" s="1"/>
      <c r="Z338" s="103"/>
      <c r="AA338" s="103"/>
      <c r="AB338" s="1"/>
    </row>
    <row r="339" spans="15:30">
      <c r="O339" s="1"/>
      <c r="P339" s="1"/>
      <c r="Q339" s="1"/>
      <c r="R339" s="1"/>
      <c r="Z339" s="103"/>
      <c r="AA339" s="103"/>
      <c r="AB339" s="1"/>
    </row>
    <row r="340" spans="15:30">
      <c r="O340" s="1"/>
      <c r="P340" s="1"/>
      <c r="Q340" s="1"/>
      <c r="R340" s="1"/>
      <c r="Z340" s="103"/>
      <c r="AA340" s="103"/>
      <c r="AB340" s="1"/>
    </row>
    <row r="341" spans="15:30">
      <c r="O341" s="1"/>
      <c r="P341" s="1"/>
      <c r="Q341" s="1"/>
      <c r="R341" s="1"/>
      <c r="Z341" s="103"/>
      <c r="AA341" s="103"/>
      <c r="AB341" s="1"/>
    </row>
    <row r="342" spans="15:30">
      <c r="O342" s="1"/>
      <c r="P342" s="1"/>
      <c r="Q342" s="1"/>
      <c r="R342" s="1"/>
      <c r="Z342" s="103"/>
      <c r="AA342" s="103"/>
      <c r="AB342" s="1"/>
      <c r="AD342" s="102"/>
    </row>
    <row r="343" spans="15:30">
      <c r="O343" s="1"/>
      <c r="P343" s="1"/>
      <c r="Q343" s="1"/>
      <c r="R343" s="1"/>
      <c r="Z343" s="103"/>
      <c r="AA343" s="103"/>
      <c r="AB343" s="1"/>
    </row>
    <row r="344" spans="15:30">
      <c r="O344" s="1"/>
      <c r="P344" s="1"/>
      <c r="Q344" s="1"/>
      <c r="R344" s="1"/>
      <c r="Z344" s="103"/>
      <c r="AA344" s="103"/>
      <c r="AB344" s="1"/>
    </row>
    <row r="345" spans="15:30">
      <c r="O345" s="1"/>
      <c r="P345" s="1"/>
      <c r="Q345" s="1"/>
      <c r="R345" s="1"/>
      <c r="Z345" s="103"/>
      <c r="AA345" s="103"/>
      <c r="AB345" s="1"/>
    </row>
    <row r="346" spans="15:30">
      <c r="O346" s="1"/>
      <c r="P346" s="1"/>
      <c r="Q346" s="1"/>
      <c r="R346" s="1"/>
      <c r="Z346" s="103"/>
      <c r="AA346" s="103"/>
      <c r="AB346" s="1"/>
    </row>
    <row r="347" spans="15:30">
      <c r="O347" s="1"/>
      <c r="P347" s="1"/>
      <c r="Q347" s="1"/>
      <c r="R347" s="1"/>
      <c r="Z347" s="103"/>
      <c r="AA347" s="103"/>
      <c r="AB347" s="1"/>
    </row>
    <row r="348" spans="15:30">
      <c r="O348" s="1"/>
      <c r="P348" s="1"/>
      <c r="Q348" s="1"/>
      <c r="R348" s="1"/>
      <c r="Z348" s="103"/>
      <c r="AA348" s="103"/>
      <c r="AB348" s="1"/>
    </row>
    <row r="349" spans="15:30">
      <c r="O349" s="1"/>
      <c r="P349" s="1"/>
      <c r="Q349" s="1"/>
      <c r="R349" s="1"/>
      <c r="Z349" s="103"/>
      <c r="AA349" s="103"/>
      <c r="AB349" s="1"/>
    </row>
    <row r="350" spans="15:30">
      <c r="O350" s="1"/>
      <c r="P350" s="1"/>
      <c r="Q350" s="1"/>
      <c r="R350" s="1"/>
      <c r="Z350" s="103"/>
      <c r="AA350" s="103"/>
      <c r="AB350" s="1"/>
    </row>
    <row r="351" spans="15:30">
      <c r="O351" s="1"/>
      <c r="P351" s="1"/>
      <c r="Q351" s="1"/>
      <c r="R351" s="1"/>
      <c r="Z351" s="103"/>
      <c r="AA351" s="103"/>
      <c r="AB351" s="1"/>
    </row>
    <row r="352" spans="15:30">
      <c r="O352" s="1"/>
      <c r="P352" s="1"/>
      <c r="Q352" s="1"/>
      <c r="R352" s="1"/>
      <c r="Z352" s="103"/>
      <c r="AA352" s="103"/>
      <c r="AB352" s="1"/>
    </row>
    <row r="353" spans="15:28">
      <c r="O353" s="1"/>
      <c r="P353" s="1"/>
      <c r="Q353" s="1"/>
      <c r="R353" s="1"/>
      <c r="Z353" s="103"/>
      <c r="AA353" s="103"/>
      <c r="AB353" s="1"/>
    </row>
    <row r="354" spans="15:28">
      <c r="O354" s="1"/>
      <c r="P354" s="1"/>
      <c r="Q354" s="1"/>
      <c r="R354" s="1"/>
      <c r="Z354" s="103"/>
      <c r="AA354" s="103"/>
      <c r="AB354" s="1"/>
    </row>
    <row r="355" spans="15:28">
      <c r="O355" s="1"/>
      <c r="P355" s="1"/>
      <c r="Q355" s="1"/>
      <c r="R355" s="1"/>
      <c r="Z355" s="103"/>
      <c r="AA355" s="103"/>
      <c r="AB355" s="1"/>
    </row>
    <row r="356" spans="15:28">
      <c r="O356" s="1"/>
      <c r="P356" s="1"/>
      <c r="Q356" s="1"/>
      <c r="R356" s="1"/>
      <c r="Z356" s="103"/>
      <c r="AA356" s="103"/>
      <c r="AB356" s="1"/>
    </row>
    <row r="357" spans="15:28">
      <c r="O357" s="1"/>
      <c r="P357" s="1"/>
      <c r="Q357" s="1"/>
      <c r="R357" s="1"/>
      <c r="Z357" s="103"/>
      <c r="AA357" s="103"/>
      <c r="AB357" s="1"/>
    </row>
    <row r="358" spans="15:28">
      <c r="O358" s="1"/>
      <c r="P358" s="1"/>
      <c r="Q358" s="1"/>
      <c r="R358" s="1"/>
      <c r="Z358" s="103"/>
      <c r="AA358" s="103"/>
      <c r="AB358" s="1"/>
    </row>
    <row r="359" spans="15:28">
      <c r="O359" s="1"/>
      <c r="P359" s="1"/>
      <c r="Q359" s="1"/>
      <c r="R359" s="1"/>
      <c r="Z359" s="103"/>
      <c r="AA359" s="103"/>
      <c r="AB359" s="1"/>
    </row>
    <row r="360" spans="15:28">
      <c r="O360" s="1"/>
      <c r="P360" s="1"/>
      <c r="Q360" s="1"/>
      <c r="R360" s="1"/>
      <c r="Z360" s="103"/>
      <c r="AA360" s="103"/>
      <c r="AB360" s="1"/>
    </row>
    <row r="361" spans="15:28">
      <c r="O361" s="1"/>
      <c r="P361" s="1"/>
      <c r="Q361" s="1"/>
      <c r="R361" s="1"/>
      <c r="Z361" s="103"/>
      <c r="AA361" s="103"/>
      <c r="AB361" s="1"/>
    </row>
    <row r="362" spans="15:28">
      <c r="O362" s="1"/>
      <c r="P362" s="1"/>
      <c r="Q362" s="1"/>
      <c r="R362" s="1"/>
      <c r="Z362" s="103"/>
      <c r="AA362" s="103"/>
      <c r="AB362" s="1"/>
    </row>
    <row r="363" spans="15:28">
      <c r="O363" s="1"/>
      <c r="P363" s="1"/>
      <c r="Q363" s="1"/>
      <c r="R363" s="1"/>
      <c r="Z363" s="103"/>
      <c r="AA363" s="103"/>
      <c r="AB363" s="1"/>
    </row>
    <row r="364" spans="15:28">
      <c r="O364" s="1"/>
      <c r="P364" s="1"/>
      <c r="Q364" s="1"/>
      <c r="R364" s="1"/>
      <c r="Z364" s="103"/>
      <c r="AA364" s="103"/>
      <c r="AB364" s="1"/>
    </row>
    <row r="365" spans="15:28">
      <c r="O365" s="1"/>
      <c r="P365" s="1"/>
      <c r="Q365" s="1"/>
      <c r="R365" s="1"/>
      <c r="Z365" s="103"/>
      <c r="AA365" s="103"/>
      <c r="AB365" s="1"/>
    </row>
    <row r="366" spans="15:28">
      <c r="O366" s="1"/>
      <c r="P366" s="1"/>
      <c r="Q366" s="1"/>
      <c r="R366" s="1"/>
      <c r="Z366" s="103"/>
      <c r="AA366" s="103"/>
      <c r="AB366" s="1"/>
    </row>
    <row r="367" spans="15:28">
      <c r="O367" s="1"/>
      <c r="P367" s="1"/>
      <c r="Q367" s="1"/>
      <c r="R367" s="1"/>
      <c r="Z367" s="103"/>
      <c r="AA367" s="103"/>
      <c r="AB367" s="1"/>
    </row>
    <row r="368" spans="15:28">
      <c r="O368" s="1"/>
      <c r="P368" s="1"/>
      <c r="Q368" s="1"/>
      <c r="R368" s="1"/>
      <c r="Z368" s="103"/>
      <c r="AA368" s="103"/>
      <c r="AB368" s="1"/>
    </row>
    <row r="369" spans="15:30">
      <c r="O369" s="1"/>
      <c r="P369" s="1"/>
      <c r="Q369" s="1"/>
      <c r="R369" s="1"/>
      <c r="Z369" s="103"/>
      <c r="AA369" s="103"/>
      <c r="AB369" s="1"/>
    </row>
    <row r="370" spans="15:30">
      <c r="O370" s="1"/>
      <c r="P370" s="1"/>
      <c r="Q370" s="1"/>
      <c r="R370" s="1"/>
      <c r="Z370" s="103"/>
      <c r="AA370" s="103"/>
      <c r="AB370" s="1"/>
    </row>
    <row r="371" spans="15:30">
      <c r="O371" s="1"/>
      <c r="P371" s="1"/>
      <c r="Q371" s="1"/>
      <c r="R371" s="1"/>
      <c r="Z371" s="103"/>
      <c r="AA371" s="103"/>
      <c r="AB371" s="1"/>
    </row>
    <row r="372" spans="15:30">
      <c r="O372" s="1"/>
      <c r="P372" s="1"/>
      <c r="Q372" s="1"/>
      <c r="R372" s="1"/>
      <c r="Z372" s="103"/>
      <c r="AA372" s="103"/>
      <c r="AB372" s="1"/>
      <c r="AD372" s="102"/>
    </row>
    <row r="373" spans="15:30">
      <c r="O373" s="1"/>
      <c r="P373" s="1"/>
      <c r="Q373" s="1"/>
      <c r="R373" s="1"/>
      <c r="Z373" s="103"/>
      <c r="AA373" s="103"/>
      <c r="AB373" s="1"/>
    </row>
    <row r="374" spans="15:30">
      <c r="O374" s="1"/>
      <c r="P374" s="1"/>
      <c r="Q374" s="1"/>
      <c r="R374" s="1"/>
      <c r="Z374" s="103"/>
      <c r="AA374" s="103"/>
      <c r="AB374" s="1"/>
    </row>
    <row r="375" spans="15:30">
      <c r="O375" s="1"/>
      <c r="P375" s="1"/>
      <c r="Q375" s="1"/>
      <c r="R375" s="1"/>
      <c r="Z375" s="103"/>
      <c r="AA375" s="103"/>
      <c r="AB375" s="1"/>
    </row>
    <row r="376" spans="15:30">
      <c r="O376" s="1"/>
      <c r="P376" s="1"/>
      <c r="Q376" s="1"/>
      <c r="R376" s="1"/>
      <c r="Z376" s="103"/>
      <c r="AA376" s="103"/>
      <c r="AB376" s="1"/>
    </row>
    <row r="377" spans="15:30">
      <c r="O377" s="1"/>
      <c r="P377" s="1"/>
      <c r="Q377" s="1"/>
      <c r="R377" s="1"/>
      <c r="Z377" s="103"/>
      <c r="AA377" s="103"/>
      <c r="AB377" s="1"/>
    </row>
    <row r="378" spans="15:30">
      <c r="O378" s="1"/>
      <c r="P378" s="1"/>
      <c r="Q378" s="1"/>
      <c r="R378" s="1"/>
      <c r="Z378" s="103"/>
      <c r="AA378" s="103"/>
      <c r="AB378" s="1"/>
    </row>
    <row r="379" spans="15:30">
      <c r="O379" s="1"/>
      <c r="P379" s="1"/>
      <c r="Q379" s="1"/>
      <c r="R379" s="1"/>
      <c r="Z379" s="103"/>
      <c r="AA379" s="103"/>
      <c r="AB379" s="1"/>
    </row>
    <row r="380" spans="15:30">
      <c r="O380" s="1"/>
      <c r="P380" s="1"/>
      <c r="Q380" s="1"/>
      <c r="R380" s="1"/>
      <c r="Z380" s="103"/>
      <c r="AA380" s="103"/>
      <c r="AB380" s="1"/>
    </row>
    <row r="381" spans="15:30">
      <c r="O381" s="1"/>
      <c r="P381" s="1"/>
      <c r="Q381" s="1"/>
      <c r="R381" s="1"/>
      <c r="Z381" s="103"/>
      <c r="AA381" s="103"/>
      <c r="AB381" s="1"/>
    </row>
    <row r="382" spans="15:30">
      <c r="O382" s="1"/>
      <c r="P382" s="1"/>
      <c r="Q382" s="1"/>
      <c r="R382" s="1"/>
      <c r="Z382" s="103"/>
      <c r="AA382" s="103"/>
      <c r="AB382" s="1"/>
    </row>
    <row r="383" spans="15:30">
      <c r="O383" s="1"/>
      <c r="P383" s="1"/>
      <c r="Q383" s="1"/>
      <c r="R383" s="1"/>
      <c r="Z383" s="103"/>
      <c r="AA383" s="103"/>
      <c r="AB383" s="1"/>
    </row>
    <row r="384" spans="15:30">
      <c r="O384" s="1"/>
      <c r="P384" s="1"/>
      <c r="Q384" s="1"/>
      <c r="R384" s="1"/>
      <c r="Z384" s="103"/>
      <c r="AA384" s="103"/>
      <c r="AB384" s="1"/>
      <c r="AD384" s="102"/>
    </row>
    <row r="385" spans="15:28">
      <c r="O385" s="1"/>
      <c r="P385" s="1"/>
      <c r="Q385" s="1"/>
      <c r="R385" s="1"/>
      <c r="Z385" s="103"/>
      <c r="AA385" s="103"/>
      <c r="AB385" s="1"/>
    </row>
    <row r="386" spans="15:28">
      <c r="O386" s="1"/>
      <c r="P386" s="1"/>
      <c r="Q386" s="1"/>
      <c r="R386" s="1"/>
      <c r="Z386" s="103"/>
      <c r="AA386" s="103"/>
      <c r="AB386" s="1"/>
    </row>
    <row r="387" spans="15:28">
      <c r="O387" s="1"/>
      <c r="P387" s="1"/>
      <c r="Q387" s="1"/>
      <c r="R387" s="1"/>
      <c r="Z387" s="103"/>
      <c r="AA387" s="103"/>
      <c r="AB387" s="1"/>
    </row>
    <row r="388" spans="15:28">
      <c r="O388" s="1"/>
      <c r="P388" s="1"/>
      <c r="Q388" s="1"/>
      <c r="R388" s="1"/>
      <c r="Z388" s="103"/>
      <c r="AA388" s="103"/>
      <c r="AB388" s="1"/>
    </row>
    <row r="389" spans="15:28">
      <c r="O389" s="1"/>
      <c r="P389" s="1"/>
      <c r="Q389" s="1"/>
      <c r="R389" s="1"/>
      <c r="Z389" s="103"/>
      <c r="AA389" s="103"/>
      <c r="AB389" s="1"/>
    </row>
    <row r="390" spans="15:28">
      <c r="O390" s="1"/>
      <c r="P390" s="1"/>
      <c r="Q390" s="1"/>
      <c r="R390" s="1"/>
      <c r="Z390" s="103"/>
      <c r="AA390" s="103"/>
      <c r="AB390" s="1"/>
    </row>
    <row r="391" spans="15:28">
      <c r="O391" s="1"/>
      <c r="P391" s="1"/>
      <c r="Q391" s="1"/>
      <c r="R391" s="1"/>
      <c r="Z391" s="103"/>
      <c r="AA391" s="103"/>
      <c r="AB391" s="1"/>
    </row>
    <row r="392" spans="15:28">
      <c r="O392" s="1"/>
      <c r="P392" s="1"/>
      <c r="Q392" s="1"/>
      <c r="R392" s="1"/>
      <c r="Z392" s="103"/>
      <c r="AA392" s="103"/>
      <c r="AB392" s="1"/>
    </row>
    <row r="393" spans="15:28">
      <c r="O393" s="1"/>
      <c r="P393" s="1"/>
      <c r="Q393" s="1"/>
      <c r="R393" s="1"/>
      <c r="Z393" s="103"/>
      <c r="AA393" s="103"/>
      <c r="AB393" s="1"/>
    </row>
    <row r="394" spans="15:28">
      <c r="O394" s="1"/>
      <c r="P394" s="1"/>
      <c r="Q394" s="1"/>
      <c r="R394" s="1"/>
      <c r="Z394" s="103"/>
      <c r="AA394" s="103"/>
      <c r="AB394" s="1"/>
    </row>
    <row r="395" spans="15:28">
      <c r="O395" s="1"/>
      <c r="P395" s="1"/>
      <c r="Q395" s="1"/>
      <c r="R395" s="1"/>
      <c r="Z395" s="103"/>
      <c r="AA395" s="103"/>
      <c r="AB395" s="1"/>
    </row>
    <row r="396" spans="15:28">
      <c r="O396" s="1"/>
      <c r="P396" s="1"/>
      <c r="Q396" s="1"/>
      <c r="R396" s="1"/>
      <c r="Z396" s="103"/>
      <c r="AA396" s="103"/>
      <c r="AB396" s="1"/>
    </row>
    <row r="397" spans="15:28">
      <c r="O397" s="1"/>
      <c r="P397" s="1"/>
      <c r="Q397" s="1"/>
      <c r="R397" s="1"/>
      <c r="Z397" s="103"/>
      <c r="AA397" s="103"/>
      <c r="AB397" s="1"/>
    </row>
    <row r="398" spans="15:28">
      <c r="O398" s="1"/>
      <c r="P398" s="1"/>
      <c r="Q398" s="1"/>
      <c r="R398" s="1"/>
      <c r="Z398" s="103"/>
      <c r="AA398" s="103"/>
      <c r="AB398" s="1"/>
    </row>
    <row r="399" spans="15:28">
      <c r="O399" s="1"/>
      <c r="P399" s="1"/>
      <c r="Q399" s="1"/>
      <c r="R399" s="1"/>
      <c r="Z399" s="103"/>
      <c r="AA399" s="103"/>
      <c r="AB399" s="1"/>
    </row>
    <row r="400" spans="15:28">
      <c r="O400" s="1"/>
      <c r="P400" s="1"/>
      <c r="Q400" s="1"/>
      <c r="R400" s="1"/>
      <c r="Z400" s="103"/>
      <c r="AA400" s="103"/>
      <c r="AB400" s="1"/>
    </row>
    <row r="401" spans="15:30">
      <c r="O401" s="1"/>
      <c r="P401" s="1"/>
      <c r="Q401" s="1"/>
      <c r="R401" s="1"/>
      <c r="Z401" s="103"/>
      <c r="AA401" s="103"/>
      <c r="AB401" s="1"/>
    </row>
    <row r="402" spans="15:30">
      <c r="O402" s="1"/>
      <c r="P402" s="1"/>
      <c r="Q402" s="1"/>
      <c r="R402" s="1"/>
      <c r="Z402" s="103"/>
      <c r="AA402" s="103"/>
      <c r="AB402" s="1"/>
    </row>
    <row r="403" spans="15:30">
      <c r="O403" s="1"/>
      <c r="P403" s="1"/>
      <c r="Q403" s="1"/>
      <c r="R403" s="1"/>
      <c r="Z403" s="103"/>
      <c r="AA403" s="103"/>
      <c r="AB403" s="1"/>
      <c r="AD403" s="102"/>
    </row>
    <row r="404" spans="15:30">
      <c r="O404" s="1"/>
      <c r="P404" s="1"/>
      <c r="Q404" s="1"/>
      <c r="R404" s="1"/>
      <c r="Z404" s="103"/>
      <c r="AA404" s="103"/>
      <c r="AB404" s="1"/>
    </row>
    <row r="405" spans="15:30">
      <c r="O405" s="1"/>
      <c r="P405" s="1"/>
      <c r="Q405" s="1"/>
      <c r="R405" s="1"/>
      <c r="Z405" s="103"/>
      <c r="AA405" s="103"/>
      <c r="AB405" s="1"/>
    </row>
    <row r="406" spans="15:30">
      <c r="O406" s="1"/>
      <c r="P406" s="1"/>
      <c r="Q406" s="1"/>
      <c r="R406" s="1"/>
      <c r="Z406" s="103"/>
      <c r="AA406" s="103"/>
      <c r="AB406" s="1"/>
    </row>
    <row r="407" spans="15:30">
      <c r="O407" s="1"/>
      <c r="P407" s="1"/>
      <c r="Q407" s="1"/>
      <c r="R407" s="1"/>
      <c r="Z407" s="103"/>
      <c r="AA407" s="103"/>
      <c r="AB407" s="1"/>
    </row>
    <row r="408" spans="15:30">
      <c r="O408" s="1"/>
      <c r="P408" s="1"/>
      <c r="Q408" s="1"/>
      <c r="R408" s="1"/>
      <c r="Z408" s="103"/>
      <c r="AA408" s="103"/>
      <c r="AB408" s="1"/>
    </row>
    <row r="409" spans="15:30">
      <c r="O409" s="1"/>
      <c r="P409" s="1"/>
      <c r="Q409" s="1"/>
      <c r="R409" s="1"/>
      <c r="Z409" s="103"/>
      <c r="AA409" s="103"/>
      <c r="AB409" s="1"/>
    </row>
    <row r="410" spans="15:30">
      <c r="O410" s="1"/>
      <c r="P410" s="1"/>
      <c r="Q410" s="1"/>
      <c r="R410" s="1"/>
      <c r="Z410" s="103"/>
      <c r="AA410" s="103"/>
      <c r="AB410" s="1"/>
    </row>
    <row r="411" spans="15:30">
      <c r="O411" s="1"/>
      <c r="P411" s="1"/>
      <c r="Q411" s="1"/>
      <c r="R411" s="1"/>
      <c r="Z411" s="103"/>
      <c r="AA411" s="103"/>
      <c r="AB411" s="1"/>
    </row>
    <row r="412" spans="15:30">
      <c r="O412" s="1"/>
      <c r="P412" s="1"/>
      <c r="Q412" s="1"/>
      <c r="R412" s="1"/>
      <c r="Z412" s="103"/>
      <c r="AA412" s="103"/>
      <c r="AB412" s="1"/>
    </row>
    <row r="413" spans="15:30">
      <c r="O413" s="1"/>
      <c r="P413" s="1"/>
      <c r="Q413" s="1"/>
      <c r="R413" s="1"/>
      <c r="Z413" s="103"/>
      <c r="AA413" s="103"/>
      <c r="AB413" s="1"/>
    </row>
    <row r="414" spans="15:30">
      <c r="O414" s="1"/>
      <c r="P414" s="1"/>
      <c r="Q414" s="1"/>
      <c r="R414" s="1"/>
      <c r="Z414" s="103"/>
      <c r="AA414" s="103"/>
      <c r="AB414" s="1"/>
    </row>
    <row r="415" spans="15:30">
      <c r="O415" s="1"/>
      <c r="P415" s="1"/>
      <c r="Q415" s="1"/>
      <c r="R415" s="1"/>
      <c r="Z415" s="103"/>
      <c r="AA415" s="103"/>
      <c r="AB415" s="1"/>
    </row>
    <row r="416" spans="15:30">
      <c r="O416" s="1"/>
      <c r="P416" s="1"/>
      <c r="Q416" s="1"/>
      <c r="R416" s="1"/>
      <c r="Z416" s="103"/>
      <c r="AA416" s="103"/>
      <c r="AB416" s="1"/>
    </row>
    <row r="417" spans="15:28">
      <c r="O417" s="1"/>
      <c r="P417" s="1"/>
      <c r="Q417" s="1"/>
      <c r="R417" s="1"/>
      <c r="Z417" s="103"/>
      <c r="AA417" s="103"/>
      <c r="AB417" s="1"/>
    </row>
    <row r="418" spans="15:28">
      <c r="O418" s="1"/>
      <c r="P418" s="1"/>
      <c r="Q418" s="1"/>
      <c r="R418" s="1"/>
      <c r="Z418" s="103"/>
      <c r="AA418" s="103"/>
      <c r="AB418" s="1"/>
    </row>
    <row r="419" spans="15:28">
      <c r="O419" s="1"/>
      <c r="P419" s="1"/>
      <c r="Q419" s="1"/>
      <c r="R419" s="1"/>
      <c r="Z419" s="103"/>
      <c r="AA419" s="103"/>
      <c r="AB419" s="1"/>
    </row>
    <row r="420" spans="15:28">
      <c r="O420" s="1"/>
      <c r="P420" s="1"/>
      <c r="Q420" s="1"/>
      <c r="R420" s="1"/>
      <c r="Z420" s="103"/>
      <c r="AA420" s="103"/>
      <c r="AB420" s="1"/>
    </row>
    <row r="421" spans="15:28">
      <c r="O421" s="1"/>
      <c r="P421" s="1"/>
      <c r="Q421" s="1"/>
      <c r="R421" s="1"/>
      <c r="Z421" s="103"/>
      <c r="AA421" s="103"/>
      <c r="AB421" s="1"/>
    </row>
    <row r="422" spans="15:28">
      <c r="O422" s="1"/>
      <c r="P422" s="1"/>
      <c r="Q422" s="1"/>
      <c r="R422" s="1"/>
      <c r="Z422" s="103"/>
      <c r="AA422" s="103"/>
      <c r="AB422" s="1"/>
    </row>
    <row r="423" spans="15:28">
      <c r="O423" s="1"/>
      <c r="P423" s="1"/>
      <c r="Q423" s="1"/>
      <c r="R423" s="1"/>
      <c r="Z423" s="103"/>
      <c r="AA423" s="103"/>
      <c r="AB423" s="1"/>
    </row>
    <row r="424" spans="15:28">
      <c r="O424" s="1"/>
      <c r="P424" s="1"/>
      <c r="Q424" s="1"/>
      <c r="R424" s="1"/>
      <c r="Z424" s="103"/>
      <c r="AA424" s="103"/>
      <c r="AB424" s="1"/>
    </row>
    <row r="425" spans="15:28">
      <c r="O425" s="1"/>
      <c r="P425" s="1"/>
      <c r="Q425" s="1"/>
      <c r="R425" s="1"/>
      <c r="Z425" s="103"/>
      <c r="AA425" s="103"/>
      <c r="AB425" s="1"/>
    </row>
    <row r="426" spans="15:28">
      <c r="O426" s="1"/>
      <c r="P426" s="1"/>
      <c r="Q426" s="1"/>
      <c r="R426" s="1"/>
      <c r="Z426" s="103"/>
      <c r="AA426" s="103"/>
      <c r="AB426" s="1"/>
    </row>
    <row r="427" spans="15:28">
      <c r="O427" s="1"/>
      <c r="P427" s="1"/>
      <c r="Q427" s="1"/>
      <c r="R427" s="1"/>
      <c r="Z427" s="103"/>
      <c r="AA427" s="103"/>
      <c r="AB427" s="1"/>
    </row>
    <row r="428" spans="15:28">
      <c r="O428" s="1"/>
      <c r="P428" s="1"/>
      <c r="Q428" s="1"/>
      <c r="R428" s="1"/>
      <c r="Z428" s="103"/>
      <c r="AA428" s="103"/>
      <c r="AB428" s="1"/>
    </row>
    <row r="429" spans="15:28">
      <c r="O429" s="1"/>
      <c r="P429" s="1"/>
      <c r="Q429" s="1"/>
      <c r="R429" s="1"/>
      <c r="Z429" s="103"/>
      <c r="AA429" s="103"/>
      <c r="AB429" s="1"/>
    </row>
    <row r="430" spans="15:28">
      <c r="O430" s="1"/>
      <c r="P430" s="1"/>
      <c r="Q430" s="1"/>
      <c r="R430" s="1"/>
      <c r="Z430" s="103"/>
      <c r="AA430" s="103"/>
      <c r="AB430" s="1"/>
    </row>
    <row r="431" spans="15:28">
      <c r="O431" s="1"/>
      <c r="P431" s="1"/>
      <c r="Q431" s="1"/>
      <c r="R431" s="1"/>
      <c r="Z431" s="103"/>
      <c r="AA431" s="103"/>
      <c r="AB431" s="1"/>
    </row>
    <row r="432" spans="15:28">
      <c r="O432" s="1"/>
      <c r="P432" s="1"/>
      <c r="Q432" s="1"/>
      <c r="R432" s="1"/>
      <c r="Z432" s="103"/>
      <c r="AA432" s="103"/>
      <c r="AB432" s="1"/>
    </row>
    <row r="433" spans="15:30">
      <c r="O433" s="1"/>
      <c r="P433" s="1"/>
      <c r="Q433" s="1"/>
      <c r="R433" s="1"/>
      <c r="Z433" s="103"/>
      <c r="AA433" s="103"/>
      <c r="AB433" s="1"/>
    </row>
    <row r="434" spans="15:30">
      <c r="O434" s="1"/>
      <c r="P434" s="1"/>
      <c r="Q434" s="1"/>
      <c r="R434" s="1"/>
      <c r="Z434" s="103"/>
      <c r="AA434" s="103"/>
      <c r="AB434" s="1"/>
      <c r="AD434" s="102"/>
    </row>
    <row r="435" spans="15:30">
      <c r="O435" s="1"/>
      <c r="P435" s="1"/>
      <c r="Q435" s="1"/>
      <c r="R435" s="1"/>
      <c r="Z435" s="103"/>
      <c r="AA435" s="103"/>
      <c r="AB435" s="1"/>
    </row>
    <row r="436" spans="15:30">
      <c r="O436" s="1"/>
      <c r="P436" s="1"/>
      <c r="Q436" s="1"/>
      <c r="R436" s="1"/>
      <c r="Z436" s="103"/>
      <c r="AA436" s="103"/>
      <c r="AB436" s="1"/>
    </row>
    <row r="437" spans="15:30">
      <c r="O437" s="1"/>
      <c r="P437" s="1"/>
      <c r="Q437" s="1"/>
      <c r="R437" s="1"/>
      <c r="Z437" s="103"/>
      <c r="AA437" s="103"/>
      <c r="AB437" s="1"/>
    </row>
    <row r="438" spans="15:30">
      <c r="O438" s="1"/>
      <c r="P438" s="1"/>
      <c r="Q438" s="1"/>
      <c r="R438" s="1"/>
      <c r="Z438" s="103"/>
      <c r="AA438" s="103"/>
      <c r="AB438" s="1"/>
    </row>
    <row r="439" spans="15:30">
      <c r="O439" s="1"/>
      <c r="P439" s="1"/>
      <c r="Q439" s="1"/>
      <c r="R439" s="1"/>
      <c r="Z439" s="103"/>
      <c r="AA439" s="103"/>
      <c r="AB439" s="1"/>
    </row>
    <row r="440" spans="15:30">
      <c r="O440" s="1"/>
      <c r="P440" s="1"/>
      <c r="Q440" s="1"/>
      <c r="R440" s="1"/>
      <c r="Z440" s="103"/>
      <c r="AA440" s="103"/>
      <c r="AB440" s="1"/>
    </row>
    <row r="441" spans="15:30">
      <c r="O441" s="1"/>
      <c r="P441" s="1"/>
      <c r="Q441" s="1"/>
      <c r="R441" s="1"/>
      <c r="Z441" s="103"/>
      <c r="AA441" s="103"/>
      <c r="AB441" s="1"/>
    </row>
    <row r="442" spans="15:30">
      <c r="O442" s="1"/>
      <c r="P442" s="1"/>
      <c r="Q442" s="1"/>
      <c r="R442" s="1"/>
      <c r="Z442" s="103"/>
      <c r="AA442" s="103"/>
      <c r="AB442" s="1"/>
    </row>
    <row r="443" spans="15:30">
      <c r="O443" s="1"/>
      <c r="P443" s="1"/>
      <c r="Q443" s="1"/>
      <c r="R443" s="1"/>
      <c r="Z443" s="103"/>
      <c r="AA443" s="103"/>
      <c r="AB443" s="1"/>
      <c r="AD443" s="102"/>
    </row>
    <row r="444" spans="15:30">
      <c r="O444" s="1"/>
      <c r="P444" s="1"/>
      <c r="Q444" s="1"/>
      <c r="R444" s="1"/>
      <c r="Z444" s="103"/>
      <c r="AA444" s="103"/>
      <c r="AB444" s="1"/>
    </row>
    <row r="445" spans="15:30">
      <c r="O445" s="1"/>
      <c r="P445" s="1"/>
      <c r="Q445" s="1"/>
      <c r="R445" s="1"/>
      <c r="Z445" s="103"/>
      <c r="AA445" s="103"/>
      <c r="AB445" s="1"/>
    </row>
    <row r="446" spans="15:30">
      <c r="O446" s="1"/>
      <c r="P446" s="1"/>
      <c r="Q446" s="1"/>
      <c r="R446" s="1"/>
      <c r="Z446" s="103"/>
      <c r="AA446" s="103"/>
      <c r="AB446" s="1"/>
    </row>
    <row r="447" spans="15:30">
      <c r="O447" s="1"/>
      <c r="P447" s="1"/>
      <c r="Q447" s="1"/>
      <c r="R447" s="1"/>
      <c r="Z447" s="103"/>
      <c r="AA447" s="103"/>
      <c r="AB447" s="1"/>
    </row>
    <row r="448" spans="15:30">
      <c r="O448" s="1"/>
      <c r="P448" s="1"/>
      <c r="Q448" s="1"/>
      <c r="R448" s="1"/>
      <c r="Z448" s="103"/>
      <c r="AA448" s="103"/>
      <c r="AB448" s="1"/>
    </row>
    <row r="449" spans="15:30">
      <c r="O449" s="1"/>
      <c r="P449" s="1"/>
      <c r="Q449" s="1"/>
      <c r="R449" s="1"/>
      <c r="Z449" s="103"/>
      <c r="AA449" s="103"/>
      <c r="AB449" s="1"/>
    </row>
    <row r="450" spans="15:30">
      <c r="O450" s="1"/>
      <c r="P450" s="1"/>
      <c r="Q450" s="1"/>
      <c r="R450" s="1"/>
      <c r="Z450" s="103"/>
      <c r="AA450" s="103"/>
      <c r="AB450" s="1"/>
    </row>
    <row r="451" spans="15:30">
      <c r="O451" s="1"/>
      <c r="P451" s="1"/>
      <c r="Q451" s="1"/>
      <c r="R451" s="1"/>
      <c r="Z451" s="103"/>
      <c r="AA451" s="103"/>
      <c r="AB451" s="1"/>
    </row>
    <row r="452" spans="15:30">
      <c r="O452" s="1"/>
      <c r="P452" s="1"/>
      <c r="Q452" s="1"/>
      <c r="R452" s="1"/>
      <c r="Z452" s="103"/>
      <c r="AA452" s="103"/>
      <c r="AB452" s="1"/>
    </row>
    <row r="453" spans="15:30">
      <c r="O453" s="1"/>
      <c r="P453" s="1"/>
      <c r="Q453" s="1"/>
      <c r="R453" s="1"/>
      <c r="Z453" s="103"/>
      <c r="AA453" s="103"/>
      <c r="AB453" s="1"/>
    </row>
    <row r="454" spans="15:30">
      <c r="O454" s="1"/>
      <c r="P454" s="1"/>
      <c r="Q454" s="1"/>
      <c r="R454" s="1"/>
      <c r="Z454" s="103"/>
      <c r="AA454" s="103"/>
      <c r="AB454" s="1"/>
      <c r="AD454" s="102"/>
    </row>
    <row r="455" spans="15:30">
      <c r="O455" s="1"/>
      <c r="P455" s="1"/>
      <c r="Q455" s="1"/>
      <c r="R455" s="1"/>
      <c r="Z455" s="103"/>
      <c r="AA455" s="103"/>
      <c r="AB455" s="1"/>
    </row>
    <row r="456" spans="15:30">
      <c r="O456" s="1"/>
      <c r="P456" s="1"/>
      <c r="Q456" s="1"/>
      <c r="R456" s="1"/>
      <c r="Z456" s="103"/>
      <c r="AA456" s="103"/>
      <c r="AB456" s="1"/>
    </row>
    <row r="457" spans="15:30">
      <c r="O457" s="1"/>
      <c r="P457" s="1"/>
      <c r="Q457" s="1"/>
      <c r="R457" s="1"/>
      <c r="Z457" s="103"/>
      <c r="AA457" s="103"/>
      <c r="AB457" s="1"/>
    </row>
    <row r="458" spans="15:30">
      <c r="O458" s="1"/>
      <c r="P458" s="1"/>
      <c r="Q458" s="1"/>
      <c r="R458" s="1"/>
      <c r="Z458" s="103"/>
      <c r="AA458" s="103"/>
      <c r="AB458" s="1"/>
    </row>
    <row r="459" spans="15:30">
      <c r="O459" s="1"/>
      <c r="P459" s="1"/>
      <c r="Q459" s="1"/>
      <c r="R459" s="1"/>
      <c r="Z459" s="103"/>
      <c r="AA459" s="103"/>
      <c r="AB459" s="1"/>
    </row>
    <row r="460" spans="15:30">
      <c r="O460" s="1"/>
      <c r="P460" s="1"/>
      <c r="Q460" s="1"/>
      <c r="R460" s="1"/>
      <c r="Z460" s="103"/>
      <c r="AA460" s="103"/>
      <c r="AB460" s="1"/>
    </row>
    <row r="461" spans="15:30">
      <c r="O461" s="1"/>
      <c r="P461" s="1"/>
      <c r="Q461" s="1"/>
      <c r="R461" s="1"/>
      <c r="Z461" s="103"/>
      <c r="AA461" s="103"/>
      <c r="AB461" s="1"/>
    </row>
    <row r="462" spans="15:30">
      <c r="O462" s="1"/>
      <c r="P462" s="1"/>
      <c r="Q462" s="1"/>
      <c r="R462" s="1"/>
      <c r="Z462" s="103"/>
      <c r="AA462" s="103"/>
      <c r="AB462" s="1"/>
    </row>
    <row r="463" spans="15:30">
      <c r="O463" s="1"/>
      <c r="P463" s="1"/>
      <c r="Q463" s="1"/>
      <c r="R463" s="1"/>
      <c r="Z463" s="103"/>
      <c r="AA463" s="103"/>
      <c r="AB463" s="1"/>
    </row>
    <row r="464" spans="15:30">
      <c r="O464" s="1"/>
      <c r="P464" s="1"/>
      <c r="Q464" s="1"/>
      <c r="R464" s="1"/>
      <c r="Z464" s="103"/>
      <c r="AA464" s="103"/>
      <c r="AB464" s="1"/>
    </row>
    <row r="465" spans="15:30">
      <c r="O465" s="1"/>
      <c r="P465" s="1"/>
      <c r="Q465" s="1"/>
      <c r="R465" s="1"/>
      <c r="Z465" s="103"/>
      <c r="AA465" s="103"/>
      <c r="AB465" s="1"/>
    </row>
    <row r="466" spans="15:30">
      <c r="O466" s="1"/>
      <c r="P466" s="1"/>
      <c r="Q466" s="1"/>
      <c r="R466" s="1"/>
      <c r="Z466" s="103"/>
      <c r="AA466" s="103"/>
      <c r="AB466" s="1"/>
    </row>
    <row r="467" spans="15:30">
      <c r="O467" s="1"/>
      <c r="P467" s="1"/>
      <c r="Q467" s="1"/>
      <c r="R467" s="1"/>
      <c r="Z467" s="103"/>
      <c r="AA467" s="103"/>
      <c r="AB467" s="1"/>
    </row>
    <row r="468" spans="15:30">
      <c r="O468" s="1"/>
      <c r="P468" s="1"/>
      <c r="Q468" s="1"/>
      <c r="R468" s="1"/>
      <c r="Z468" s="103"/>
      <c r="AA468" s="103"/>
      <c r="AB468" s="1"/>
    </row>
    <row r="469" spans="15:30">
      <c r="O469" s="1"/>
      <c r="P469" s="1"/>
      <c r="Q469" s="1"/>
      <c r="R469" s="1"/>
      <c r="Z469" s="103"/>
      <c r="AA469" s="103"/>
      <c r="AB469" s="1"/>
    </row>
    <row r="470" spans="15:30">
      <c r="O470" s="1"/>
      <c r="P470" s="1"/>
      <c r="Q470" s="1"/>
      <c r="R470" s="1"/>
      <c r="Z470" s="103"/>
      <c r="AA470" s="103"/>
      <c r="AB470" s="1"/>
    </row>
    <row r="471" spans="15:30">
      <c r="O471" s="1"/>
      <c r="P471" s="1"/>
      <c r="Q471" s="1"/>
      <c r="R471" s="1"/>
      <c r="Z471" s="103"/>
      <c r="AA471" s="103"/>
      <c r="AB471" s="1"/>
    </row>
    <row r="472" spans="15:30">
      <c r="O472" s="1"/>
      <c r="P472" s="1"/>
      <c r="Q472" s="1"/>
      <c r="R472" s="1"/>
      <c r="Z472" s="103"/>
      <c r="AA472" s="103"/>
      <c r="AB472" s="1"/>
    </row>
    <row r="473" spans="15:30">
      <c r="O473" s="1"/>
      <c r="P473" s="1"/>
      <c r="Q473" s="1"/>
      <c r="R473" s="1"/>
      <c r="Z473" s="103"/>
      <c r="AA473" s="103"/>
      <c r="AB473" s="1"/>
    </row>
    <row r="474" spans="15:30">
      <c r="O474" s="1"/>
      <c r="P474" s="1"/>
      <c r="Q474" s="1"/>
      <c r="R474" s="1"/>
      <c r="Z474" s="103"/>
      <c r="AA474" s="103"/>
      <c r="AB474" s="1"/>
    </row>
    <row r="475" spans="15:30">
      <c r="O475" s="1"/>
      <c r="P475" s="1"/>
      <c r="Q475" s="1"/>
      <c r="R475" s="1"/>
      <c r="Z475" s="103"/>
      <c r="AA475" s="103"/>
      <c r="AB475" s="1"/>
    </row>
    <row r="476" spans="15:30">
      <c r="O476" s="1"/>
      <c r="P476" s="1"/>
      <c r="Q476" s="1"/>
      <c r="R476" s="1"/>
      <c r="Z476" s="103"/>
      <c r="AA476" s="103"/>
      <c r="AB476" s="1"/>
    </row>
    <row r="477" spans="15:30">
      <c r="O477" s="1"/>
      <c r="P477" s="1"/>
      <c r="Q477" s="1"/>
      <c r="R477" s="1"/>
      <c r="Z477" s="103"/>
      <c r="AA477" s="103"/>
      <c r="AB477" s="1"/>
    </row>
    <row r="478" spans="15:30">
      <c r="O478" s="1"/>
      <c r="P478" s="1"/>
      <c r="Q478" s="1"/>
      <c r="R478" s="1"/>
      <c r="Z478" s="103"/>
      <c r="AA478" s="103"/>
      <c r="AB478" s="1"/>
    </row>
    <row r="479" spans="15:30">
      <c r="O479" s="1"/>
      <c r="P479" s="1"/>
      <c r="Q479" s="1"/>
      <c r="R479" s="1"/>
      <c r="Z479" s="103"/>
      <c r="AA479" s="103"/>
      <c r="AB479" s="1"/>
      <c r="AD479" s="102"/>
    </row>
    <row r="480" spans="15:30">
      <c r="O480" s="1"/>
      <c r="P480" s="1"/>
      <c r="Q480" s="1"/>
      <c r="R480" s="1"/>
      <c r="Z480" s="103"/>
      <c r="AA480" s="103"/>
      <c r="AB480" s="1"/>
    </row>
    <row r="481" spans="15:30">
      <c r="O481" s="1"/>
      <c r="P481" s="1"/>
      <c r="Q481" s="1"/>
      <c r="R481" s="1"/>
      <c r="Z481" s="103"/>
      <c r="AA481" s="103"/>
      <c r="AB481" s="1"/>
    </row>
    <row r="482" spans="15:30">
      <c r="O482" s="1"/>
      <c r="P482" s="1"/>
      <c r="Q482" s="1"/>
      <c r="R482" s="1"/>
      <c r="Z482" s="103"/>
      <c r="AA482" s="103"/>
      <c r="AB482" s="1"/>
    </row>
    <row r="483" spans="15:30">
      <c r="O483" s="1"/>
      <c r="P483" s="1"/>
      <c r="Q483" s="1"/>
      <c r="R483" s="1"/>
      <c r="Z483" s="103"/>
      <c r="AA483" s="103"/>
      <c r="AB483" s="1"/>
    </row>
    <row r="484" spans="15:30">
      <c r="O484" s="1"/>
      <c r="P484" s="1"/>
      <c r="Q484" s="1"/>
      <c r="R484" s="1"/>
      <c r="Z484" s="103"/>
      <c r="AA484" s="103"/>
      <c r="AB484" s="1"/>
    </row>
    <row r="485" spans="15:30">
      <c r="O485" s="1"/>
      <c r="P485" s="1"/>
      <c r="Q485" s="1"/>
      <c r="R485" s="1"/>
      <c r="Z485" s="103"/>
      <c r="AA485" s="103"/>
      <c r="AB485" s="1"/>
    </row>
    <row r="486" spans="15:30">
      <c r="O486" s="1"/>
      <c r="P486" s="1"/>
      <c r="Q486" s="1"/>
      <c r="R486" s="1"/>
      <c r="Z486" s="103"/>
      <c r="AA486" s="103"/>
      <c r="AB486" s="1"/>
    </row>
    <row r="487" spans="15:30">
      <c r="O487" s="1"/>
      <c r="P487" s="1"/>
      <c r="Q487" s="1"/>
      <c r="R487" s="1"/>
      <c r="Z487" s="103"/>
      <c r="AA487" s="103"/>
      <c r="AB487" s="1"/>
    </row>
    <row r="488" spans="15:30">
      <c r="O488" s="1"/>
      <c r="P488" s="1"/>
      <c r="Q488" s="1"/>
      <c r="R488" s="1"/>
      <c r="Z488" s="103"/>
      <c r="AA488" s="103"/>
      <c r="AB488" s="1"/>
    </row>
    <row r="489" spans="15:30">
      <c r="O489" s="1"/>
      <c r="P489" s="1"/>
      <c r="Q489" s="1"/>
      <c r="R489" s="1"/>
      <c r="Z489" s="103"/>
      <c r="AA489" s="103"/>
      <c r="AB489" s="1"/>
    </row>
    <row r="490" spans="15:30">
      <c r="O490" s="1"/>
      <c r="P490" s="1"/>
      <c r="Q490" s="1"/>
      <c r="R490" s="1"/>
      <c r="Z490" s="103"/>
      <c r="AA490" s="103"/>
      <c r="AB490" s="1"/>
    </row>
    <row r="491" spans="15:30">
      <c r="O491" s="1"/>
      <c r="P491" s="1"/>
      <c r="Q491" s="1"/>
      <c r="R491" s="1"/>
      <c r="Z491" s="103"/>
      <c r="AA491" s="103"/>
      <c r="AB491" s="1"/>
    </row>
    <row r="492" spans="15:30">
      <c r="O492" s="1"/>
      <c r="P492" s="1"/>
      <c r="Q492" s="1"/>
      <c r="R492" s="1"/>
      <c r="Z492" s="103"/>
      <c r="AA492" s="103"/>
      <c r="AB492" s="1"/>
    </row>
    <row r="493" spans="15:30">
      <c r="O493" s="1"/>
      <c r="P493" s="1"/>
      <c r="Q493" s="1"/>
      <c r="R493" s="1"/>
      <c r="Z493" s="103"/>
      <c r="AA493" s="103"/>
      <c r="AB493" s="1"/>
    </row>
    <row r="494" spans="15:30">
      <c r="O494" s="1"/>
      <c r="P494" s="1"/>
      <c r="Q494" s="1"/>
      <c r="R494" s="1"/>
      <c r="Z494" s="103"/>
      <c r="AA494" s="103"/>
      <c r="AB494" s="1"/>
      <c r="AD494" s="102"/>
    </row>
    <row r="495" spans="15:30">
      <c r="O495" s="1"/>
      <c r="P495" s="1"/>
      <c r="Q495" s="1"/>
      <c r="R495" s="1"/>
      <c r="Z495" s="103"/>
      <c r="AA495" s="103"/>
      <c r="AB495" s="1"/>
    </row>
    <row r="496" spans="15:30">
      <c r="O496" s="1"/>
      <c r="P496" s="1"/>
      <c r="Q496" s="1"/>
      <c r="R496" s="1"/>
      <c r="Z496" s="103"/>
      <c r="AA496" s="103"/>
      <c r="AB496" s="1"/>
    </row>
    <row r="497" spans="15:30">
      <c r="O497" s="1"/>
      <c r="P497" s="1"/>
      <c r="Q497" s="1"/>
      <c r="R497" s="1"/>
      <c r="Z497" s="103"/>
      <c r="AA497" s="103"/>
      <c r="AB497" s="1"/>
      <c r="AD497" s="102"/>
    </row>
    <row r="498" spans="15:30">
      <c r="O498" s="1"/>
      <c r="P498" s="1"/>
      <c r="Q498" s="1"/>
      <c r="R498" s="1"/>
      <c r="Z498" s="103"/>
      <c r="AA498" s="103"/>
      <c r="AB498" s="1"/>
    </row>
    <row r="499" spans="15:30">
      <c r="O499" s="1"/>
      <c r="P499" s="1"/>
      <c r="Q499" s="1"/>
      <c r="R499" s="1"/>
      <c r="Z499" s="103"/>
      <c r="AA499" s="103"/>
      <c r="AB499" s="1"/>
    </row>
    <row r="500" spans="15:30">
      <c r="O500" s="1"/>
      <c r="P500" s="1"/>
      <c r="Q500" s="1"/>
      <c r="R500" s="1"/>
      <c r="Z500" s="103"/>
      <c r="AA500" s="103"/>
      <c r="AB500" s="1"/>
    </row>
    <row r="501" spans="15:30">
      <c r="O501" s="1"/>
      <c r="P501" s="1"/>
      <c r="Q501" s="1"/>
      <c r="R501" s="1"/>
      <c r="Z501" s="103"/>
      <c r="AA501" s="103"/>
      <c r="AB501" s="1"/>
    </row>
    <row r="502" spans="15:30">
      <c r="O502" s="1"/>
      <c r="P502" s="1"/>
      <c r="Q502" s="1"/>
      <c r="R502" s="1"/>
      <c r="Z502" s="103"/>
      <c r="AA502" s="103"/>
      <c r="AB502" s="1"/>
    </row>
    <row r="503" spans="15:30">
      <c r="O503" s="1"/>
      <c r="P503" s="1"/>
      <c r="Q503" s="1"/>
      <c r="R503" s="1"/>
      <c r="Z503" s="103"/>
      <c r="AA503" s="103"/>
      <c r="AB503" s="1"/>
    </row>
    <row r="504" spans="15:30">
      <c r="O504" s="1"/>
      <c r="P504" s="1"/>
      <c r="Q504" s="1"/>
      <c r="R504" s="1"/>
      <c r="Z504" s="103"/>
      <c r="AA504" s="103"/>
      <c r="AB504" s="1"/>
    </row>
    <row r="505" spans="15:30">
      <c r="O505" s="1"/>
      <c r="P505" s="1"/>
      <c r="Q505" s="1"/>
      <c r="R505" s="1"/>
      <c r="Z505" s="103"/>
      <c r="AA505" s="103"/>
      <c r="AB505" s="1"/>
    </row>
    <row r="506" spans="15:30">
      <c r="O506" s="1"/>
      <c r="P506" s="1"/>
      <c r="Q506" s="1"/>
      <c r="R506" s="1"/>
      <c r="Z506" s="103"/>
      <c r="AA506" s="103"/>
      <c r="AB506" s="1"/>
    </row>
    <row r="507" spans="15:30">
      <c r="O507" s="1"/>
      <c r="P507" s="1"/>
      <c r="Q507" s="1"/>
      <c r="R507" s="1"/>
      <c r="Z507" s="103"/>
      <c r="AA507" s="103"/>
      <c r="AB507" s="1"/>
    </row>
    <row r="508" spans="15:30">
      <c r="O508" s="1"/>
      <c r="P508" s="1"/>
      <c r="Q508" s="1"/>
      <c r="R508" s="1"/>
      <c r="Z508" s="103"/>
      <c r="AA508" s="103"/>
      <c r="AB508" s="1"/>
    </row>
    <row r="509" spans="15:30">
      <c r="O509" s="1"/>
      <c r="P509" s="1"/>
      <c r="Q509" s="1"/>
      <c r="R509" s="1"/>
      <c r="Z509" s="103"/>
      <c r="AA509" s="103"/>
      <c r="AB509" s="1"/>
    </row>
    <row r="510" spans="15:30">
      <c r="O510" s="1"/>
      <c r="P510" s="1"/>
      <c r="Q510" s="1"/>
      <c r="R510" s="1"/>
      <c r="Z510" s="103"/>
      <c r="AA510" s="103"/>
      <c r="AB510" s="1"/>
    </row>
    <row r="511" spans="15:30">
      <c r="O511" s="1"/>
      <c r="P511" s="1"/>
      <c r="Q511" s="1"/>
      <c r="R511" s="1"/>
      <c r="Z511" s="103"/>
      <c r="AA511" s="103"/>
      <c r="AB511" s="1"/>
    </row>
    <row r="512" spans="15:30">
      <c r="O512" s="1"/>
      <c r="P512" s="1"/>
      <c r="Q512" s="1"/>
      <c r="R512" s="1"/>
      <c r="Z512" s="103"/>
      <c r="AA512" s="103"/>
      <c r="AB512" s="1"/>
    </row>
    <row r="513" spans="15:30">
      <c r="O513" s="1"/>
      <c r="P513" s="1"/>
      <c r="Q513" s="1"/>
      <c r="R513" s="1"/>
      <c r="Z513" s="103"/>
      <c r="AA513" s="103"/>
      <c r="AB513" s="1"/>
    </row>
    <row r="514" spans="15:30">
      <c r="O514" s="1"/>
      <c r="P514" s="1"/>
      <c r="Q514" s="1"/>
      <c r="R514" s="1"/>
      <c r="Z514" s="103"/>
      <c r="AA514" s="103"/>
      <c r="AB514" s="1"/>
    </row>
    <row r="515" spans="15:30">
      <c r="O515" s="1"/>
      <c r="P515" s="1"/>
      <c r="Q515" s="1"/>
      <c r="R515" s="1"/>
      <c r="Z515" s="103"/>
      <c r="AA515" s="103"/>
      <c r="AB515" s="1"/>
    </row>
    <row r="516" spans="15:30">
      <c r="O516" s="1"/>
      <c r="P516" s="1"/>
      <c r="Q516" s="1"/>
      <c r="R516" s="1"/>
      <c r="Z516" s="103"/>
      <c r="AA516" s="103"/>
      <c r="AB516" s="1"/>
    </row>
    <row r="517" spans="15:30">
      <c r="O517" s="1"/>
      <c r="P517" s="1"/>
      <c r="Q517" s="1"/>
      <c r="R517" s="1"/>
      <c r="Z517" s="103"/>
      <c r="AA517" s="103"/>
      <c r="AB517" s="1"/>
    </row>
    <row r="518" spans="15:30">
      <c r="O518" s="1"/>
      <c r="P518" s="1"/>
      <c r="Q518" s="1"/>
      <c r="R518" s="1"/>
      <c r="Z518" s="103"/>
      <c r="AA518" s="103"/>
      <c r="AB518" s="1"/>
    </row>
    <row r="519" spans="15:30">
      <c r="O519" s="1"/>
      <c r="P519" s="1"/>
      <c r="Q519" s="1"/>
      <c r="R519" s="1"/>
      <c r="Z519" s="103"/>
      <c r="AA519" s="103"/>
      <c r="AB519" s="1"/>
    </row>
    <row r="520" spans="15:30">
      <c r="O520" s="1"/>
      <c r="P520" s="1"/>
      <c r="Q520" s="1"/>
      <c r="R520" s="1"/>
      <c r="Z520" s="103"/>
      <c r="AA520" s="103"/>
      <c r="AB520" s="1"/>
    </row>
    <row r="521" spans="15:30">
      <c r="O521" s="1"/>
      <c r="P521" s="1"/>
      <c r="Q521" s="1"/>
      <c r="R521" s="1"/>
      <c r="Z521" s="103"/>
      <c r="AA521" s="103"/>
      <c r="AB521" s="1"/>
    </row>
    <row r="522" spans="15:30">
      <c r="O522" s="1"/>
      <c r="P522" s="1"/>
      <c r="Q522" s="1"/>
      <c r="R522" s="1"/>
      <c r="Z522" s="103"/>
      <c r="AA522" s="103"/>
      <c r="AB522" s="1"/>
      <c r="AD522" s="102"/>
    </row>
    <row r="523" spans="15:30">
      <c r="O523" s="1"/>
      <c r="P523" s="1"/>
      <c r="Q523" s="1"/>
      <c r="R523" s="1"/>
      <c r="Z523" s="103"/>
      <c r="AA523" s="103"/>
      <c r="AB523" s="1"/>
    </row>
    <row r="524" spans="15:30">
      <c r="O524" s="1"/>
      <c r="P524" s="1"/>
      <c r="Q524" s="1"/>
      <c r="R524" s="1"/>
      <c r="Z524" s="103"/>
      <c r="AA524" s="103"/>
      <c r="AB524" s="1"/>
      <c r="AD524" s="102"/>
    </row>
    <row r="525" spans="15:30">
      <c r="O525" s="1"/>
      <c r="P525" s="1"/>
      <c r="Q525" s="1"/>
      <c r="R525" s="1"/>
      <c r="Z525" s="103"/>
      <c r="AA525" s="103"/>
      <c r="AB525" s="1"/>
    </row>
    <row r="526" spans="15:30">
      <c r="O526" s="1"/>
      <c r="P526" s="1"/>
      <c r="Q526" s="1"/>
      <c r="R526" s="1"/>
      <c r="Z526" s="103"/>
      <c r="AA526" s="103"/>
      <c r="AB526" s="1"/>
      <c r="AD526" s="102"/>
    </row>
    <row r="527" spans="15:30">
      <c r="O527" s="1"/>
      <c r="P527" s="1"/>
      <c r="Q527" s="1"/>
      <c r="R527" s="1"/>
      <c r="Z527" s="103"/>
      <c r="AA527" s="103"/>
      <c r="AB527" s="1"/>
    </row>
    <row r="528" spans="15:30">
      <c r="O528" s="1"/>
      <c r="P528" s="1"/>
      <c r="Q528" s="1"/>
      <c r="R528" s="1"/>
      <c r="Z528" s="103"/>
      <c r="AA528" s="103"/>
      <c r="AB528" s="1"/>
    </row>
    <row r="529" spans="15:30">
      <c r="O529" s="1"/>
      <c r="P529" s="1"/>
      <c r="Q529" s="1"/>
      <c r="R529" s="1"/>
      <c r="Z529" s="103"/>
      <c r="AA529" s="103"/>
      <c r="AB529" s="1"/>
    </row>
    <row r="530" spans="15:30">
      <c r="O530" s="1"/>
      <c r="P530" s="1"/>
      <c r="Q530" s="1"/>
      <c r="R530" s="1"/>
      <c r="Z530" s="103"/>
      <c r="AA530" s="103"/>
      <c r="AB530" s="1"/>
    </row>
    <row r="531" spans="15:30">
      <c r="O531" s="1"/>
      <c r="P531" s="1"/>
      <c r="Q531" s="1"/>
      <c r="R531" s="1"/>
      <c r="Z531" s="103"/>
      <c r="AA531" s="103"/>
      <c r="AB531" s="1"/>
    </row>
    <row r="532" spans="15:30">
      <c r="O532" s="1"/>
      <c r="P532" s="1"/>
      <c r="Q532" s="1"/>
      <c r="R532" s="1"/>
      <c r="Z532" s="103"/>
      <c r="AA532" s="103"/>
      <c r="AB532" s="1"/>
    </row>
    <row r="533" spans="15:30">
      <c r="O533" s="1"/>
      <c r="P533" s="1"/>
      <c r="Q533" s="1"/>
      <c r="R533" s="1"/>
      <c r="Z533" s="103"/>
      <c r="AA533" s="103"/>
      <c r="AB533" s="1"/>
    </row>
    <row r="534" spans="15:30">
      <c r="O534" s="1"/>
      <c r="P534" s="1"/>
      <c r="Q534" s="1"/>
      <c r="R534" s="1"/>
      <c r="Z534" s="103"/>
      <c r="AA534" s="103"/>
      <c r="AB534" s="1"/>
    </row>
    <row r="535" spans="15:30">
      <c r="O535" s="1"/>
      <c r="P535" s="1"/>
      <c r="Q535" s="1"/>
      <c r="R535" s="1"/>
      <c r="Z535" s="103"/>
      <c r="AA535" s="103"/>
      <c r="AB535" s="1"/>
    </row>
    <row r="536" spans="15:30">
      <c r="O536" s="1"/>
      <c r="P536" s="1"/>
      <c r="Q536" s="1"/>
      <c r="R536" s="1"/>
      <c r="Z536" s="103"/>
      <c r="AA536" s="103"/>
      <c r="AB536" s="1"/>
    </row>
    <row r="537" spans="15:30">
      <c r="O537" s="1"/>
      <c r="P537" s="1"/>
      <c r="Q537" s="1"/>
      <c r="R537" s="1"/>
      <c r="Z537" s="103"/>
      <c r="AA537" s="103"/>
      <c r="AB537" s="1"/>
    </row>
    <row r="538" spans="15:30">
      <c r="O538" s="1"/>
      <c r="P538" s="1"/>
      <c r="Q538" s="1"/>
      <c r="R538" s="1"/>
      <c r="Z538" s="103"/>
      <c r="AA538" s="103"/>
      <c r="AB538" s="1"/>
    </row>
    <row r="539" spans="15:30">
      <c r="O539" s="1"/>
      <c r="P539" s="1"/>
      <c r="Q539" s="1"/>
      <c r="R539" s="1"/>
      <c r="Z539" s="103"/>
      <c r="AA539" s="103"/>
      <c r="AB539" s="1"/>
    </row>
    <row r="540" spans="15:30">
      <c r="O540" s="1"/>
      <c r="P540" s="1"/>
      <c r="Q540" s="1"/>
      <c r="R540" s="1"/>
      <c r="Z540" s="103"/>
      <c r="AA540" s="103"/>
      <c r="AB540" s="1"/>
    </row>
    <row r="541" spans="15:30">
      <c r="O541" s="1"/>
      <c r="P541" s="1"/>
      <c r="Q541" s="1"/>
      <c r="R541" s="1"/>
      <c r="Z541" s="103"/>
      <c r="AA541" s="103"/>
      <c r="AB541" s="1"/>
      <c r="AD541" s="102"/>
    </row>
    <row r="542" spans="15:30">
      <c r="O542" s="1"/>
      <c r="P542" s="1"/>
      <c r="Q542" s="1"/>
      <c r="R542" s="1"/>
      <c r="Z542" s="103"/>
      <c r="AA542" s="103"/>
      <c r="AB542" s="1"/>
    </row>
    <row r="543" spans="15:30">
      <c r="O543" s="1"/>
      <c r="P543" s="1"/>
      <c r="Q543" s="1"/>
      <c r="R543" s="1"/>
      <c r="Z543" s="103"/>
      <c r="AA543" s="103"/>
      <c r="AB543" s="1"/>
    </row>
    <row r="544" spans="15:30">
      <c r="O544" s="1"/>
      <c r="P544" s="1"/>
      <c r="Q544" s="1"/>
      <c r="R544" s="1"/>
      <c r="Z544" s="103"/>
      <c r="AA544" s="103"/>
      <c r="AB544" s="1"/>
    </row>
    <row r="545" spans="15:30">
      <c r="O545" s="1"/>
      <c r="P545" s="1"/>
      <c r="Q545" s="1"/>
      <c r="R545" s="1"/>
      <c r="Z545" s="103"/>
      <c r="AA545" s="103"/>
      <c r="AB545" s="1"/>
    </row>
    <row r="546" spans="15:30">
      <c r="O546" s="1"/>
      <c r="P546" s="1"/>
      <c r="Q546" s="1"/>
      <c r="R546" s="1"/>
      <c r="Z546" s="103"/>
      <c r="AA546" s="103"/>
      <c r="AB546" s="1"/>
      <c r="AD546" s="102"/>
    </row>
    <row r="547" spans="15:30">
      <c r="O547" s="1"/>
      <c r="P547" s="1"/>
      <c r="Q547" s="1"/>
      <c r="R547" s="1"/>
      <c r="Z547" s="103"/>
      <c r="AA547" s="103"/>
      <c r="AB547" s="1"/>
      <c r="AD547" s="102"/>
    </row>
    <row r="548" spans="15:30">
      <c r="O548" s="1"/>
      <c r="P548" s="1"/>
      <c r="Q548" s="1"/>
      <c r="R548" s="1"/>
      <c r="Z548" s="103"/>
      <c r="AA548" s="103"/>
      <c r="AB548" s="1"/>
    </row>
    <row r="549" spans="15:30">
      <c r="O549" s="1"/>
      <c r="P549" s="1"/>
      <c r="Q549" s="1"/>
      <c r="R549" s="1"/>
      <c r="Z549" s="103"/>
      <c r="AA549" s="103"/>
      <c r="AB549" s="1"/>
    </row>
    <row r="550" spans="15:30">
      <c r="O550" s="1"/>
      <c r="P550" s="1"/>
      <c r="Q550" s="1"/>
      <c r="R550" s="1"/>
      <c r="Z550" s="103"/>
      <c r="AA550" s="103"/>
      <c r="AB550" s="1"/>
    </row>
    <row r="551" spans="15:30">
      <c r="O551" s="1"/>
      <c r="P551" s="1"/>
      <c r="Q551" s="1"/>
      <c r="R551" s="1"/>
      <c r="Z551" s="103"/>
      <c r="AA551" s="103"/>
      <c r="AB551" s="1"/>
    </row>
    <row r="552" spans="15:30">
      <c r="O552" s="1"/>
      <c r="P552" s="1"/>
      <c r="Q552" s="1"/>
      <c r="R552" s="1"/>
      <c r="Z552" s="103"/>
      <c r="AA552" s="103"/>
      <c r="AB552" s="1"/>
    </row>
    <row r="553" spans="15:30">
      <c r="O553" s="1"/>
      <c r="P553" s="1"/>
      <c r="Q553" s="1"/>
      <c r="R553" s="1"/>
      <c r="Z553" s="103"/>
      <c r="AA553" s="103"/>
      <c r="AB553" s="1"/>
    </row>
    <row r="554" spans="15:30">
      <c r="O554" s="1"/>
      <c r="P554" s="1"/>
      <c r="Q554" s="1"/>
      <c r="R554" s="1"/>
      <c r="Z554" s="103"/>
      <c r="AA554" s="103"/>
      <c r="AB554" s="1"/>
    </row>
    <row r="555" spans="15:30">
      <c r="O555" s="1"/>
      <c r="P555" s="1"/>
      <c r="Q555" s="1"/>
      <c r="R555" s="1"/>
      <c r="Z555" s="103"/>
      <c r="AA555" s="103"/>
      <c r="AB555" s="1"/>
    </row>
    <row r="556" spans="15:30">
      <c r="O556" s="1"/>
      <c r="P556" s="1"/>
      <c r="Q556" s="1"/>
      <c r="R556" s="1"/>
      <c r="Z556" s="103"/>
      <c r="AA556" s="103"/>
      <c r="AB556" s="1"/>
    </row>
    <row r="557" spans="15:30">
      <c r="O557" s="1"/>
      <c r="P557" s="1"/>
      <c r="Q557" s="1"/>
      <c r="R557" s="1"/>
      <c r="Z557" s="103"/>
      <c r="AA557" s="103"/>
      <c r="AB557" s="1"/>
    </row>
    <row r="558" spans="15:30">
      <c r="O558" s="1"/>
      <c r="P558" s="1"/>
      <c r="Q558" s="1"/>
      <c r="R558" s="1"/>
      <c r="Z558" s="103"/>
      <c r="AA558" s="103"/>
      <c r="AB558" s="1"/>
    </row>
    <row r="559" spans="15:30">
      <c r="O559" s="1"/>
      <c r="P559" s="1"/>
      <c r="Q559" s="1"/>
      <c r="R559" s="1"/>
      <c r="Z559" s="103"/>
      <c r="AA559" s="103"/>
      <c r="AB559" s="1"/>
    </row>
    <row r="560" spans="15:30">
      <c r="O560" s="1"/>
      <c r="P560" s="1"/>
      <c r="Q560" s="1"/>
      <c r="R560" s="1"/>
      <c r="Z560" s="103"/>
      <c r="AA560" s="103"/>
      <c r="AB560" s="1"/>
    </row>
    <row r="561" spans="15:30">
      <c r="O561" s="1"/>
      <c r="P561" s="1"/>
      <c r="Q561" s="1"/>
      <c r="R561" s="1"/>
      <c r="Z561" s="103"/>
      <c r="AA561" s="103"/>
      <c r="AB561" s="1"/>
      <c r="AD561" s="102"/>
    </row>
    <row r="562" spans="15:30">
      <c r="O562" s="1"/>
      <c r="P562" s="1"/>
      <c r="Q562" s="1"/>
      <c r="R562" s="1"/>
      <c r="Z562" s="103"/>
      <c r="AA562" s="103"/>
      <c r="AB562" s="1"/>
    </row>
    <row r="563" spans="15:30">
      <c r="O563" s="1"/>
      <c r="P563" s="1"/>
      <c r="Q563" s="1"/>
      <c r="R563" s="1"/>
      <c r="Z563" s="103"/>
      <c r="AA563" s="103"/>
      <c r="AB563" s="1"/>
    </row>
    <row r="564" spans="15:30">
      <c r="O564" s="1"/>
      <c r="P564" s="1"/>
      <c r="Q564" s="1"/>
      <c r="R564" s="1"/>
      <c r="Z564" s="103"/>
      <c r="AA564" s="103"/>
      <c r="AB564" s="1"/>
    </row>
    <row r="565" spans="15:30">
      <c r="O565" s="1"/>
      <c r="P565" s="1"/>
      <c r="Q565" s="1"/>
      <c r="R565" s="1"/>
      <c r="Z565" s="103"/>
      <c r="AA565" s="103"/>
      <c r="AB565" s="1"/>
    </row>
    <row r="566" spans="15:30">
      <c r="O566" s="1"/>
      <c r="P566" s="1"/>
      <c r="Q566" s="1"/>
      <c r="R566" s="1"/>
      <c r="Z566" s="103"/>
      <c r="AA566" s="103"/>
      <c r="AB566" s="1"/>
    </row>
    <row r="567" spans="15:30">
      <c r="O567" s="1"/>
      <c r="P567" s="1"/>
      <c r="Q567" s="1"/>
      <c r="R567" s="1"/>
      <c r="Z567" s="103"/>
      <c r="AA567" s="103"/>
      <c r="AB567" s="1"/>
    </row>
    <row r="568" spans="15:30">
      <c r="O568" s="1"/>
      <c r="P568" s="1"/>
      <c r="Q568" s="1"/>
      <c r="R568" s="1"/>
      <c r="Z568" s="103"/>
      <c r="AA568" s="103"/>
      <c r="AB568" s="1"/>
    </row>
    <row r="569" spans="15:30">
      <c r="O569" s="1"/>
      <c r="P569" s="1"/>
      <c r="Q569" s="1"/>
      <c r="R569" s="1"/>
      <c r="Z569" s="103"/>
      <c r="AA569" s="103"/>
      <c r="AB569" s="1"/>
    </row>
    <row r="570" spans="15:30">
      <c r="O570" s="1"/>
      <c r="P570" s="1"/>
      <c r="Q570" s="1"/>
      <c r="R570" s="1"/>
      <c r="Z570" s="103"/>
      <c r="AA570" s="103"/>
      <c r="AB570" s="1"/>
    </row>
    <row r="571" spans="15:30">
      <c r="O571" s="1"/>
      <c r="P571" s="1"/>
      <c r="Q571" s="1"/>
      <c r="R571" s="1"/>
      <c r="Z571" s="103"/>
      <c r="AA571" s="103"/>
      <c r="AB571" s="1"/>
    </row>
    <row r="572" spans="15:30">
      <c r="O572" s="1"/>
      <c r="P572" s="1"/>
      <c r="Q572" s="1"/>
      <c r="R572" s="1"/>
      <c r="Z572" s="103"/>
      <c r="AA572" s="103"/>
      <c r="AB572" s="1"/>
    </row>
    <row r="573" spans="15:30">
      <c r="O573" s="1"/>
      <c r="P573" s="1"/>
      <c r="Q573" s="1"/>
      <c r="R573" s="1"/>
      <c r="Z573" s="103"/>
      <c r="AA573" s="103"/>
      <c r="AB573" s="1"/>
    </row>
    <row r="574" spans="15:30">
      <c r="O574" s="1"/>
      <c r="P574" s="1"/>
      <c r="Q574" s="1"/>
      <c r="R574" s="1"/>
      <c r="Z574" s="103"/>
      <c r="AA574" s="103"/>
      <c r="AB574" s="1"/>
    </row>
    <row r="575" spans="15:30">
      <c r="O575" s="1"/>
      <c r="P575" s="1"/>
      <c r="Q575" s="1"/>
      <c r="R575" s="1"/>
      <c r="Z575" s="103"/>
      <c r="AA575" s="103"/>
      <c r="AB575" s="1"/>
    </row>
    <row r="576" spans="15:30">
      <c r="O576" s="1"/>
      <c r="P576" s="1"/>
      <c r="Q576" s="1"/>
      <c r="R576" s="1"/>
      <c r="Z576" s="103"/>
      <c r="AA576" s="103"/>
      <c r="AB576" s="1"/>
    </row>
    <row r="577" spans="15:28">
      <c r="O577" s="1"/>
      <c r="P577" s="1"/>
      <c r="Q577" s="1"/>
      <c r="R577" s="1"/>
      <c r="Z577" s="103"/>
      <c r="AA577" s="103"/>
      <c r="AB577" s="1"/>
    </row>
    <row r="578" spans="15:28">
      <c r="O578" s="1"/>
      <c r="P578" s="1"/>
      <c r="Q578" s="1"/>
      <c r="R578" s="1"/>
      <c r="Z578" s="103"/>
      <c r="AA578" s="103"/>
      <c r="AB578" s="1"/>
    </row>
    <row r="579" spans="15:28">
      <c r="O579" s="1"/>
      <c r="P579" s="1"/>
      <c r="Q579" s="1"/>
      <c r="R579" s="1"/>
      <c r="Z579" s="103"/>
      <c r="AA579" s="103"/>
      <c r="AB579" s="1"/>
    </row>
    <row r="580" spans="15:28">
      <c r="O580" s="1"/>
      <c r="P580" s="1"/>
      <c r="Q580" s="1"/>
      <c r="R580" s="1"/>
      <c r="Z580" s="103"/>
      <c r="AA580" s="103"/>
      <c r="AB580" s="1"/>
    </row>
    <row r="581" spans="15:28">
      <c r="O581" s="1"/>
      <c r="P581" s="1"/>
      <c r="Q581" s="1"/>
      <c r="R581" s="1"/>
      <c r="Z581" s="103"/>
      <c r="AA581" s="103"/>
      <c r="AB581" s="1"/>
    </row>
    <row r="582" spans="15:28">
      <c r="O582" s="1"/>
      <c r="P582" s="1"/>
      <c r="Q582" s="1"/>
      <c r="R582" s="1"/>
      <c r="Z582" s="103"/>
      <c r="AA582" s="103"/>
      <c r="AB582" s="1"/>
    </row>
    <row r="583" spans="15:28">
      <c r="O583" s="1"/>
      <c r="P583" s="1"/>
      <c r="Q583" s="1"/>
      <c r="R583" s="1"/>
      <c r="Z583" s="103"/>
      <c r="AA583" s="103"/>
      <c r="AB583" s="1"/>
    </row>
    <row r="584" spans="15:28">
      <c r="O584" s="1"/>
      <c r="P584" s="1"/>
      <c r="Q584" s="1"/>
      <c r="R584" s="1"/>
      <c r="Z584" s="103"/>
      <c r="AA584" s="103"/>
      <c r="AB584" s="1"/>
    </row>
    <row r="585" spans="15:28">
      <c r="O585" s="1"/>
      <c r="P585" s="1"/>
      <c r="Q585" s="1"/>
      <c r="R585" s="1"/>
      <c r="Z585" s="103"/>
      <c r="AA585" s="103"/>
      <c r="AB585" s="1"/>
    </row>
    <row r="586" spans="15:28">
      <c r="O586" s="1"/>
      <c r="P586" s="1"/>
      <c r="Q586" s="1"/>
      <c r="R586" s="1"/>
      <c r="Z586" s="103"/>
      <c r="AA586" s="103"/>
      <c r="AB586" s="1"/>
    </row>
    <row r="587" spans="15:28">
      <c r="O587" s="1"/>
      <c r="P587" s="1"/>
      <c r="Q587" s="1"/>
      <c r="R587" s="1"/>
      <c r="Z587" s="103"/>
      <c r="AA587" s="103"/>
      <c r="AB587" s="1"/>
    </row>
    <row r="588" spans="15:28">
      <c r="O588" s="1"/>
      <c r="P588" s="1"/>
      <c r="Q588" s="1"/>
      <c r="R588" s="1"/>
      <c r="Z588" s="103"/>
      <c r="AA588" s="103"/>
      <c r="AB588" s="1"/>
    </row>
    <row r="589" spans="15:28">
      <c r="O589" s="1"/>
      <c r="P589" s="1"/>
      <c r="Q589" s="1"/>
      <c r="R589" s="1"/>
      <c r="Z589" s="103"/>
      <c r="AA589" s="103"/>
      <c r="AB589" s="1"/>
    </row>
    <row r="590" spans="15:28">
      <c r="O590" s="1"/>
      <c r="P590" s="1"/>
      <c r="Q590" s="1"/>
      <c r="R590" s="1"/>
      <c r="Z590" s="103"/>
      <c r="AA590" s="103"/>
      <c r="AB590" s="1"/>
    </row>
    <row r="591" spans="15:28">
      <c r="O591" s="1"/>
      <c r="P591" s="1"/>
      <c r="Q591" s="1"/>
      <c r="R591" s="1"/>
      <c r="Z591" s="103"/>
      <c r="AA591" s="103"/>
      <c r="AB591" s="1"/>
    </row>
    <row r="592" spans="15:28">
      <c r="O592" s="1"/>
      <c r="P592" s="1"/>
      <c r="Q592" s="1"/>
      <c r="R592" s="1"/>
      <c r="Z592" s="103"/>
      <c r="AA592" s="103"/>
      <c r="AB592" s="1"/>
    </row>
    <row r="593" spans="15:28">
      <c r="O593" s="1"/>
      <c r="P593" s="1"/>
      <c r="Q593" s="1"/>
      <c r="R593" s="1"/>
      <c r="Z593" s="103"/>
      <c r="AA593" s="103"/>
      <c r="AB593" s="1"/>
    </row>
    <row r="594" spans="15:28">
      <c r="O594" s="1"/>
      <c r="P594" s="1"/>
      <c r="Q594" s="1"/>
      <c r="R594" s="1"/>
      <c r="Z594" s="103"/>
      <c r="AA594" s="103"/>
      <c r="AB594" s="1"/>
    </row>
    <row r="595" spans="15:28">
      <c r="O595" s="1"/>
      <c r="P595" s="1"/>
      <c r="Q595" s="1"/>
      <c r="R595" s="1"/>
      <c r="Z595" s="103"/>
      <c r="AA595" s="103"/>
      <c r="AB595" s="1"/>
    </row>
    <row r="596" spans="15:28">
      <c r="O596" s="1"/>
      <c r="P596" s="1"/>
      <c r="Q596" s="1"/>
      <c r="R596" s="1"/>
      <c r="Z596" s="103"/>
      <c r="AA596" s="103"/>
      <c r="AB596" s="1"/>
    </row>
    <row r="597" spans="15:28">
      <c r="O597" s="1"/>
      <c r="P597" s="1"/>
      <c r="Q597" s="1"/>
      <c r="R597" s="1"/>
      <c r="Z597" s="103"/>
      <c r="AA597" s="103"/>
      <c r="AB597" s="1"/>
    </row>
    <row r="598" spans="15:28">
      <c r="O598" s="1"/>
      <c r="P598" s="1"/>
      <c r="Q598" s="1"/>
      <c r="R598" s="1"/>
      <c r="Z598" s="103"/>
      <c r="AA598" s="103"/>
      <c r="AB598" s="1"/>
    </row>
    <row r="599" spans="15:28">
      <c r="O599" s="1"/>
      <c r="P599" s="1"/>
      <c r="Q599" s="1"/>
      <c r="R599" s="1"/>
      <c r="Z599" s="103"/>
      <c r="AA599" s="103"/>
      <c r="AB599" s="1"/>
    </row>
    <row r="600" spans="15:28">
      <c r="O600" s="1"/>
      <c r="P600" s="1"/>
      <c r="Q600" s="1"/>
      <c r="R600" s="1"/>
      <c r="Z600" s="103"/>
      <c r="AA600" s="103"/>
      <c r="AB600" s="1"/>
    </row>
    <row r="601" spans="15:28">
      <c r="O601" s="1"/>
      <c r="P601" s="1"/>
      <c r="Q601" s="1"/>
      <c r="R601" s="1"/>
      <c r="Z601" s="103"/>
      <c r="AA601" s="103"/>
      <c r="AB601" s="1"/>
    </row>
    <row r="602" spans="15:28">
      <c r="O602" s="1"/>
      <c r="P602" s="1"/>
      <c r="Q602" s="1"/>
      <c r="R602" s="1"/>
      <c r="Z602" s="103"/>
      <c r="AA602" s="103"/>
      <c r="AB602" s="1"/>
    </row>
    <row r="603" spans="15:28">
      <c r="O603" s="1"/>
      <c r="P603" s="1"/>
      <c r="Q603" s="1"/>
      <c r="R603" s="1"/>
      <c r="Z603" s="103"/>
      <c r="AA603" s="103"/>
      <c r="AB603" s="1"/>
    </row>
    <row r="604" spans="15:28">
      <c r="O604" s="1"/>
      <c r="P604" s="1"/>
      <c r="Q604" s="1"/>
      <c r="R604" s="1"/>
      <c r="Z604" s="103"/>
      <c r="AA604" s="103"/>
      <c r="AB604" s="1"/>
    </row>
    <row r="605" spans="15:28">
      <c r="O605" s="1"/>
      <c r="P605" s="1"/>
      <c r="Q605" s="1"/>
      <c r="R605" s="1"/>
      <c r="Z605" s="103"/>
      <c r="AA605" s="103"/>
      <c r="AB605" s="1"/>
    </row>
    <row r="606" spans="15:28">
      <c r="O606" s="1"/>
      <c r="P606" s="1"/>
      <c r="Q606" s="1"/>
      <c r="R606" s="1"/>
      <c r="Z606" s="103"/>
      <c r="AA606" s="103"/>
      <c r="AB606" s="1"/>
    </row>
    <row r="607" spans="15:28">
      <c r="O607" s="1"/>
      <c r="P607" s="1"/>
      <c r="Q607" s="1"/>
      <c r="R607" s="1"/>
      <c r="Z607" s="103"/>
      <c r="AA607" s="103"/>
      <c r="AB607" s="1"/>
    </row>
    <row r="608" spans="15:28">
      <c r="O608" s="1"/>
      <c r="P608" s="1"/>
      <c r="Q608" s="1"/>
      <c r="R608" s="1"/>
      <c r="Z608" s="103"/>
      <c r="AA608" s="103"/>
      <c r="AB608" s="1"/>
    </row>
    <row r="609" spans="15:28">
      <c r="O609" s="1"/>
      <c r="P609" s="1"/>
      <c r="Q609" s="1"/>
      <c r="R609" s="1"/>
      <c r="Z609" s="103"/>
      <c r="AA609" s="103"/>
      <c r="AB609" s="1"/>
    </row>
    <row r="610" spans="15:28">
      <c r="O610" s="1"/>
      <c r="P610" s="1"/>
      <c r="Q610" s="1"/>
      <c r="R610" s="1"/>
      <c r="Z610" s="103"/>
      <c r="AA610" s="103"/>
      <c r="AB610" s="1"/>
    </row>
    <row r="611" spans="15:28">
      <c r="O611" s="1"/>
      <c r="P611" s="1"/>
      <c r="Q611" s="1"/>
      <c r="R611" s="1"/>
      <c r="Z611" s="103"/>
      <c r="AA611" s="103"/>
      <c r="AB611" s="1"/>
    </row>
    <row r="612" spans="15:28">
      <c r="O612" s="1"/>
      <c r="P612" s="1"/>
      <c r="Q612" s="1"/>
      <c r="R612" s="1"/>
      <c r="Z612" s="103"/>
      <c r="AA612" s="103"/>
      <c r="AB612" s="1"/>
    </row>
    <row r="613" spans="15:28">
      <c r="O613" s="1"/>
      <c r="P613" s="1"/>
      <c r="Q613" s="1"/>
      <c r="R613" s="1"/>
      <c r="Z613" s="103"/>
      <c r="AA613" s="103"/>
      <c r="AB613" s="1"/>
    </row>
    <row r="614" spans="15:28">
      <c r="O614" s="1"/>
      <c r="P614" s="1"/>
      <c r="Q614" s="1"/>
      <c r="R614" s="1"/>
      <c r="Z614" s="103"/>
      <c r="AA614" s="103"/>
      <c r="AB614" s="1"/>
    </row>
    <row r="615" spans="15:28">
      <c r="O615" s="1"/>
      <c r="P615" s="1"/>
      <c r="Q615" s="1"/>
      <c r="R615" s="1"/>
      <c r="Z615" s="103"/>
      <c r="AA615" s="103"/>
      <c r="AB615" s="1"/>
    </row>
    <row r="616" spans="15:28">
      <c r="O616" s="1"/>
      <c r="P616" s="1"/>
      <c r="Q616" s="1"/>
      <c r="R616" s="1"/>
      <c r="Z616" s="103"/>
      <c r="AA616" s="103"/>
      <c r="AB616" s="1"/>
    </row>
    <row r="617" spans="15:28">
      <c r="O617" s="1"/>
      <c r="P617" s="1"/>
      <c r="Q617" s="1"/>
      <c r="R617" s="1"/>
      <c r="Z617" s="103"/>
      <c r="AA617" s="103"/>
      <c r="AB617" s="1"/>
    </row>
    <row r="618" spans="15:28">
      <c r="O618" s="1"/>
      <c r="P618" s="1"/>
      <c r="Q618" s="1"/>
      <c r="R618" s="1"/>
      <c r="Z618" s="103"/>
      <c r="AA618" s="103"/>
      <c r="AB618" s="1"/>
    </row>
    <row r="619" spans="15:28">
      <c r="O619" s="1"/>
      <c r="P619" s="1"/>
      <c r="Q619" s="1"/>
      <c r="R619" s="1"/>
      <c r="Z619" s="103"/>
      <c r="AA619" s="103"/>
      <c r="AB619" s="1"/>
    </row>
    <row r="620" spans="15:28">
      <c r="O620" s="1"/>
      <c r="P620" s="1"/>
      <c r="Q620" s="1"/>
      <c r="R620" s="1"/>
      <c r="Z620" s="103"/>
      <c r="AA620" s="103"/>
      <c r="AB620" s="1"/>
    </row>
    <row r="621" spans="15:28">
      <c r="O621" s="1"/>
      <c r="P621" s="1"/>
      <c r="Q621" s="1"/>
      <c r="R621" s="1"/>
      <c r="Z621" s="103"/>
      <c r="AA621" s="103"/>
      <c r="AB621" s="1"/>
    </row>
    <row r="622" spans="15:28">
      <c r="O622" s="1"/>
      <c r="P622" s="1"/>
      <c r="Q622" s="1"/>
      <c r="R622" s="1"/>
      <c r="Z622" s="103"/>
      <c r="AA622" s="103"/>
      <c r="AB622" s="1"/>
    </row>
    <row r="623" spans="15:28">
      <c r="O623" s="1"/>
      <c r="P623" s="1"/>
      <c r="Q623" s="1"/>
      <c r="R623" s="1"/>
      <c r="Z623" s="103"/>
      <c r="AA623" s="103"/>
      <c r="AB623" s="1"/>
    </row>
    <row r="624" spans="15:28">
      <c r="O624" s="1"/>
      <c r="P624" s="1"/>
      <c r="Q624" s="1"/>
      <c r="R624" s="1"/>
      <c r="Z624" s="103"/>
      <c r="AA624" s="103"/>
      <c r="AB624" s="1"/>
    </row>
    <row r="625" spans="15:30">
      <c r="O625" s="1"/>
      <c r="P625" s="1"/>
      <c r="Q625" s="1"/>
      <c r="R625" s="1"/>
      <c r="Z625" s="103"/>
      <c r="AA625" s="103"/>
      <c r="AB625" s="1"/>
    </row>
    <row r="626" spans="15:30">
      <c r="O626" s="1"/>
      <c r="P626" s="1"/>
      <c r="Q626" s="1"/>
      <c r="R626" s="1"/>
      <c r="Z626" s="103"/>
      <c r="AA626" s="103"/>
      <c r="AB626" s="1"/>
    </row>
    <row r="627" spans="15:30">
      <c r="O627" s="1"/>
      <c r="P627" s="1"/>
      <c r="Q627" s="1"/>
      <c r="R627" s="1"/>
      <c r="Z627" s="103"/>
      <c r="AA627" s="103"/>
      <c r="AB627" s="1"/>
    </row>
    <row r="628" spans="15:30">
      <c r="O628" s="1"/>
      <c r="P628" s="1"/>
      <c r="Q628" s="1"/>
      <c r="R628" s="1"/>
      <c r="Z628" s="103"/>
      <c r="AA628" s="103"/>
      <c r="AB628" s="1"/>
    </row>
    <row r="629" spans="15:30">
      <c r="O629" s="1"/>
      <c r="P629" s="1"/>
      <c r="Q629" s="1"/>
      <c r="R629" s="1"/>
      <c r="Z629" s="103"/>
      <c r="AA629" s="103"/>
      <c r="AB629" s="1"/>
    </row>
    <row r="630" spans="15:30">
      <c r="O630" s="1"/>
      <c r="P630" s="1"/>
      <c r="Q630" s="1"/>
      <c r="R630" s="1"/>
      <c r="Z630" s="103"/>
      <c r="AA630" s="103"/>
      <c r="AB630" s="1"/>
    </row>
    <row r="631" spans="15:30">
      <c r="O631" s="1"/>
      <c r="P631" s="1"/>
      <c r="Q631" s="1"/>
      <c r="R631" s="1"/>
      <c r="Z631" s="103"/>
      <c r="AA631" s="103"/>
      <c r="AB631" s="1"/>
    </row>
    <row r="632" spans="15:30">
      <c r="O632" s="1"/>
      <c r="P632" s="1"/>
      <c r="Q632" s="1"/>
      <c r="R632" s="1"/>
      <c r="Z632" s="103"/>
      <c r="AA632" s="103"/>
      <c r="AB632" s="1"/>
    </row>
    <row r="633" spans="15:30">
      <c r="O633" s="1"/>
      <c r="P633" s="1"/>
      <c r="Q633" s="1"/>
      <c r="R633" s="1"/>
      <c r="Z633" s="103"/>
      <c r="AA633" s="103"/>
      <c r="AB633" s="1"/>
    </row>
    <row r="634" spans="15:30">
      <c r="O634" s="1"/>
      <c r="P634" s="1"/>
      <c r="Q634" s="1"/>
      <c r="R634" s="1"/>
      <c r="Z634" s="103"/>
      <c r="AA634" s="103"/>
      <c r="AB634" s="1"/>
    </row>
    <row r="635" spans="15:30">
      <c r="O635" s="1"/>
      <c r="P635" s="1"/>
      <c r="Q635" s="1"/>
      <c r="R635" s="1"/>
      <c r="Z635" s="103"/>
      <c r="AA635" s="103"/>
      <c r="AB635" s="1"/>
    </row>
    <row r="636" spans="15:30">
      <c r="O636" s="1"/>
      <c r="P636" s="1"/>
      <c r="Q636" s="1"/>
      <c r="R636" s="1"/>
      <c r="Z636" s="103"/>
      <c r="AA636" s="103"/>
      <c r="AB636" s="1"/>
    </row>
    <row r="637" spans="15:30">
      <c r="O637" s="1"/>
      <c r="P637" s="1"/>
      <c r="Q637" s="1"/>
      <c r="R637" s="1"/>
      <c r="Z637" s="103"/>
      <c r="AA637" s="103"/>
      <c r="AB637" s="1"/>
      <c r="AD637" s="102"/>
    </row>
    <row r="638" spans="15:30">
      <c r="O638" s="1"/>
      <c r="P638" s="1"/>
      <c r="Q638" s="1"/>
      <c r="R638" s="1"/>
      <c r="Z638" s="103"/>
      <c r="AA638" s="103"/>
      <c r="AB638" s="1"/>
    </row>
    <row r="639" spans="15:30">
      <c r="O639" s="1"/>
      <c r="P639" s="1"/>
      <c r="Q639" s="1"/>
      <c r="R639" s="1"/>
      <c r="Z639" s="103"/>
      <c r="AA639" s="103"/>
      <c r="AB639" s="1"/>
    </row>
    <row r="640" spans="15:30">
      <c r="O640" s="1"/>
      <c r="P640" s="1"/>
      <c r="Q640" s="1"/>
      <c r="R640" s="1"/>
      <c r="Z640" s="103"/>
      <c r="AA640" s="103"/>
      <c r="AB640" s="1"/>
    </row>
    <row r="641" spans="15:30">
      <c r="O641" s="1"/>
      <c r="P641" s="1"/>
      <c r="Q641" s="1"/>
      <c r="R641" s="1"/>
      <c r="Z641" s="103"/>
      <c r="AA641" s="103"/>
      <c r="AB641" s="1"/>
    </row>
    <row r="642" spans="15:30">
      <c r="O642" s="1"/>
      <c r="P642" s="1"/>
      <c r="Q642" s="1"/>
      <c r="R642" s="1"/>
      <c r="Z642" s="103"/>
      <c r="AA642" s="103"/>
      <c r="AB642" s="1"/>
    </row>
    <row r="643" spans="15:30">
      <c r="O643" s="1"/>
      <c r="P643" s="1"/>
      <c r="Q643" s="1"/>
      <c r="R643" s="1"/>
      <c r="Z643" s="103"/>
      <c r="AA643" s="103"/>
      <c r="AB643" s="1"/>
    </row>
    <row r="644" spans="15:30">
      <c r="O644" s="1"/>
      <c r="P644" s="1"/>
      <c r="Q644" s="1"/>
      <c r="R644" s="1"/>
      <c r="Z644" s="103"/>
      <c r="AA644" s="103"/>
      <c r="AB644" s="1"/>
    </row>
    <row r="645" spans="15:30">
      <c r="O645" s="1"/>
      <c r="P645" s="1"/>
      <c r="Q645" s="1"/>
      <c r="R645" s="1"/>
      <c r="Z645" s="103"/>
      <c r="AA645" s="103"/>
      <c r="AB645" s="1"/>
    </row>
    <row r="646" spans="15:30">
      <c r="O646" s="1"/>
      <c r="P646" s="1"/>
      <c r="Q646" s="1"/>
      <c r="R646" s="1"/>
      <c r="Z646" s="103"/>
      <c r="AA646" s="103"/>
      <c r="AB646" s="1"/>
    </row>
    <row r="647" spans="15:30">
      <c r="O647" s="1"/>
      <c r="P647" s="1"/>
      <c r="Q647" s="1"/>
      <c r="R647" s="1"/>
      <c r="Z647" s="103"/>
      <c r="AA647" s="103"/>
      <c r="AB647" s="1"/>
      <c r="AD647" s="102"/>
    </row>
    <row r="648" spans="15:30">
      <c r="O648" s="1"/>
      <c r="P648" s="1"/>
      <c r="Q648" s="1"/>
      <c r="R648" s="1"/>
      <c r="Z648" s="103"/>
      <c r="AA648" s="103"/>
      <c r="AB648" s="1"/>
    </row>
    <row r="649" spans="15:30">
      <c r="O649" s="1"/>
      <c r="P649" s="1"/>
      <c r="Q649" s="1"/>
      <c r="R649" s="1"/>
      <c r="Z649" s="103"/>
      <c r="AA649" s="103"/>
      <c r="AB649" s="1"/>
    </row>
    <row r="650" spans="15:30">
      <c r="O650" s="1"/>
      <c r="P650" s="1"/>
      <c r="Q650" s="1"/>
      <c r="R650" s="1"/>
      <c r="Z650" s="103"/>
      <c r="AA650" s="103"/>
      <c r="AB650" s="1"/>
    </row>
    <row r="651" spans="15:30">
      <c r="O651" s="1"/>
      <c r="P651" s="1"/>
      <c r="Q651" s="1"/>
      <c r="R651" s="1"/>
      <c r="Z651" s="103"/>
      <c r="AA651" s="103"/>
      <c r="AB651" s="1"/>
    </row>
    <row r="652" spans="15:30">
      <c r="O652" s="1"/>
      <c r="P652" s="1"/>
      <c r="Q652" s="1"/>
      <c r="R652" s="1"/>
      <c r="Z652" s="103"/>
      <c r="AA652" s="103"/>
      <c r="AB652" s="1"/>
    </row>
    <row r="653" spans="15:30">
      <c r="O653" s="1"/>
      <c r="P653" s="1"/>
      <c r="Q653" s="1"/>
      <c r="R653" s="1"/>
      <c r="Z653" s="103"/>
      <c r="AA653" s="103"/>
      <c r="AB653" s="1"/>
    </row>
    <row r="654" spans="15:30">
      <c r="O654" s="1"/>
      <c r="P654" s="1"/>
      <c r="Q654" s="1"/>
      <c r="R654" s="1"/>
      <c r="Z654" s="103"/>
      <c r="AA654" s="103"/>
      <c r="AB654" s="1"/>
    </row>
    <row r="655" spans="15:30">
      <c r="O655" s="1"/>
      <c r="P655" s="1"/>
      <c r="Q655" s="1"/>
      <c r="R655" s="1"/>
      <c r="Z655" s="103"/>
      <c r="AA655" s="103"/>
      <c r="AB655" s="1"/>
    </row>
    <row r="656" spans="15:30">
      <c r="O656" s="1"/>
      <c r="P656" s="1"/>
      <c r="Q656" s="1"/>
      <c r="R656" s="1"/>
      <c r="Z656" s="103"/>
      <c r="AA656" s="103"/>
      <c r="AB656" s="1"/>
    </row>
    <row r="657" spans="15:28">
      <c r="O657" s="1"/>
      <c r="P657" s="1"/>
      <c r="Q657" s="1"/>
      <c r="R657" s="1"/>
      <c r="Z657" s="103"/>
      <c r="AA657" s="103"/>
      <c r="AB657" s="1"/>
    </row>
    <row r="658" spans="15:28">
      <c r="O658" s="1"/>
      <c r="P658" s="1"/>
      <c r="Q658" s="1"/>
      <c r="R658" s="1"/>
      <c r="Z658" s="103"/>
      <c r="AA658" s="103"/>
      <c r="AB658" s="1"/>
    </row>
    <row r="659" spans="15:28">
      <c r="O659" s="1"/>
      <c r="P659" s="1"/>
      <c r="Q659" s="1"/>
      <c r="R659" s="1"/>
      <c r="Z659" s="103"/>
      <c r="AA659" s="103"/>
      <c r="AB659" s="1"/>
    </row>
    <row r="660" spans="15:28">
      <c r="O660" s="1"/>
      <c r="P660" s="1"/>
      <c r="Q660" s="1"/>
      <c r="R660" s="1"/>
      <c r="Z660" s="103"/>
      <c r="AA660" s="103"/>
      <c r="AB660" s="1"/>
    </row>
    <row r="661" spans="15:28">
      <c r="O661" s="1"/>
      <c r="P661" s="1"/>
      <c r="Q661" s="1"/>
      <c r="R661" s="1"/>
      <c r="Z661" s="103"/>
      <c r="AA661" s="103"/>
      <c r="AB661" s="1"/>
    </row>
    <row r="662" spans="15:28">
      <c r="O662" s="1"/>
      <c r="P662" s="1"/>
      <c r="Q662" s="1"/>
      <c r="R662" s="1"/>
      <c r="Z662" s="103"/>
      <c r="AA662" s="103"/>
      <c r="AB662" s="1"/>
    </row>
    <row r="663" spans="15:28">
      <c r="O663" s="1"/>
      <c r="P663" s="1"/>
      <c r="Q663" s="1"/>
      <c r="R663" s="1"/>
      <c r="Z663" s="103"/>
      <c r="AA663" s="103"/>
      <c r="AB663" s="1"/>
    </row>
    <row r="664" spans="15:28">
      <c r="O664" s="1"/>
      <c r="P664" s="1"/>
      <c r="Q664" s="1"/>
      <c r="R664" s="1"/>
      <c r="Z664" s="103"/>
      <c r="AA664" s="103"/>
      <c r="AB664" s="1"/>
    </row>
    <row r="665" spans="15:28">
      <c r="O665" s="1"/>
      <c r="P665" s="1"/>
      <c r="Q665" s="1"/>
      <c r="R665" s="1"/>
      <c r="Z665" s="103"/>
      <c r="AA665" s="103"/>
      <c r="AB665" s="1"/>
    </row>
    <row r="666" spans="15:28">
      <c r="O666" s="1"/>
      <c r="P666" s="1"/>
      <c r="Q666" s="1"/>
      <c r="R666" s="1"/>
      <c r="Z666" s="103"/>
      <c r="AA666" s="103"/>
      <c r="AB666" s="1"/>
    </row>
    <row r="667" spans="15:28">
      <c r="O667" s="1"/>
      <c r="P667" s="1"/>
      <c r="Q667" s="1"/>
      <c r="R667" s="1"/>
      <c r="Z667" s="103"/>
      <c r="AA667" s="103"/>
      <c r="AB667" s="1"/>
    </row>
    <row r="668" spans="15:28">
      <c r="O668" s="1"/>
      <c r="P668" s="1"/>
      <c r="Q668" s="1"/>
      <c r="R668" s="1"/>
      <c r="Z668" s="103"/>
      <c r="AA668" s="103"/>
      <c r="AB668" s="1"/>
    </row>
    <row r="669" spans="15:28">
      <c r="O669" s="1"/>
      <c r="P669" s="1"/>
      <c r="Q669" s="1"/>
      <c r="R669" s="1"/>
      <c r="Z669" s="103"/>
      <c r="AA669" s="103"/>
      <c r="AB669" s="1"/>
    </row>
    <row r="670" spans="15:28">
      <c r="O670" s="1"/>
      <c r="P670" s="1"/>
      <c r="Q670" s="1"/>
      <c r="R670" s="1"/>
      <c r="Z670" s="103"/>
      <c r="AA670" s="103"/>
      <c r="AB670" s="1"/>
    </row>
    <row r="671" spans="15:28">
      <c r="O671" s="1"/>
      <c r="P671" s="1"/>
      <c r="Q671" s="1"/>
      <c r="R671" s="1"/>
      <c r="Z671" s="103"/>
      <c r="AA671" s="103"/>
      <c r="AB671" s="1"/>
    </row>
    <row r="672" spans="15:28">
      <c r="O672" s="1"/>
      <c r="P672" s="1"/>
      <c r="Q672" s="1"/>
      <c r="R672" s="1"/>
      <c r="Z672" s="103"/>
      <c r="AA672" s="103"/>
      <c r="AB672" s="1"/>
    </row>
    <row r="673" spans="15:30">
      <c r="O673" s="1"/>
      <c r="P673" s="1"/>
      <c r="Q673" s="1"/>
      <c r="R673" s="1"/>
      <c r="Z673" s="103"/>
      <c r="AA673" s="103"/>
      <c r="AB673" s="1"/>
    </row>
    <row r="674" spans="15:30">
      <c r="O674" s="1"/>
      <c r="P674" s="1"/>
      <c r="Q674" s="1"/>
      <c r="R674" s="1"/>
      <c r="Z674" s="103"/>
      <c r="AA674" s="103"/>
      <c r="AB674" s="1"/>
    </row>
    <row r="675" spans="15:30">
      <c r="O675" s="1"/>
      <c r="P675" s="1"/>
      <c r="Q675" s="1"/>
      <c r="R675" s="1"/>
      <c r="Z675" s="103"/>
      <c r="AA675" s="103"/>
      <c r="AB675" s="1"/>
    </row>
    <row r="676" spans="15:30">
      <c r="O676" s="1"/>
      <c r="P676" s="1"/>
      <c r="Q676" s="1"/>
      <c r="R676" s="1"/>
      <c r="Z676" s="103"/>
      <c r="AA676" s="103"/>
      <c r="AB676" s="1"/>
    </row>
    <row r="677" spans="15:30">
      <c r="O677" s="1"/>
      <c r="P677" s="1"/>
      <c r="Q677" s="1"/>
      <c r="R677" s="1"/>
      <c r="Z677" s="103"/>
      <c r="AA677" s="103"/>
      <c r="AB677" s="1"/>
    </row>
    <row r="678" spans="15:30">
      <c r="O678" s="1"/>
      <c r="P678" s="1"/>
      <c r="Q678" s="1"/>
      <c r="R678" s="1"/>
      <c r="Z678" s="103"/>
      <c r="AA678" s="103"/>
      <c r="AB678" s="1"/>
    </row>
    <row r="679" spans="15:30">
      <c r="O679" s="1"/>
      <c r="P679" s="1"/>
      <c r="Q679" s="1"/>
      <c r="R679" s="1"/>
      <c r="Z679" s="103"/>
      <c r="AA679" s="103"/>
      <c r="AB679" s="1"/>
    </row>
    <row r="680" spans="15:30">
      <c r="O680" s="1"/>
      <c r="P680" s="1"/>
      <c r="Q680" s="1"/>
      <c r="R680" s="1"/>
      <c r="Z680" s="103"/>
      <c r="AA680" s="103"/>
      <c r="AB680" s="1"/>
    </row>
    <row r="681" spans="15:30">
      <c r="O681" s="1"/>
      <c r="P681" s="1"/>
      <c r="Q681" s="1"/>
      <c r="R681" s="1"/>
      <c r="Z681" s="103"/>
      <c r="AA681" s="103"/>
      <c r="AB681" s="1"/>
    </row>
    <row r="682" spans="15:30">
      <c r="O682" s="1"/>
      <c r="P682" s="1"/>
      <c r="Q682" s="1"/>
      <c r="R682" s="1"/>
      <c r="Z682" s="103"/>
      <c r="AA682" s="103"/>
      <c r="AB682" s="1"/>
    </row>
    <row r="683" spans="15:30">
      <c r="O683" s="1"/>
      <c r="P683" s="1"/>
      <c r="Q683" s="1"/>
      <c r="R683" s="1"/>
      <c r="Z683" s="103"/>
      <c r="AA683" s="103"/>
      <c r="AB683" s="1"/>
    </row>
    <row r="684" spans="15:30">
      <c r="O684" s="1"/>
      <c r="P684" s="1"/>
      <c r="Q684" s="1"/>
      <c r="R684" s="1"/>
      <c r="Z684" s="103"/>
      <c r="AA684" s="103"/>
      <c r="AB684" s="1"/>
    </row>
    <row r="685" spans="15:30">
      <c r="O685" s="1"/>
      <c r="P685" s="1"/>
      <c r="Q685" s="1"/>
      <c r="R685" s="1"/>
      <c r="Z685" s="103"/>
      <c r="AA685" s="103"/>
      <c r="AB685" s="1"/>
    </row>
    <row r="686" spans="15:30">
      <c r="O686" s="1"/>
      <c r="P686" s="1"/>
      <c r="Q686" s="1"/>
      <c r="R686" s="1"/>
      <c r="Z686" s="103"/>
      <c r="AA686" s="103"/>
      <c r="AB686" s="1"/>
    </row>
    <row r="687" spans="15:30">
      <c r="O687" s="1"/>
      <c r="P687" s="1"/>
      <c r="Q687" s="1"/>
      <c r="R687" s="1"/>
      <c r="Z687" s="103"/>
      <c r="AA687" s="103"/>
      <c r="AB687" s="1"/>
    </row>
    <row r="688" spans="15:30">
      <c r="O688" s="1"/>
      <c r="P688" s="1"/>
      <c r="Q688" s="1"/>
      <c r="R688" s="1"/>
      <c r="Z688" s="103"/>
      <c r="AA688" s="103"/>
      <c r="AB688" s="1"/>
      <c r="AD688" s="102"/>
    </row>
    <row r="689" spans="15:28">
      <c r="O689" s="1"/>
      <c r="P689" s="1"/>
      <c r="Q689" s="1"/>
      <c r="R689" s="1"/>
      <c r="Z689" s="103"/>
      <c r="AA689" s="103"/>
      <c r="AB689" s="1"/>
    </row>
    <row r="690" spans="15:28">
      <c r="O690" s="1"/>
      <c r="P690" s="1"/>
      <c r="Q690" s="1"/>
      <c r="R690" s="1"/>
      <c r="Z690" s="103"/>
      <c r="AA690" s="103"/>
      <c r="AB690" s="1"/>
    </row>
    <row r="691" spans="15:28">
      <c r="O691" s="1"/>
      <c r="P691" s="1"/>
      <c r="Q691" s="1"/>
      <c r="R691" s="1"/>
      <c r="Z691" s="103"/>
      <c r="AA691" s="103"/>
      <c r="AB691" s="1"/>
    </row>
    <row r="692" spans="15:28">
      <c r="O692" s="1"/>
      <c r="P692" s="1"/>
      <c r="Q692" s="1"/>
      <c r="R692" s="1"/>
      <c r="Z692" s="103"/>
      <c r="AA692" s="103"/>
      <c r="AB692" s="1"/>
    </row>
    <row r="693" spans="15:28">
      <c r="O693" s="1"/>
      <c r="P693" s="1"/>
      <c r="Q693" s="1"/>
      <c r="R693" s="1"/>
      <c r="Z693" s="103"/>
      <c r="AA693" s="103"/>
      <c r="AB693" s="1"/>
    </row>
    <row r="694" spans="15:28">
      <c r="O694" s="1"/>
      <c r="P694" s="1"/>
      <c r="Q694" s="1"/>
      <c r="R694" s="1"/>
      <c r="Z694" s="103"/>
      <c r="AA694" s="103"/>
      <c r="AB694" s="1"/>
    </row>
    <row r="695" spans="15:28">
      <c r="O695" s="1"/>
      <c r="P695" s="1"/>
      <c r="Q695" s="1"/>
      <c r="R695" s="1"/>
      <c r="Z695" s="103"/>
      <c r="AA695" s="103"/>
      <c r="AB695" s="1"/>
    </row>
    <row r="696" spans="15:28">
      <c r="O696" s="1"/>
      <c r="P696" s="1"/>
      <c r="Q696" s="1"/>
      <c r="R696" s="1"/>
      <c r="Z696" s="103"/>
      <c r="AA696" s="103"/>
      <c r="AB696" s="1"/>
    </row>
    <row r="697" spans="15:28">
      <c r="O697" s="1"/>
      <c r="P697" s="1"/>
      <c r="Q697" s="1"/>
      <c r="R697" s="1"/>
      <c r="Z697" s="103"/>
      <c r="AA697" s="103"/>
      <c r="AB697" s="1"/>
    </row>
    <row r="698" spans="15:28">
      <c r="O698" s="1"/>
      <c r="P698" s="1"/>
      <c r="Q698" s="1"/>
      <c r="R698" s="1"/>
      <c r="Z698" s="103"/>
      <c r="AA698" s="103"/>
      <c r="AB698" s="1"/>
    </row>
    <row r="699" spans="15:28">
      <c r="O699" s="1"/>
      <c r="P699" s="1"/>
      <c r="Q699" s="1"/>
      <c r="R699" s="1"/>
      <c r="Z699" s="103"/>
      <c r="AA699" s="103"/>
      <c r="AB699" s="1"/>
    </row>
    <row r="700" spans="15:28">
      <c r="O700" s="1"/>
      <c r="P700" s="1"/>
      <c r="Q700" s="1"/>
      <c r="R700" s="1"/>
      <c r="Z700" s="103"/>
      <c r="AA700" s="103"/>
      <c r="AB700" s="1"/>
    </row>
    <row r="701" spans="15:28">
      <c r="O701" s="1"/>
      <c r="P701" s="1"/>
      <c r="Q701" s="1"/>
      <c r="R701" s="1"/>
      <c r="Z701" s="103"/>
      <c r="AA701" s="103"/>
      <c r="AB701" s="1"/>
    </row>
    <row r="702" spans="15:28">
      <c r="O702" s="1"/>
      <c r="P702" s="1"/>
      <c r="Q702" s="1"/>
      <c r="R702" s="1"/>
      <c r="Z702" s="103"/>
      <c r="AA702" s="103"/>
      <c r="AB702" s="1"/>
    </row>
    <row r="703" spans="15:28">
      <c r="O703" s="1"/>
      <c r="P703" s="1"/>
      <c r="Q703" s="1"/>
      <c r="R703" s="1"/>
      <c r="Z703" s="103"/>
      <c r="AA703" s="103"/>
      <c r="AB703" s="1"/>
    </row>
    <row r="704" spans="15:28">
      <c r="O704" s="1"/>
      <c r="P704" s="1"/>
      <c r="Q704" s="1"/>
      <c r="R704" s="1"/>
      <c r="Z704" s="103"/>
      <c r="AA704" s="103"/>
      <c r="AB704" s="1"/>
    </row>
    <row r="705" spans="15:28">
      <c r="O705" s="1"/>
      <c r="P705" s="1"/>
      <c r="Q705" s="1"/>
      <c r="R705" s="1"/>
      <c r="Z705" s="103"/>
      <c r="AA705" s="103"/>
      <c r="AB705" s="1"/>
    </row>
    <row r="706" spans="15:28">
      <c r="O706" s="1"/>
      <c r="P706" s="1"/>
      <c r="Q706" s="1"/>
      <c r="R706" s="1"/>
      <c r="Z706" s="103"/>
      <c r="AA706" s="103"/>
      <c r="AB706" s="1"/>
    </row>
    <row r="707" spans="15:28">
      <c r="O707" s="1"/>
      <c r="P707" s="1"/>
      <c r="Q707" s="1"/>
      <c r="R707" s="1"/>
      <c r="Z707" s="103"/>
      <c r="AA707" s="103"/>
      <c r="AB707" s="1"/>
    </row>
    <row r="708" spans="15:28">
      <c r="O708" s="1"/>
      <c r="P708" s="1"/>
      <c r="Q708" s="1"/>
      <c r="R708" s="1"/>
      <c r="Z708" s="103"/>
      <c r="AA708" s="103"/>
      <c r="AB708" s="1"/>
    </row>
    <row r="709" spans="15:28">
      <c r="O709" s="1"/>
      <c r="P709" s="1"/>
      <c r="Q709" s="1"/>
      <c r="R709" s="1"/>
      <c r="Z709" s="103"/>
      <c r="AA709" s="103"/>
      <c r="AB709" s="1"/>
    </row>
    <row r="710" spans="15:28">
      <c r="O710" s="1"/>
      <c r="P710" s="1"/>
      <c r="Q710" s="1"/>
      <c r="R710" s="1"/>
      <c r="Z710" s="103"/>
      <c r="AA710" s="103"/>
      <c r="AB710" s="1"/>
    </row>
    <row r="711" spans="15:28">
      <c r="O711" s="1"/>
      <c r="P711" s="1"/>
      <c r="Q711" s="1"/>
      <c r="R711" s="1"/>
      <c r="Z711" s="103"/>
      <c r="AA711" s="103"/>
      <c r="AB711" s="1"/>
    </row>
    <row r="712" spans="15:28">
      <c r="O712" s="1"/>
      <c r="P712" s="1"/>
      <c r="Q712" s="1"/>
      <c r="R712" s="1"/>
      <c r="Z712" s="103"/>
      <c r="AA712" s="103"/>
      <c r="AB712" s="1"/>
    </row>
    <row r="713" spans="15:28">
      <c r="O713" s="1"/>
      <c r="P713" s="1"/>
      <c r="Q713" s="1"/>
      <c r="R713" s="1"/>
      <c r="Z713" s="103"/>
      <c r="AA713" s="103"/>
      <c r="AB713" s="1"/>
    </row>
    <row r="714" spans="15:28">
      <c r="O714" s="1"/>
      <c r="P714" s="1"/>
      <c r="Q714" s="1"/>
      <c r="R714" s="1"/>
      <c r="Z714" s="103"/>
      <c r="AA714" s="103"/>
      <c r="AB714" s="1"/>
    </row>
    <row r="715" spans="15:28">
      <c r="O715" s="1"/>
      <c r="P715" s="1"/>
      <c r="Q715" s="1"/>
      <c r="R715" s="1"/>
      <c r="Z715" s="103"/>
      <c r="AA715" s="103"/>
      <c r="AB715" s="1"/>
    </row>
    <row r="716" spans="15:28">
      <c r="O716" s="1"/>
      <c r="P716" s="1"/>
      <c r="Q716" s="1"/>
      <c r="R716" s="1"/>
      <c r="Z716" s="103"/>
      <c r="AA716" s="103"/>
      <c r="AB716" s="1"/>
    </row>
    <row r="717" spans="15:28">
      <c r="O717" s="1"/>
      <c r="P717" s="1"/>
      <c r="Q717" s="1"/>
      <c r="R717" s="1"/>
      <c r="Z717" s="103"/>
      <c r="AA717" s="103"/>
      <c r="AB717" s="1"/>
    </row>
    <row r="718" spans="15:28">
      <c r="O718" s="1"/>
      <c r="P718" s="1"/>
      <c r="Q718" s="1"/>
      <c r="R718" s="1"/>
      <c r="Z718" s="103"/>
      <c r="AA718" s="103"/>
      <c r="AB718" s="1"/>
    </row>
    <row r="719" spans="15:28">
      <c r="O719" s="1"/>
      <c r="P719" s="1"/>
      <c r="Q719" s="1"/>
      <c r="R719" s="1"/>
      <c r="Z719" s="103"/>
      <c r="AA719" s="103"/>
      <c r="AB719" s="1"/>
    </row>
    <row r="720" spans="15:28">
      <c r="O720" s="1"/>
      <c r="P720" s="1"/>
      <c r="Q720" s="1"/>
      <c r="R720" s="1"/>
      <c r="Z720" s="103"/>
      <c r="AA720" s="103"/>
      <c r="AB720" s="1"/>
    </row>
    <row r="721" spans="15:30">
      <c r="O721" s="1"/>
      <c r="P721" s="1"/>
      <c r="Q721" s="1"/>
      <c r="R721" s="1"/>
      <c r="Z721" s="103"/>
      <c r="AA721" s="103"/>
      <c r="AB721" s="1"/>
    </row>
    <row r="722" spans="15:30">
      <c r="O722" s="1"/>
      <c r="P722" s="1"/>
      <c r="Q722" s="1"/>
      <c r="R722" s="1"/>
      <c r="Z722" s="103"/>
      <c r="AA722" s="103"/>
      <c r="AB722" s="1"/>
    </row>
    <row r="723" spans="15:30">
      <c r="O723" s="1"/>
      <c r="P723" s="1"/>
      <c r="Q723" s="1"/>
      <c r="R723" s="1"/>
      <c r="Z723" s="103"/>
      <c r="AA723" s="103"/>
      <c r="AB723" s="1"/>
      <c r="AD723" s="102"/>
    </row>
    <row r="724" spans="15:30">
      <c r="O724" s="1"/>
      <c r="P724" s="1"/>
      <c r="Q724" s="1"/>
      <c r="R724" s="1"/>
      <c r="Z724" s="103"/>
      <c r="AA724" s="103"/>
      <c r="AB724" s="1"/>
    </row>
    <row r="725" spans="15:30">
      <c r="O725" s="1"/>
      <c r="P725" s="1"/>
      <c r="Q725" s="1"/>
      <c r="R725" s="1"/>
      <c r="Z725" s="103"/>
      <c r="AA725" s="103"/>
      <c r="AB725" s="1"/>
    </row>
    <row r="726" spans="15:30">
      <c r="O726" s="1"/>
      <c r="P726" s="1"/>
      <c r="Q726" s="1"/>
      <c r="R726" s="1"/>
      <c r="Z726" s="103"/>
      <c r="AA726" s="103"/>
      <c r="AB726" s="1"/>
    </row>
    <row r="727" spans="15:30">
      <c r="O727" s="1"/>
      <c r="P727" s="1"/>
      <c r="Q727" s="1"/>
      <c r="R727" s="1"/>
      <c r="Z727" s="103"/>
      <c r="AA727" s="103"/>
      <c r="AB727" s="1"/>
    </row>
    <row r="728" spans="15:30">
      <c r="O728" s="1"/>
      <c r="P728" s="1"/>
      <c r="Q728" s="1"/>
      <c r="R728" s="1"/>
      <c r="Z728" s="103"/>
      <c r="AA728" s="103"/>
      <c r="AB728" s="1"/>
    </row>
    <row r="729" spans="15:30">
      <c r="O729" s="1"/>
      <c r="P729" s="1"/>
      <c r="Q729" s="1"/>
      <c r="R729" s="1"/>
      <c r="Z729" s="103"/>
      <c r="AA729" s="103"/>
      <c r="AB729" s="1"/>
    </row>
    <row r="730" spans="15:30">
      <c r="O730" s="1"/>
      <c r="P730" s="1"/>
      <c r="Q730" s="1"/>
      <c r="R730" s="1"/>
      <c r="Z730" s="103"/>
      <c r="AA730" s="103"/>
      <c r="AB730" s="1"/>
      <c r="AD730" s="102"/>
    </row>
    <row r="731" spans="15:30">
      <c r="O731" s="1"/>
      <c r="P731" s="1"/>
      <c r="Q731" s="1"/>
      <c r="R731" s="1"/>
      <c r="Z731" s="103"/>
      <c r="AA731" s="103"/>
      <c r="AB731" s="1"/>
    </row>
    <row r="732" spans="15:30">
      <c r="O732" s="1"/>
      <c r="P732" s="1"/>
      <c r="Q732" s="1"/>
      <c r="R732" s="1"/>
      <c r="Z732" s="103"/>
      <c r="AA732" s="103"/>
      <c r="AB732" s="1"/>
    </row>
    <row r="733" spans="15:30">
      <c r="O733" s="1"/>
      <c r="P733" s="1"/>
      <c r="Q733" s="1"/>
      <c r="R733" s="1"/>
      <c r="Z733" s="103"/>
      <c r="AA733" s="103"/>
      <c r="AB733" s="1"/>
    </row>
    <row r="734" spans="15:30">
      <c r="O734" s="1"/>
      <c r="P734" s="1"/>
      <c r="Q734" s="1"/>
      <c r="R734" s="1"/>
      <c r="Z734" s="103"/>
      <c r="AA734" s="103"/>
      <c r="AB734" s="1"/>
    </row>
    <row r="735" spans="15:30">
      <c r="O735" s="1"/>
      <c r="P735" s="1"/>
      <c r="Q735" s="1"/>
      <c r="R735" s="1"/>
      <c r="Z735" s="103"/>
      <c r="AA735" s="103"/>
      <c r="AB735" s="1"/>
    </row>
    <row r="736" spans="15:30">
      <c r="O736" s="1"/>
      <c r="P736" s="1"/>
      <c r="Q736" s="1"/>
      <c r="R736" s="1"/>
      <c r="Z736" s="103"/>
      <c r="AA736" s="103"/>
      <c r="AB736" s="1"/>
    </row>
    <row r="737" spans="15:28">
      <c r="O737" s="1"/>
      <c r="P737" s="1"/>
      <c r="Q737" s="1"/>
      <c r="R737" s="1"/>
      <c r="Z737" s="103"/>
      <c r="AA737" s="103"/>
      <c r="AB737" s="1"/>
    </row>
    <row r="738" spans="15:28">
      <c r="O738" s="1"/>
      <c r="P738" s="1"/>
      <c r="Q738" s="1"/>
      <c r="R738" s="1"/>
      <c r="Z738" s="103"/>
      <c r="AA738" s="103"/>
      <c r="AB738" s="1"/>
    </row>
    <row r="739" spans="15:28">
      <c r="O739" s="1"/>
      <c r="P739" s="1"/>
      <c r="Q739" s="1"/>
      <c r="R739" s="1"/>
      <c r="Z739" s="103"/>
      <c r="AA739" s="103"/>
      <c r="AB739" s="1"/>
    </row>
    <row r="740" spans="15:28">
      <c r="O740" s="1"/>
      <c r="P740" s="1"/>
      <c r="Q740" s="1"/>
      <c r="R740" s="1"/>
      <c r="Z740" s="103"/>
      <c r="AA740" s="103"/>
      <c r="AB740" s="1"/>
    </row>
    <row r="741" spans="15:28">
      <c r="O741" s="1"/>
      <c r="P741" s="1"/>
      <c r="Q741" s="1"/>
      <c r="R741" s="1"/>
      <c r="Z741" s="103"/>
      <c r="AA741" s="103"/>
      <c r="AB741" s="1"/>
    </row>
    <row r="742" spans="15:28">
      <c r="O742" s="1"/>
      <c r="P742" s="1"/>
      <c r="Q742" s="1"/>
      <c r="R742" s="1"/>
      <c r="Z742" s="103"/>
      <c r="AA742" s="103"/>
      <c r="AB742" s="1"/>
    </row>
    <row r="743" spans="15:28">
      <c r="O743" s="1"/>
      <c r="P743" s="1"/>
      <c r="Q743" s="1"/>
      <c r="R743" s="1"/>
      <c r="Z743" s="103"/>
      <c r="AA743" s="103"/>
      <c r="AB743" s="1"/>
    </row>
    <row r="744" spans="15:28">
      <c r="O744" s="1"/>
      <c r="P744" s="1"/>
      <c r="Q744" s="1"/>
      <c r="R744" s="1"/>
      <c r="Z744" s="103"/>
      <c r="AA744" s="103"/>
      <c r="AB744" s="1"/>
    </row>
    <row r="745" spans="15:28">
      <c r="O745" s="1"/>
      <c r="P745" s="1"/>
      <c r="Q745" s="1"/>
      <c r="R745" s="1"/>
      <c r="Z745" s="103"/>
      <c r="AA745" s="103"/>
      <c r="AB745" s="1"/>
    </row>
    <row r="746" spans="15:28">
      <c r="O746" s="1"/>
      <c r="P746" s="1"/>
      <c r="Q746" s="1"/>
      <c r="R746" s="1"/>
      <c r="Z746" s="103"/>
      <c r="AA746" s="103"/>
      <c r="AB746" s="1"/>
    </row>
    <row r="747" spans="15:28">
      <c r="O747" s="1"/>
      <c r="P747" s="1"/>
      <c r="Q747" s="1"/>
      <c r="R747" s="1"/>
      <c r="Z747" s="103"/>
      <c r="AA747" s="103"/>
      <c r="AB747" s="1"/>
    </row>
    <row r="748" spans="15:28">
      <c r="O748" s="1"/>
      <c r="P748" s="1"/>
      <c r="Q748" s="1"/>
      <c r="R748" s="1"/>
      <c r="Z748" s="103"/>
      <c r="AA748" s="103"/>
      <c r="AB748" s="1"/>
    </row>
    <row r="749" spans="15:28">
      <c r="O749" s="1"/>
      <c r="P749" s="1"/>
      <c r="Q749" s="1"/>
      <c r="R749" s="1"/>
      <c r="Z749" s="103"/>
      <c r="AA749" s="103"/>
      <c r="AB749" s="1"/>
    </row>
    <row r="750" spans="15:28">
      <c r="O750" s="1"/>
      <c r="P750" s="1"/>
      <c r="Q750" s="1"/>
      <c r="R750" s="1"/>
      <c r="Z750" s="103"/>
      <c r="AA750" s="103"/>
      <c r="AB750" s="1"/>
    </row>
    <row r="751" spans="15:28">
      <c r="O751" s="1"/>
      <c r="P751" s="1"/>
      <c r="Q751" s="1"/>
      <c r="R751" s="1"/>
      <c r="Z751" s="103"/>
      <c r="AA751" s="103"/>
      <c r="AB751" s="1"/>
    </row>
    <row r="752" spans="15:28">
      <c r="O752" s="1"/>
      <c r="P752" s="1"/>
      <c r="Q752" s="1"/>
      <c r="R752" s="1"/>
      <c r="Z752" s="103"/>
      <c r="AA752" s="103"/>
      <c r="AB752" s="1"/>
    </row>
    <row r="753" spans="15:28">
      <c r="O753" s="1"/>
      <c r="P753" s="1"/>
      <c r="Q753" s="1"/>
      <c r="R753" s="1"/>
      <c r="Z753" s="103"/>
      <c r="AA753" s="103"/>
      <c r="AB753" s="1"/>
    </row>
    <row r="754" spans="15:28">
      <c r="O754" s="1"/>
      <c r="P754" s="1"/>
      <c r="Q754" s="1"/>
      <c r="R754" s="1"/>
      <c r="Z754" s="103"/>
      <c r="AA754" s="103"/>
      <c r="AB754" s="1"/>
    </row>
    <row r="755" spans="15:28">
      <c r="O755" s="1"/>
      <c r="P755" s="1"/>
      <c r="Q755" s="1"/>
      <c r="R755" s="1"/>
      <c r="Z755" s="103"/>
      <c r="AA755" s="103"/>
      <c r="AB755" s="1"/>
    </row>
    <row r="756" spans="15:28">
      <c r="O756" s="1"/>
      <c r="P756" s="1"/>
      <c r="Q756" s="1"/>
      <c r="R756" s="1"/>
      <c r="Z756" s="103"/>
      <c r="AA756" s="103"/>
      <c r="AB756" s="1"/>
    </row>
    <row r="757" spans="15:28">
      <c r="O757" s="1"/>
      <c r="P757" s="1"/>
      <c r="Q757" s="1"/>
      <c r="R757" s="1"/>
      <c r="Z757" s="103"/>
      <c r="AA757" s="103"/>
      <c r="AB757" s="1"/>
    </row>
    <row r="758" spans="15:28">
      <c r="O758" s="1"/>
      <c r="P758" s="1"/>
      <c r="Q758" s="1"/>
      <c r="R758" s="1"/>
      <c r="Z758" s="103"/>
      <c r="AA758" s="103"/>
      <c r="AB758" s="1"/>
    </row>
    <row r="759" spans="15:28">
      <c r="O759" s="1"/>
      <c r="P759" s="1"/>
      <c r="Q759" s="1"/>
      <c r="R759" s="1"/>
      <c r="Z759" s="103"/>
      <c r="AA759" s="103"/>
      <c r="AB759" s="1"/>
    </row>
    <row r="760" spans="15:28">
      <c r="O760" s="1"/>
      <c r="P760" s="1"/>
      <c r="Q760" s="1"/>
      <c r="R760" s="1"/>
      <c r="Z760" s="103"/>
      <c r="AA760" s="103"/>
      <c r="AB760" s="1"/>
    </row>
    <row r="761" spans="15:28">
      <c r="O761" s="1"/>
      <c r="P761" s="1"/>
      <c r="Q761" s="1"/>
      <c r="R761" s="1"/>
      <c r="Z761" s="103"/>
      <c r="AA761" s="103"/>
      <c r="AB761" s="1"/>
    </row>
    <row r="762" spans="15:28">
      <c r="O762" s="1"/>
      <c r="P762" s="1"/>
      <c r="Q762" s="1"/>
      <c r="R762" s="1"/>
      <c r="Z762" s="103"/>
      <c r="AA762" s="103"/>
      <c r="AB762" s="1"/>
    </row>
    <row r="763" spans="15:28">
      <c r="O763" s="1"/>
      <c r="P763" s="1"/>
      <c r="Q763" s="1"/>
      <c r="R763" s="1"/>
      <c r="Z763" s="103"/>
      <c r="AA763" s="103"/>
      <c r="AB763" s="1"/>
    </row>
    <row r="764" spans="15:28">
      <c r="O764" s="1"/>
      <c r="P764" s="1"/>
      <c r="Q764" s="1"/>
      <c r="R764" s="1"/>
      <c r="Z764" s="103"/>
      <c r="AA764" s="103"/>
      <c r="AB764" s="1"/>
    </row>
    <row r="765" spans="15:28">
      <c r="O765" s="1"/>
      <c r="P765" s="1"/>
      <c r="Q765" s="1"/>
      <c r="R765" s="1"/>
      <c r="Z765" s="103"/>
      <c r="AA765" s="103"/>
      <c r="AB765" s="1"/>
    </row>
    <row r="766" spans="15:28">
      <c r="O766" s="1"/>
      <c r="P766" s="1"/>
      <c r="Q766" s="1"/>
      <c r="R766" s="1"/>
      <c r="Z766" s="103"/>
      <c r="AA766" s="103"/>
      <c r="AB766" s="1"/>
    </row>
    <row r="767" spans="15:28">
      <c r="O767" s="1"/>
      <c r="P767" s="1"/>
      <c r="Q767" s="1"/>
      <c r="R767" s="1"/>
      <c r="Z767" s="103"/>
      <c r="AA767" s="103"/>
      <c r="AB767" s="1"/>
    </row>
    <row r="768" spans="15:28">
      <c r="O768" s="1"/>
      <c r="P768" s="1"/>
      <c r="Q768" s="1"/>
      <c r="R768" s="1"/>
      <c r="Z768" s="103"/>
      <c r="AA768" s="103"/>
      <c r="AB768" s="1"/>
    </row>
    <row r="769" spans="15:28">
      <c r="O769" s="1"/>
      <c r="P769" s="1"/>
      <c r="Q769" s="1"/>
      <c r="R769" s="1"/>
      <c r="Z769" s="103"/>
      <c r="AA769" s="103"/>
      <c r="AB769" s="1"/>
    </row>
    <row r="770" spans="15:28">
      <c r="O770" s="1"/>
      <c r="P770" s="1"/>
      <c r="Q770" s="1"/>
      <c r="R770" s="1"/>
      <c r="Z770" s="103"/>
      <c r="AA770" s="103"/>
      <c r="AB770" s="1"/>
    </row>
    <row r="771" spans="15:28">
      <c r="O771" s="1"/>
      <c r="P771" s="1"/>
      <c r="Q771" s="1"/>
      <c r="R771" s="1"/>
      <c r="Z771" s="103"/>
      <c r="AA771" s="103"/>
      <c r="AB771" s="1"/>
    </row>
    <row r="772" spans="15:28">
      <c r="O772" s="1"/>
      <c r="P772" s="1"/>
      <c r="Q772" s="1"/>
      <c r="R772" s="1"/>
      <c r="Z772" s="103"/>
      <c r="AA772" s="103"/>
      <c r="AB772" s="1"/>
    </row>
    <row r="773" spans="15:28">
      <c r="O773" s="1"/>
      <c r="P773" s="1"/>
      <c r="Q773" s="1"/>
      <c r="R773" s="1"/>
      <c r="Z773" s="103"/>
      <c r="AA773" s="103"/>
      <c r="AB773" s="1"/>
    </row>
    <row r="774" spans="15:28">
      <c r="O774" s="1"/>
      <c r="P774" s="1"/>
      <c r="Q774" s="1"/>
      <c r="R774" s="1"/>
      <c r="Z774" s="103"/>
      <c r="AA774" s="103"/>
      <c r="AB774" s="1"/>
    </row>
    <row r="775" spans="15:28">
      <c r="O775" s="1"/>
      <c r="P775" s="1"/>
      <c r="Q775" s="1"/>
      <c r="R775" s="1"/>
      <c r="Z775" s="103"/>
      <c r="AA775" s="103"/>
      <c r="AB775" s="1"/>
    </row>
    <row r="776" spans="15:28">
      <c r="O776" s="1"/>
      <c r="P776" s="1"/>
      <c r="Q776" s="1"/>
      <c r="R776" s="1"/>
      <c r="Z776" s="103"/>
      <c r="AA776" s="103"/>
      <c r="AB776" s="1"/>
    </row>
    <row r="777" spans="15:28">
      <c r="O777" s="1"/>
      <c r="P777" s="1"/>
      <c r="Q777" s="1"/>
      <c r="R777" s="1"/>
      <c r="Z777" s="103"/>
      <c r="AA777" s="103"/>
      <c r="AB777" s="1"/>
    </row>
    <row r="778" spans="15:28">
      <c r="O778" s="1"/>
      <c r="P778" s="1"/>
      <c r="Q778" s="1"/>
      <c r="R778" s="1"/>
      <c r="Z778" s="103"/>
      <c r="AA778" s="103"/>
      <c r="AB778" s="1"/>
    </row>
    <row r="779" spans="15:28">
      <c r="O779" s="1"/>
      <c r="P779" s="1"/>
      <c r="Q779" s="1"/>
      <c r="R779" s="1"/>
      <c r="Z779" s="103"/>
      <c r="AA779" s="103"/>
      <c r="AB779" s="1"/>
    </row>
    <row r="780" spans="15:28">
      <c r="O780" s="1"/>
      <c r="P780" s="1"/>
      <c r="Q780" s="1"/>
      <c r="R780" s="1"/>
      <c r="Z780" s="103"/>
      <c r="AA780" s="103"/>
      <c r="AB780" s="1"/>
    </row>
    <row r="781" spans="15:28">
      <c r="O781" s="1"/>
      <c r="P781" s="1"/>
      <c r="Q781" s="1"/>
      <c r="R781" s="1"/>
      <c r="Z781" s="103"/>
      <c r="AA781" s="103"/>
      <c r="AB781" s="1"/>
    </row>
    <row r="782" spans="15:28">
      <c r="O782" s="1"/>
      <c r="P782" s="1"/>
      <c r="Q782" s="1"/>
      <c r="R782" s="1"/>
      <c r="Z782" s="103"/>
      <c r="AA782" s="103"/>
      <c r="AB782" s="1"/>
    </row>
    <row r="783" spans="15:28">
      <c r="O783" s="1"/>
      <c r="P783" s="1"/>
      <c r="Q783" s="1"/>
      <c r="R783" s="1"/>
      <c r="Z783" s="103"/>
      <c r="AA783" s="103"/>
      <c r="AB783" s="1"/>
    </row>
    <row r="784" spans="15:28">
      <c r="O784" s="1"/>
      <c r="P784" s="1"/>
      <c r="Q784" s="1"/>
      <c r="R784" s="1"/>
      <c r="Z784" s="103"/>
      <c r="AA784" s="103"/>
      <c r="AB784" s="1"/>
    </row>
    <row r="785" spans="15:30">
      <c r="O785" s="1"/>
      <c r="P785" s="1"/>
      <c r="Q785" s="1"/>
      <c r="R785" s="1"/>
      <c r="Z785" s="103"/>
      <c r="AA785" s="103"/>
      <c r="AB785" s="1"/>
    </row>
    <row r="786" spans="15:30">
      <c r="O786" s="1"/>
      <c r="P786" s="1"/>
      <c r="Q786" s="1"/>
      <c r="R786" s="1"/>
      <c r="Z786" s="103"/>
      <c r="AA786" s="103"/>
      <c r="AB786" s="1"/>
    </row>
    <row r="787" spans="15:30">
      <c r="O787" s="1"/>
      <c r="P787" s="1"/>
      <c r="Q787" s="1"/>
      <c r="R787" s="1"/>
      <c r="Z787" s="103"/>
      <c r="AA787" s="103"/>
      <c r="AB787" s="1"/>
    </row>
    <row r="788" spans="15:30">
      <c r="O788" s="1"/>
      <c r="P788" s="1"/>
      <c r="Q788" s="1"/>
      <c r="R788" s="1"/>
      <c r="Z788" s="103"/>
      <c r="AA788" s="103"/>
      <c r="AB788" s="1"/>
    </row>
    <row r="789" spans="15:30">
      <c r="O789" s="1"/>
      <c r="P789" s="1"/>
      <c r="Q789" s="1"/>
      <c r="R789" s="1"/>
      <c r="Z789" s="103"/>
      <c r="AA789" s="103"/>
      <c r="AB789" s="1"/>
    </row>
    <row r="790" spans="15:30">
      <c r="O790" s="1"/>
      <c r="P790" s="1"/>
      <c r="Q790" s="1"/>
      <c r="R790" s="1"/>
      <c r="Z790" s="103"/>
      <c r="AA790" s="103"/>
      <c r="AB790" s="1"/>
    </row>
    <row r="791" spans="15:30">
      <c r="O791" s="1"/>
      <c r="P791" s="1"/>
      <c r="Q791" s="1"/>
      <c r="R791" s="1"/>
      <c r="Z791" s="103"/>
      <c r="AA791" s="103"/>
      <c r="AB791" s="1"/>
    </row>
    <row r="792" spans="15:30">
      <c r="O792" s="1"/>
      <c r="P792" s="1"/>
      <c r="Q792" s="1"/>
      <c r="R792" s="1"/>
      <c r="Z792" s="103"/>
      <c r="AA792" s="103"/>
      <c r="AB792" s="1"/>
    </row>
    <row r="793" spans="15:30">
      <c r="O793" s="1"/>
      <c r="P793" s="1"/>
      <c r="Q793" s="1"/>
      <c r="R793" s="1"/>
      <c r="Z793" s="103"/>
      <c r="AA793" s="103"/>
      <c r="AB793" s="1"/>
    </row>
    <row r="794" spans="15:30">
      <c r="O794" s="1"/>
      <c r="P794" s="1"/>
      <c r="Q794" s="1"/>
      <c r="R794" s="1"/>
      <c r="Z794" s="103"/>
      <c r="AA794" s="103"/>
      <c r="AB794" s="1"/>
    </row>
    <row r="795" spans="15:30">
      <c r="O795" s="1"/>
      <c r="P795" s="1"/>
      <c r="Q795" s="1"/>
      <c r="R795" s="1"/>
      <c r="Z795" s="103"/>
      <c r="AA795" s="103"/>
      <c r="AB795" s="1"/>
    </row>
    <row r="796" spans="15:30">
      <c r="O796" s="1"/>
      <c r="P796" s="1"/>
      <c r="Q796" s="1"/>
      <c r="R796" s="1"/>
      <c r="Z796" s="103"/>
      <c r="AA796" s="103"/>
      <c r="AB796" s="1"/>
    </row>
    <row r="797" spans="15:30">
      <c r="O797" s="1"/>
      <c r="P797" s="1"/>
      <c r="Q797" s="1"/>
      <c r="R797" s="1"/>
      <c r="Z797" s="103"/>
      <c r="AA797" s="103"/>
      <c r="AB797" s="1"/>
      <c r="AD797" s="102"/>
    </row>
    <row r="798" spans="15:30">
      <c r="O798" s="1"/>
      <c r="P798" s="1"/>
      <c r="Q798" s="1"/>
      <c r="R798" s="1"/>
      <c r="Z798" s="103"/>
      <c r="AA798" s="103"/>
      <c r="AB798" s="1"/>
    </row>
    <row r="799" spans="15:30">
      <c r="O799" s="1"/>
      <c r="P799" s="1"/>
      <c r="Q799" s="1"/>
      <c r="R799" s="1"/>
      <c r="Z799" s="103"/>
      <c r="AA799" s="103"/>
      <c r="AB799" s="1"/>
    </row>
    <row r="800" spans="15:30">
      <c r="O800" s="1"/>
      <c r="P800" s="1"/>
      <c r="Q800" s="1"/>
      <c r="R800" s="1"/>
      <c r="Z800" s="103"/>
      <c r="AA800" s="103"/>
      <c r="AB800" s="1"/>
    </row>
    <row r="801" spans="15:28">
      <c r="O801" s="1"/>
      <c r="P801" s="1"/>
      <c r="Q801" s="1"/>
      <c r="R801" s="1"/>
      <c r="Z801" s="103"/>
      <c r="AA801" s="103"/>
      <c r="AB801" s="1"/>
    </row>
    <row r="802" spans="15:28">
      <c r="O802" s="1"/>
      <c r="P802" s="1"/>
      <c r="Q802" s="1"/>
      <c r="R802" s="1"/>
      <c r="Z802" s="103"/>
      <c r="AA802" s="103"/>
      <c r="AB802" s="1"/>
    </row>
    <row r="803" spans="15:28">
      <c r="O803" s="1"/>
      <c r="P803" s="1"/>
      <c r="Q803" s="1"/>
      <c r="R803" s="1"/>
      <c r="Z803" s="103"/>
      <c r="AA803" s="103"/>
      <c r="AB803" s="1"/>
    </row>
    <row r="804" spans="15:28">
      <c r="O804" s="1"/>
      <c r="P804" s="1"/>
      <c r="Q804" s="1"/>
      <c r="R804" s="1"/>
      <c r="Z804" s="103"/>
      <c r="AA804" s="103"/>
      <c r="AB804" s="1"/>
    </row>
    <row r="805" spans="15:28">
      <c r="O805" s="1"/>
      <c r="P805" s="1"/>
      <c r="Q805" s="1"/>
      <c r="R805" s="1"/>
      <c r="Z805" s="103"/>
      <c r="AA805" s="103"/>
      <c r="AB805" s="1"/>
    </row>
    <row r="806" spans="15:28">
      <c r="O806" s="1"/>
      <c r="P806" s="1"/>
      <c r="Q806" s="1"/>
      <c r="R806" s="1"/>
      <c r="Z806" s="103"/>
      <c r="AA806" s="103"/>
      <c r="AB806" s="1"/>
    </row>
    <row r="807" spans="15:28">
      <c r="O807" s="1"/>
      <c r="P807" s="1"/>
      <c r="Q807" s="1"/>
      <c r="R807" s="1"/>
      <c r="Z807" s="103"/>
      <c r="AA807" s="103"/>
      <c r="AB807" s="1"/>
    </row>
    <row r="808" spans="15:28">
      <c r="O808" s="1"/>
      <c r="P808" s="1"/>
      <c r="Q808" s="1"/>
      <c r="R808" s="1"/>
      <c r="Z808" s="103"/>
      <c r="AA808" s="103"/>
      <c r="AB808" s="1"/>
    </row>
    <row r="809" spans="15:28">
      <c r="O809" s="1"/>
      <c r="P809" s="1"/>
      <c r="Q809" s="1"/>
      <c r="R809" s="1"/>
      <c r="Z809" s="103"/>
      <c r="AA809" s="103"/>
      <c r="AB809" s="1"/>
    </row>
    <row r="810" spans="15:28">
      <c r="O810" s="1"/>
      <c r="P810" s="1"/>
      <c r="Q810" s="1"/>
      <c r="R810" s="1"/>
      <c r="Z810" s="103"/>
      <c r="AA810" s="103"/>
      <c r="AB810" s="1"/>
    </row>
    <row r="811" spans="15:28">
      <c r="O811" s="1"/>
      <c r="P811" s="1"/>
      <c r="Q811" s="1"/>
      <c r="R811" s="1"/>
      <c r="Z811" s="103"/>
      <c r="AA811" s="103"/>
      <c r="AB811" s="1"/>
    </row>
    <row r="812" spans="15:28">
      <c r="O812" s="1"/>
      <c r="P812" s="1"/>
      <c r="Q812" s="1"/>
      <c r="R812" s="1"/>
      <c r="Z812" s="103"/>
      <c r="AA812" s="103"/>
      <c r="AB812" s="1"/>
    </row>
    <row r="813" spans="15:28">
      <c r="O813" s="1"/>
      <c r="P813" s="1"/>
      <c r="Q813" s="1"/>
      <c r="R813" s="1"/>
      <c r="Z813" s="103"/>
      <c r="AA813" s="103"/>
      <c r="AB813" s="1"/>
    </row>
    <row r="814" spans="15:28">
      <c r="O814" s="1"/>
      <c r="P814" s="1"/>
      <c r="Q814" s="1"/>
      <c r="R814" s="1"/>
      <c r="Z814" s="103"/>
      <c r="AA814" s="103"/>
      <c r="AB814" s="1"/>
    </row>
    <row r="815" spans="15:28">
      <c r="O815" s="1"/>
      <c r="P815" s="1"/>
      <c r="Q815" s="1"/>
      <c r="R815" s="1"/>
      <c r="Z815" s="103"/>
      <c r="AA815" s="103"/>
      <c r="AB815" s="1"/>
    </row>
    <row r="816" spans="15:28">
      <c r="O816" s="1"/>
      <c r="P816" s="1"/>
      <c r="Q816" s="1"/>
      <c r="R816" s="1"/>
      <c r="Z816" s="103"/>
      <c r="AA816" s="103"/>
      <c r="AB816" s="1"/>
    </row>
    <row r="817" spans="15:30">
      <c r="O817" s="1"/>
      <c r="P817" s="1"/>
      <c r="Q817" s="1"/>
      <c r="R817" s="1"/>
      <c r="Z817" s="103"/>
      <c r="AA817" s="103"/>
      <c r="AB817" s="1"/>
    </row>
    <row r="818" spans="15:30">
      <c r="O818" s="1"/>
      <c r="P818" s="1"/>
      <c r="Q818" s="1"/>
      <c r="R818" s="1"/>
      <c r="Z818" s="103"/>
      <c r="AA818" s="103"/>
      <c r="AB818" s="1"/>
    </row>
    <row r="819" spans="15:30">
      <c r="O819" s="1"/>
      <c r="P819" s="1"/>
      <c r="Q819" s="1"/>
      <c r="R819" s="1"/>
      <c r="Z819" s="103"/>
      <c r="AA819" s="103"/>
      <c r="AB819" s="1"/>
    </row>
    <row r="820" spans="15:30">
      <c r="O820" s="1"/>
      <c r="P820" s="1"/>
      <c r="Q820" s="1"/>
      <c r="R820" s="1"/>
      <c r="Z820" s="103"/>
      <c r="AA820" s="103"/>
      <c r="AB820" s="1"/>
    </row>
    <row r="821" spans="15:30">
      <c r="O821" s="1"/>
      <c r="P821" s="1"/>
      <c r="Q821" s="1"/>
      <c r="R821" s="1"/>
      <c r="Z821" s="103"/>
      <c r="AA821" s="103"/>
      <c r="AB821" s="1"/>
    </row>
    <row r="822" spans="15:30">
      <c r="O822" s="1"/>
      <c r="P822" s="1"/>
      <c r="Q822" s="1"/>
      <c r="R822" s="1"/>
      <c r="Z822" s="103"/>
      <c r="AA822" s="103"/>
      <c r="AB822" s="1"/>
    </row>
    <row r="823" spans="15:30">
      <c r="O823" s="1"/>
      <c r="P823" s="1"/>
      <c r="Q823" s="1"/>
      <c r="R823" s="1"/>
      <c r="Z823" s="103"/>
      <c r="AA823" s="103"/>
      <c r="AB823" s="1"/>
    </row>
    <row r="824" spans="15:30">
      <c r="O824" s="1"/>
      <c r="P824" s="1"/>
      <c r="Q824" s="1"/>
      <c r="R824" s="1"/>
      <c r="Z824" s="103"/>
      <c r="AA824" s="103"/>
      <c r="AB824" s="1"/>
    </row>
    <row r="825" spans="15:30">
      <c r="O825" s="1"/>
      <c r="P825" s="1"/>
      <c r="Q825" s="1"/>
      <c r="R825" s="1"/>
      <c r="Z825" s="103"/>
      <c r="AA825" s="103"/>
      <c r="AB825" s="1"/>
    </row>
    <row r="826" spans="15:30">
      <c r="O826" s="1"/>
      <c r="P826" s="1"/>
      <c r="Q826" s="1"/>
      <c r="R826" s="1"/>
      <c r="Z826" s="103"/>
      <c r="AA826" s="103"/>
      <c r="AB826" s="1"/>
      <c r="AD826" s="102"/>
    </row>
    <row r="827" spans="15:30">
      <c r="O827" s="1"/>
      <c r="P827" s="1"/>
      <c r="Q827" s="1"/>
      <c r="R827" s="1"/>
      <c r="Z827" s="103"/>
      <c r="AA827" s="103"/>
      <c r="AB827" s="1"/>
    </row>
    <row r="828" spans="15:30">
      <c r="O828" s="1"/>
      <c r="P828" s="1"/>
      <c r="Q828" s="1"/>
      <c r="R828" s="1"/>
      <c r="Z828" s="103"/>
      <c r="AA828" s="103"/>
      <c r="AB828" s="1"/>
    </row>
    <row r="829" spans="15:30">
      <c r="O829" s="1"/>
      <c r="P829" s="1"/>
      <c r="Q829" s="1"/>
      <c r="R829" s="1"/>
      <c r="Z829" s="103"/>
      <c r="AA829" s="103"/>
      <c r="AB829" s="1"/>
    </row>
    <row r="830" spans="15:30">
      <c r="O830" s="1"/>
      <c r="P830" s="1"/>
      <c r="Q830" s="1"/>
      <c r="R830" s="1"/>
      <c r="Z830" s="103"/>
      <c r="AA830" s="103"/>
      <c r="AB830" s="1"/>
    </row>
    <row r="831" spans="15:30">
      <c r="O831" s="1"/>
      <c r="P831" s="1"/>
      <c r="Q831" s="1"/>
      <c r="R831" s="1"/>
      <c r="Z831" s="103"/>
      <c r="AA831" s="103"/>
      <c r="AB831" s="1"/>
    </row>
    <row r="832" spans="15:30">
      <c r="O832" s="1"/>
      <c r="P832" s="1"/>
      <c r="Q832" s="1"/>
      <c r="R832" s="1"/>
      <c r="Z832" s="103"/>
      <c r="AA832" s="103"/>
      <c r="AB832" s="1"/>
    </row>
    <row r="833" spans="15:30">
      <c r="O833" s="1"/>
      <c r="P833" s="1"/>
      <c r="Q833" s="1"/>
      <c r="R833" s="1"/>
      <c r="Z833" s="103"/>
      <c r="AA833" s="103"/>
      <c r="AB833" s="1"/>
    </row>
    <row r="834" spans="15:30">
      <c r="O834" s="1"/>
      <c r="P834" s="1"/>
      <c r="Q834" s="1"/>
      <c r="R834" s="1"/>
      <c r="Z834" s="103"/>
      <c r="AA834" s="103"/>
      <c r="AB834" s="1"/>
    </row>
    <row r="835" spans="15:30">
      <c r="O835" s="1"/>
      <c r="P835" s="1"/>
      <c r="Q835" s="1"/>
      <c r="R835" s="1"/>
      <c r="Z835" s="103"/>
      <c r="AA835" s="103"/>
      <c r="AB835" s="1"/>
    </row>
    <row r="836" spans="15:30">
      <c r="O836" s="1"/>
      <c r="P836" s="1"/>
      <c r="Q836" s="1"/>
      <c r="R836" s="1"/>
      <c r="Z836" s="103"/>
      <c r="AA836" s="103"/>
      <c r="AB836" s="1"/>
    </row>
    <row r="837" spans="15:30">
      <c r="O837" s="1"/>
      <c r="P837" s="1"/>
      <c r="Q837" s="1"/>
      <c r="R837" s="1"/>
      <c r="Z837" s="103"/>
      <c r="AA837" s="103"/>
      <c r="AB837" s="1"/>
    </row>
    <row r="838" spans="15:30">
      <c r="O838" s="1"/>
      <c r="P838" s="1"/>
      <c r="Q838" s="1"/>
      <c r="R838" s="1"/>
      <c r="Z838" s="103"/>
      <c r="AA838" s="103"/>
      <c r="AB838" s="1"/>
    </row>
    <row r="839" spans="15:30">
      <c r="O839" s="1"/>
      <c r="P839" s="1"/>
      <c r="Q839" s="1"/>
      <c r="R839" s="1"/>
      <c r="Z839" s="103"/>
      <c r="AA839" s="103"/>
      <c r="AB839" s="1"/>
      <c r="AD839" s="102"/>
    </row>
    <row r="840" spans="15:30">
      <c r="O840" s="1"/>
      <c r="P840" s="1"/>
      <c r="Q840" s="1"/>
      <c r="R840" s="1"/>
      <c r="Z840" s="103"/>
      <c r="AA840" s="103"/>
      <c r="AB840" s="1"/>
    </row>
    <row r="841" spans="15:30">
      <c r="O841" s="1"/>
      <c r="P841" s="1"/>
      <c r="Q841" s="1"/>
      <c r="R841" s="1"/>
      <c r="Z841" s="103"/>
      <c r="AA841" s="103"/>
      <c r="AB841" s="1"/>
    </row>
    <row r="842" spans="15:30">
      <c r="O842" s="1"/>
      <c r="P842" s="1"/>
      <c r="Q842" s="1"/>
      <c r="R842" s="1"/>
      <c r="Z842" s="103"/>
      <c r="AA842" s="103"/>
      <c r="AB842" s="1"/>
    </row>
    <row r="843" spans="15:30">
      <c r="O843" s="1"/>
      <c r="P843" s="1"/>
      <c r="Q843" s="1"/>
      <c r="R843" s="1"/>
      <c r="Z843" s="103"/>
      <c r="AA843" s="103"/>
      <c r="AB843" s="1"/>
    </row>
    <row r="844" spans="15:30">
      <c r="O844" s="1"/>
      <c r="P844" s="1"/>
      <c r="Q844" s="1"/>
      <c r="R844" s="1"/>
      <c r="Z844" s="103"/>
      <c r="AA844" s="103"/>
      <c r="AB844" s="1"/>
    </row>
    <row r="845" spans="15:30">
      <c r="O845" s="1"/>
      <c r="P845" s="1"/>
      <c r="Q845" s="1"/>
      <c r="R845" s="1"/>
      <c r="Z845" s="103"/>
      <c r="AA845" s="103"/>
      <c r="AB845" s="1"/>
    </row>
    <row r="846" spans="15:30">
      <c r="O846" s="1"/>
      <c r="P846" s="1"/>
      <c r="Q846" s="1"/>
      <c r="R846" s="1"/>
      <c r="Z846" s="103"/>
      <c r="AA846" s="103"/>
      <c r="AB846" s="1"/>
    </row>
    <row r="847" spans="15:30">
      <c r="O847" s="1"/>
      <c r="P847" s="1"/>
      <c r="Q847" s="1"/>
      <c r="R847" s="1"/>
      <c r="Z847" s="103"/>
      <c r="AA847" s="103"/>
      <c r="AB847" s="1"/>
    </row>
    <row r="848" spans="15:30">
      <c r="O848" s="1"/>
      <c r="P848" s="1"/>
      <c r="Q848" s="1"/>
      <c r="R848" s="1"/>
      <c r="Z848" s="103"/>
      <c r="AA848" s="103"/>
      <c r="AB848" s="1"/>
    </row>
    <row r="849" spans="15:28">
      <c r="O849" s="1"/>
      <c r="P849" s="1"/>
      <c r="Q849" s="1"/>
      <c r="R849" s="1"/>
      <c r="Z849" s="103"/>
      <c r="AA849" s="103"/>
      <c r="AB849" s="1"/>
    </row>
    <row r="850" spans="15:28">
      <c r="O850" s="1"/>
      <c r="P850" s="1"/>
      <c r="Q850" s="1"/>
      <c r="R850" s="1"/>
      <c r="Z850" s="103"/>
      <c r="AA850" s="103"/>
      <c r="AB850" s="1"/>
    </row>
    <row r="851" spans="15:28">
      <c r="O851" s="1"/>
      <c r="P851" s="1"/>
      <c r="Q851" s="1"/>
      <c r="R851" s="1"/>
      <c r="Z851" s="103"/>
      <c r="AA851" s="103"/>
      <c r="AB851" s="1"/>
    </row>
    <row r="852" spans="15:28">
      <c r="O852" s="1"/>
      <c r="P852" s="1"/>
      <c r="Q852" s="1"/>
      <c r="R852" s="1"/>
      <c r="Z852" s="103"/>
      <c r="AA852" s="103"/>
      <c r="AB852" s="1"/>
    </row>
    <row r="853" spans="15:28">
      <c r="O853" s="1"/>
      <c r="P853" s="1"/>
      <c r="Q853" s="1"/>
      <c r="R853" s="1"/>
      <c r="Z853" s="103"/>
      <c r="AA853" s="103"/>
      <c r="AB853" s="1"/>
    </row>
    <row r="854" spans="15:28">
      <c r="O854" s="1"/>
      <c r="P854" s="1"/>
      <c r="Q854" s="1"/>
      <c r="R854" s="1"/>
      <c r="Z854" s="103"/>
      <c r="AA854" s="103"/>
      <c r="AB854" s="1"/>
    </row>
    <row r="855" spans="15:28">
      <c r="O855" s="1"/>
      <c r="P855" s="1"/>
      <c r="Q855" s="1"/>
      <c r="R855" s="1"/>
      <c r="Z855" s="103"/>
      <c r="AA855" s="103"/>
      <c r="AB855" s="1"/>
    </row>
    <row r="856" spans="15:28">
      <c r="O856" s="1"/>
      <c r="P856" s="1"/>
      <c r="Q856" s="1"/>
      <c r="R856" s="1"/>
      <c r="Z856" s="103"/>
      <c r="AA856" s="103"/>
      <c r="AB856" s="1"/>
    </row>
    <row r="857" spans="15:28">
      <c r="O857" s="1"/>
      <c r="P857" s="1"/>
      <c r="Q857" s="1"/>
      <c r="R857" s="1"/>
      <c r="Z857" s="103"/>
      <c r="AA857" s="103"/>
      <c r="AB857" s="1"/>
    </row>
    <row r="858" spans="15:28">
      <c r="O858" s="1"/>
      <c r="P858" s="1"/>
      <c r="Q858" s="1"/>
      <c r="R858" s="1"/>
      <c r="Z858" s="103"/>
      <c r="AA858" s="103"/>
      <c r="AB858" s="1"/>
    </row>
    <row r="859" spans="15:28">
      <c r="O859" s="1"/>
      <c r="P859" s="1"/>
      <c r="Q859" s="1"/>
      <c r="R859" s="1"/>
      <c r="Z859" s="103"/>
      <c r="AA859" s="103"/>
      <c r="AB859" s="1"/>
    </row>
    <row r="860" spans="15:28">
      <c r="O860" s="1"/>
      <c r="P860" s="1"/>
      <c r="Q860" s="1"/>
      <c r="R860" s="1"/>
      <c r="Z860" s="103"/>
      <c r="AA860" s="103"/>
      <c r="AB860" s="1"/>
    </row>
    <row r="861" spans="15:28">
      <c r="O861" s="1"/>
      <c r="P861" s="1"/>
      <c r="Q861" s="1"/>
      <c r="R861" s="1"/>
      <c r="Z861" s="103"/>
      <c r="AA861" s="103"/>
      <c r="AB861" s="1"/>
    </row>
    <row r="862" spans="15:28">
      <c r="O862" s="1"/>
      <c r="P862" s="1"/>
      <c r="Q862" s="1"/>
      <c r="R862" s="1"/>
      <c r="Z862" s="103"/>
      <c r="AA862" s="103"/>
      <c r="AB862" s="1"/>
    </row>
    <row r="863" spans="15:28">
      <c r="O863" s="1"/>
      <c r="P863" s="1"/>
      <c r="Q863" s="1"/>
      <c r="R863" s="1"/>
      <c r="Z863" s="103"/>
      <c r="AA863" s="103"/>
      <c r="AB863" s="1"/>
    </row>
    <row r="864" spans="15:28">
      <c r="O864" s="1"/>
      <c r="P864" s="1"/>
      <c r="Q864" s="1"/>
      <c r="R864" s="1"/>
      <c r="Z864" s="103"/>
      <c r="AA864" s="103"/>
      <c r="AB864" s="1"/>
    </row>
    <row r="865" spans="15:30">
      <c r="O865" s="1"/>
      <c r="P865" s="1"/>
      <c r="Q865" s="1"/>
      <c r="R865" s="1"/>
      <c r="Z865" s="103"/>
      <c r="AA865" s="103"/>
      <c r="AB865" s="1"/>
    </row>
    <row r="866" spans="15:30">
      <c r="O866" s="1"/>
      <c r="P866" s="1"/>
      <c r="Q866" s="1"/>
      <c r="R866" s="1"/>
      <c r="Z866" s="103"/>
      <c r="AA866" s="103"/>
      <c r="AB866" s="1"/>
    </row>
    <row r="867" spans="15:30">
      <c r="O867" s="1"/>
      <c r="P867" s="1"/>
      <c r="Q867" s="1"/>
      <c r="R867" s="1"/>
      <c r="Z867" s="103"/>
      <c r="AA867" s="103"/>
      <c r="AB867" s="1"/>
    </row>
    <row r="868" spans="15:30">
      <c r="O868" s="1"/>
      <c r="P868" s="1"/>
      <c r="Q868" s="1"/>
      <c r="R868" s="1"/>
      <c r="Z868" s="103"/>
      <c r="AA868" s="103"/>
      <c r="AB868" s="1"/>
    </row>
    <row r="869" spans="15:30">
      <c r="O869" s="1"/>
      <c r="P869" s="1"/>
      <c r="Q869" s="1"/>
      <c r="R869" s="1"/>
      <c r="Z869" s="103"/>
      <c r="AA869" s="103"/>
      <c r="AB869" s="1"/>
    </row>
    <row r="870" spans="15:30">
      <c r="O870" s="1"/>
      <c r="P870" s="1"/>
      <c r="Q870" s="1"/>
      <c r="R870" s="1"/>
      <c r="Z870" s="103"/>
      <c r="AA870" s="103"/>
      <c r="AB870" s="1"/>
    </row>
    <row r="871" spans="15:30">
      <c r="O871" s="1"/>
      <c r="P871" s="1"/>
      <c r="Q871" s="1"/>
      <c r="R871" s="1"/>
      <c r="Z871" s="103"/>
      <c r="AA871" s="103"/>
      <c r="AB871" s="1"/>
    </row>
    <row r="872" spans="15:30">
      <c r="O872" s="1"/>
      <c r="P872" s="1"/>
      <c r="Q872" s="1"/>
      <c r="R872" s="1"/>
      <c r="Z872" s="103"/>
      <c r="AA872" s="103"/>
      <c r="AB872" s="1"/>
    </row>
    <row r="873" spans="15:30">
      <c r="O873" s="1"/>
      <c r="P873" s="1"/>
      <c r="Q873" s="1"/>
      <c r="R873" s="1"/>
      <c r="Z873" s="103"/>
      <c r="AA873" s="103"/>
      <c r="AB873" s="1"/>
    </row>
    <row r="874" spans="15:30">
      <c r="O874" s="1"/>
      <c r="P874" s="1"/>
      <c r="Q874" s="1"/>
      <c r="R874" s="1"/>
      <c r="Z874" s="103"/>
      <c r="AA874" s="103"/>
      <c r="AB874" s="1"/>
    </row>
    <row r="875" spans="15:30">
      <c r="O875" s="1"/>
      <c r="P875" s="1"/>
      <c r="Q875" s="1"/>
      <c r="R875" s="1"/>
      <c r="Z875" s="103"/>
      <c r="AA875" s="103"/>
      <c r="AB875" s="1"/>
    </row>
    <row r="876" spans="15:30">
      <c r="O876" s="1"/>
      <c r="P876" s="1"/>
      <c r="Q876" s="1"/>
      <c r="R876" s="1"/>
      <c r="Z876" s="103"/>
      <c r="AA876" s="103"/>
      <c r="AB876" s="1"/>
    </row>
    <row r="877" spans="15:30">
      <c r="O877" s="1"/>
      <c r="P877" s="1"/>
      <c r="Q877" s="1"/>
      <c r="R877" s="1"/>
      <c r="Z877" s="103"/>
      <c r="AA877" s="103"/>
      <c r="AB877" s="1"/>
    </row>
    <row r="878" spans="15:30">
      <c r="O878" s="1"/>
      <c r="P878" s="1"/>
      <c r="Q878" s="1"/>
      <c r="R878" s="1"/>
      <c r="Z878" s="103"/>
      <c r="AA878" s="103"/>
      <c r="AB878" s="1"/>
    </row>
    <row r="879" spans="15:30">
      <c r="O879" s="1"/>
      <c r="P879" s="1"/>
      <c r="Q879" s="1"/>
      <c r="R879" s="1"/>
      <c r="Z879" s="103"/>
      <c r="AA879" s="103"/>
      <c r="AB879" s="1"/>
      <c r="AD879" s="102"/>
    </row>
    <row r="880" spans="15:30">
      <c r="O880" s="1"/>
      <c r="P880" s="1"/>
      <c r="Q880" s="1"/>
      <c r="R880" s="1"/>
      <c r="Z880" s="103"/>
      <c r="AA880" s="103"/>
      <c r="AB880" s="1"/>
    </row>
    <row r="881" spans="15:28">
      <c r="O881" s="1"/>
      <c r="P881" s="1"/>
      <c r="Q881" s="1"/>
      <c r="R881" s="1"/>
      <c r="Z881" s="103"/>
      <c r="AA881" s="103"/>
      <c r="AB881" s="1"/>
    </row>
    <row r="882" spans="15:28">
      <c r="O882" s="1"/>
      <c r="P882" s="1"/>
      <c r="Q882" s="1"/>
      <c r="R882" s="1"/>
      <c r="Z882" s="103"/>
      <c r="AA882" s="103"/>
      <c r="AB882" s="1"/>
    </row>
    <row r="883" spans="15:28">
      <c r="O883" s="1"/>
      <c r="P883" s="1"/>
      <c r="Q883" s="1"/>
      <c r="R883" s="1"/>
      <c r="Z883" s="103"/>
      <c r="AA883" s="103"/>
      <c r="AB883" s="1"/>
    </row>
    <row r="884" spans="15:28">
      <c r="O884" s="1"/>
      <c r="P884" s="1"/>
      <c r="Q884" s="1"/>
      <c r="R884" s="1"/>
      <c r="Z884" s="103"/>
      <c r="AA884" s="103"/>
      <c r="AB884" s="1"/>
    </row>
    <row r="885" spans="15:28">
      <c r="O885" s="1"/>
      <c r="P885" s="1"/>
      <c r="Q885" s="1"/>
      <c r="R885" s="1"/>
      <c r="Z885" s="103"/>
      <c r="AA885" s="103"/>
      <c r="AB885" s="1"/>
    </row>
    <row r="886" spans="15:28">
      <c r="O886" s="1"/>
      <c r="P886" s="1"/>
      <c r="Q886" s="1"/>
      <c r="R886" s="1"/>
      <c r="Z886" s="103"/>
      <c r="AA886" s="103"/>
      <c r="AB886" s="1"/>
    </row>
    <row r="887" spans="15:28">
      <c r="O887" s="1"/>
      <c r="P887" s="1"/>
      <c r="Q887" s="1"/>
      <c r="R887" s="1"/>
      <c r="Z887" s="103"/>
      <c r="AA887" s="103"/>
      <c r="AB887" s="1"/>
    </row>
    <row r="888" spans="15:28">
      <c r="O888" s="1"/>
      <c r="P888" s="1"/>
      <c r="Q888" s="1"/>
      <c r="R888" s="1"/>
      <c r="Z888" s="103"/>
      <c r="AA888" s="103"/>
      <c r="AB888" s="1"/>
    </row>
    <row r="889" spans="15:28">
      <c r="O889" s="1"/>
      <c r="P889" s="1"/>
      <c r="Q889" s="1"/>
      <c r="R889" s="1"/>
      <c r="Z889" s="103"/>
      <c r="AA889" s="103"/>
      <c r="AB889" s="1"/>
    </row>
    <row r="890" spans="15:28">
      <c r="O890" s="1"/>
      <c r="P890" s="1"/>
      <c r="Q890" s="1"/>
      <c r="R890" s="1"/>
      <c r="Z890" s="103"/>
      <c r="AA890" s="103"/>
      <c r="AB890" s="1"/>
    </row>
    <row r="891" spans="15:28">
      <c r="O891" s="1"/>
      <c r="P891" s="1"/>
      <c r="Q891" s="1"/>
      <c r="R891" s="1"/>
      <c r="Z891" s="103"/>
      <c r="AA891" s="103"/>
      <c r="AB891" s="1"/>
    </row>
    <row r="892" spans="15:28">
      <c r="O892" s="1"/>
      <c r="P892" s="1"/>
      <c r="Q892" s="1"/>
      <c r="R892" s="1"/>
      <c r="Z892" s="103"/>
      <c r="AA892" s="103"/>
      <c r="AB892" s="1"/>
    </row>
    <row r="893" spans="15:28">
      <c r="O893" s="1"/>
      <c r="P893" s="1"/>
      <c r="Q893" s="1"/>
      <c r="R893" s="1"/>
      <c r="Z893" s="103"/>
      <c r="AA893" s="103"/>
      <c r="AB893" s="1"/>
    </row>
    <row r="894" spans="15:28">
      <c r="O894" s="1"/>
      <c r="P894" s="1"/>
      <c r="Q894" s="1"/>
      <c r="R894" s="1"/>
      <c r="Z894" s="103"/>
      <c r="AA894" s="103"/>
      <c r="AB894" s="1"/>
    </row>
    <row r="895" spans="15:28">
      <c r="O895" s="1"/>
      <c r="P895" s="1"/>
      <c r="Q895" s="1"/>
      <c r="R895" s="1"/>
      <c r="Z895" s="103"/>
      <c r="AA895" s="103"/>
      <c r="AB895" s="1"/>
    </row>
    <row r="896" spans="15:28">
      <c r="O896" s="1"/>
      <c r="P896" s="1"/>
      <c r="Q896" s="1"/>
      <c r="R896" s="1"/>
      <c r="Z896" s="103"/>
      <c r="AA896" s="103"/>
      <c r="AB896" s="1"/>
    </row>
    <row r="897" spans="15:30">
      <c r="O897" s="1"/>
      <c r="P897" s="1"/>
      <c r="Q897" s="1"/>
      <c r="R897" s="1"/>
      <c r="Z897" s="103"/>
      <c r="AA897" s="103"/>
      <c r="AB897" s="1"/>
    </row>
    <row r="898" spans="15:30">
      <c r="O898" s="1"/>
      <c r="P898" s="1"/>
      <c r="Q898" s="1"/>
      <c r="R898" s="1"/>
      <c r="Z898" s="103"/>
      <c r="AA898" s="103"/>
      <c r="AB898" s="1"/>
    </row>
    <row r="899" spans="15:30">
      <c r="O899" s="1"/>
      <c r="P899" s="1"/>
      <c r="Q899" s="1"/>
      <c r="R899" s="1"/>
      <c r="Z899" s="103"/>
      <c r="AA899" s="103"/>
      <c r="AB899" s="1"/>
    </row>
    <row r="900" spans="15:30">
      <c r="O900" s="1"/>
      <c r="P900" s="1"/>
      <c r="Q900" s="1"/>
      <c r="R900" s="1"/>
      <c r="Z900" s="103"/>
      <c r="AA900" s="103"/>
      <c r="AB900" s="1"/>
    </row>
    <row r="901" spans="15:30">
      <c r="O901" s="1"/>
      <c r="P901" s="1"/>
      <c r="Q901" s="1"/>
      <c r="R901" s="1"/>
      <c r="Z901" s="103"/>
      <c r="AA901" s="103"/>
      <c r="AB901" s="1"/>
    </row>
    <row r="902" spans="15:30">
      <c r="O902" s="1"/>
      <c r="P902" s="1"/>
      <c r="Q902" s="1"/>
      <c r="R902" s="1"/>
      <c r="Z902" s="103"/>
      <c r="AA902" s="103"/>
      <c r="AB902" s="1"/>
    </row>
    <row r="903" spans="15:30">
      <c r="O903" s="1"/>
      <c r="P903" s="1"/>
      <c r="Q903" s="1"/>
      <c r="R903" s="1"/>
      <c r="Z903" s="103"/>
      <c r="AA903" s="103"/>
      <c r="AB903" s="1"/>
    </row>
    <row r="904" spans="15:30">
      <c r="O904" s="1"/>
      <c r="P904" s="1"/>
      <c r="Q904" s="1"/>
      <c r="R904" s="1"/>
      <c r="Z904" s="103"/>
      <c r="AA904" s="103"/>
      <c r="AB904" s="1"/>
    </row>
    <row r="905" spans="15:30">
      <c r="O905" s="1"/>
      <c r="P905" s="1"/>
      <c r="Q905" s="1"/>
      <c r="R905" s="1"/>
      <c r="Z905" s="103"/>
      <c r="AA905" s="103"/>
      <c r="AB905" s="1"/>
    </row>
    <row r="906" spans="15:30">
      <c r="O906" s="1"/>
      <c r="P906" s="1"/>
      <c r="Q906" s="1"/>
      <c r="R906" s="1"/>
      <c r="Z906" s="103"/>
      <c r="AA906" s="103"/>
      <c r="AB906" s="1"/>
    </row>
    <row r="907" spans="15:30">
      <c r="O907" s="1"/>
      <c r="P907" s="1"/>
      <c r="Q907" s="1"/>
      <c r="R907" s="1"/>
      <c r="Z907" s="103"/>
      <c r="AA907" s="103"/>
      <c r="AB907" s="1"/>
    </row>
    <row r="908" spans="15:30">
      <c r="O908" s="1"/>
      <c r="P908" s="1"/>
      <c r="Q908" s="1"/>
      <c r="R908" s="1"/>
      <c r="Z908" s="103"/>
      <c r="AA908" s="103"/>
      <c r="AB908" s="1"/>
    </row>
    <row r="909" spans="15:30">
      <c r="O909" s="1"/>
      <c r="P909" s="1"/>
      <c r="Q909" s="1"/>
      <c r="R909" s="1"/>
      <c r="Z909" s="103"/>
      <c r="AA909" s="103"/>
      <c r="AB909" s="1"/>
    </row>
    <row r="910" spans="15:30">
      <c r="O910" s="1"/>
      <c r="P910" s="1"/>
      <c r="Q910" s="1"/>
      <c r="R910" s="1"/>
      <c r="Z910" s="103"/>
      <c r="AA910" s="103"/>
      <c r="AB910" s="1"/>
    </row>
    <row r="911" spans="15:30">
      <c r="O911" s="1"/>
      <c r="P911" s="1"/>
      <c r="Q911" s="1"/>
      <c r="R911" s="1"/>
      <c r="Z911" s="103"/>
      <c r="AA911" s="103"/>
      <c r="AB911" s="1"/>
      <c r="AD911" s="102"/>
    </row>
    <row r="912" spans="15:30">
      <c r="O912" s="1"/>
      <c r="P912" s="1"/>
      <c r="Q912" s="1"/>
      <c r="R912" s="1"/>
      <c r="Z912" s="103"/>
      <c r="AA912" s="103"/>
      <c r="AB912" s="1"/>
    </row>
    <row r="913" spans="15:30">
      <c r="O913" s="1"/>
      <c r="P913" s="1"/>
      <c r="Q913" s="1"/>
      <c r="R913" s="1"/>
      <c r="Z913" s="103"/>
      <c r="AA913" s="103"/>
      <c r="AB913" s="1"/>
    </row>
    <row r="914" spans="15:30">
      <c r="O914" s="1"/>
      <c r="P914" s="1"/>
      <c r="Q914" s="1"/>
      <c r="R914" s="1"/>
      <c r="Z914" s="103"/>
      <c r="AA914" s="103"/>
      <c r="AB914" s="1"/>
    </row>
    <row r="915" spans="15:30">
      <c r="O915" s="1"/>
      <c r="P915" s="1"/>
      <c r="Q915" s="1"/>
      <c r="R915" s="1"/>
      <c r="Z915" s="103"/>
      <c r="AA915" s="103"/>
      <c r="AB915" s="1"/>
    </row>
    <row r="916" spans="15:30">
      <c r="O916" s="1"/>
      <c r="P916" s="1"/>
      <c r="Q916" s="1"/>
      <c r="R916" s="1"/>
      <c r="Z916" s="103"/>
      <c r="AA916" s="103"/>
      <c r="AB916" s="1"/>
    </row>
    <row r="917" spans="15:30">
      <c r="O917" s="1"/>
      <c r="P917" s="1"/>
      <c r="Q917" s="1"/>
      <c r="R917" s="1"/>
      <c r="Z917" s="103"/>
      <c r="AA917" s="103"/>
      <c r="AB917" s="1"/>
    </row>
    <row r="918" spans="15:30">
      <c r="O918" s="1"/>
      <c r="P918" s="1"/>
      <c r="Q918" s="1"/>
      <c r="R918" s="1"/>
      <c r="Z918" s="103"/>
      <c r="AA918" s="103"/>
      <c r="AB918" s="1"/>
    </row>
    <row r="919" spans="15:30">
      <c r="O919" s="1"/>
      <c r="P919" s="1"/>
      <c r="Q919" s="1"/>
      <c r="R919" s="1"/>
      <c r="Z919" s="103"/>
      <c r="AA919" s="103"/>
      <c r="AB919" s="1"/>
    </row>
    <row r="920" spans="15:30">
      <c r="O920" s="1"/>
      <c r="P920" s="1"/>
      <c r="Q920" s="1"/>
      <c r="R920" s="1"/>
      <c r="Z920" s="103"/>
      <c r="AA920" s="103"/>
      <c r="AB920" s="1"/>
    </row>
    <row r="921" spans="15:30">
      <c r="O921" s="1"/>
      <c r="P921" s="1"/>
      <c r="Q921" s="1"/>
      <c r="R921" s="1"/>
      <c r="Z921" s="103"/>
      <c r="AA921" s="103"/>
      <c r="AB921" s="1"/>
    </row>
    <row r="922" spans="15:30">
      <c r="O922" s="1"/>
      <c r="P922" s="1"/>
      <c r="Q922" s="1"/>
      <c r="R922" s="1"/>
      <c r="Z922" s="103"/>
      <c r="AA922" s="103"/>
      <c r="AB922" s="1"/>
    </row>
    <row r="923" spans="15:30">
      <c r="O923" s="1"/>
      <c r="P923" s="1"/>
      <c r="Q923" s="1"/>
      <c r="R923" s="1"/>
      <c r="Z923" s="103"/>
      <c r="AA923" s="103"/>
      <c r="AB923" s="1"/>
    </row>
    <row r="924" spans="15:30">
      <c r="O924" s="1"/>
      <c r="P924" s="1"/>
      <c r="Q924" s="1"/>
      <c r="R924" s="1"/>
      <c r="Z924" s="103"/>
      <c r="AA924" s="103"/>
      <c r="AB924" s="1"/>
    </row>
    <row r="925" spans="15:30">
      <c r="O925" s="1"/>
      <c r="P925" s="1"/>
      <c r="Q925" s="1"/>
      <c r="R925" s="1"/>
      <c r="Z925" s="103"/>
      <c r="AA925" s="103"/>
      <c r="AB925" s="1"/>
      <c r="AD925" s="102"/>
    </row>
    <row r="926" spans="15:30">
      <c r="O926" s="1"/>
      <c r="P926" s="1"/>
      <c r="Q926" s="1"/>
      <c r="R926" s="1"/>
      <c r="Z926" s="103"/>
      <c r="AA926" s="103"/>
      <c r="AB926" s="1"/>
      <c r="AD926" s="102"/>
    </row>
    <row r="927" spans="15:30">
      <c r="O927" s="1"/>
      <c r="P927" s="1"/>
      <c r="Q927" s="1"/>
      <c r="R927" s="1"/>
      <c r="Z927" s="103"/>
      <c r="AA927" s="103"/>
      <c r="AB927" s="1"/>
    </row>
    <row r="928" spans="15:30">
      <c r="O928" s="1"/>
      <c r="P928" s="1"/>
      <c r="Q928" s="1"/>
      <c r="R928" s="1"/>
      <c r="Z928" s="103"/>
      <c r="AA928" s="103"/>
      <c r="AB928" s="1"/>
    </row>
    <row r="929" spans="15:28">
      <c r="O929" s="1"/>
      <c r="P929" s="1"/>
      <c r="Q929" s="1"/>
      <c r="R929" s="1"/>
      <c r="Z929" s="103"/>
      <c r="AA929" s="103"/>
      <c r="AB929" s="1"/>
    </row>
    <row r="930" spans="15:28">
      <c r="O930" s="1"/>
      <c r="P930" s="1"/>
      <c r="Q930" s="1"/>
      <c r="R930" s="1"/>
      <c r="Z930" s="103"/>
      <c r="AA930" s="103"/>
      <c r="AB930" s="1"/>
    </row>
    <row r="931" spans="15:28">
      <c r="O931" s="1"/>
      <c r="P931" s="1"/>
      <c r="Q931" s="1"/>
      <c r="R931" s="1"/>
      <c r="Z931" s="103"/>
      <c r="AA931" s="103"/>
      <c r="AB931" s="1"/>
    </row>
    <row r="932" spans="15:28">
      <c r="O932" s="1"/>
      <c r="P932" s="1"/>
      <c r="Q932" s="1"/>
      <c r="R932" s="1"/>
      <c r="Z932" s="103"/>
      <c r="AA932" s="103"/>
      <c r="AB932" s="1"/>
    </row>
    <row r="933" spans="15:28">
      <c r="O933" s="1"/>
      <c r="P933" s="1"/>
      <c r="Q933" s="1"/>
      <c r="R933" s="1"/>
      <c r="Z933" s="103"/>
      <c r="AA933" s="103"/>
      <c r="AB933" s="1"/>
    </row>
    <row r="934" spans="15:28">
      <c r="O934" s="1"/>
      <c r="P934" s="1"/>
      <c r="Q934" s="1"/>
      <c r="R934" s="1"/>
      <c r="Z934" s="103"/>
      <c r="AA934" s="103"/>
      <c r="AB934" s="1"/>
    </row>
    <row r="935" spans="15:28">
      <c r="O935" s="1"/>
      <c r="P935" s="1"/>
      <c r="Q935" s="1"/>
      <c r="R935" s="1"/>
      <c r="Z935" s="103"/>
      <c r="AA935" s="103"/>
      <c r="AB935" s="1"/>
    </row>
    <row r="936" spans="15:28">
      <c r="O936" s="1"/>
      <c r="P936" s="1"/>
      <c r="Q936" s="1"/>
      <c r="R936" s="1"/>
      <c r="Z936" s="103"/>
      <c r="AA936" s="103"/>
      <c r="AB936" s="1"/>
    </row>
    <row r="937" spans="15:28">
      <c r="O937" s="1"/>
      <c r="P937" s="1"/>
      <c r="Q937" s="1"/>
      <c r="R937" s="1"/>
      <c r="Z937" s="103"/>
      <c r="AA937" s="103"/>
      <c r="AB937" s="1"/>
    </row>
    <row r="938" spans="15:28">
      <c r="O938" s="1"/>
      <c r="P938" s="1"/>
      <c r="Q938" s="1"/>
      <c r="R938" s="1"/>
      <c r="Z938" s="103"/>
      <c r="AA938" s="103"/>
      <c r="AB938" s="1"/>
    </row>
    <row r="939" spans="15:28">
      <c r="O939" s="1"/>
      <c r="P939" s="1"/>
      <c r="Q939" s="1"/>
      <c r="R939" s="1"/>
      <c r="Z939" s="103"/>
      <c r="AA939" s="103"/>
      <c r="AB939" s="1"/>
    </row>
    <row r="940" spans="15:28">
      <c r="O940" s="1"/>
      <c r="P940" s="1"/>
      <c r="Q940" s="1"/>
      <c r="R940" s="1"/>
      <c r="Z940" s="103"/>
      <c r="AA940" s="103"/>
      <c r="AB940" s="1"/>
    </row>
    <row r="941" spans="15:28">
      <c r="O941" s="1"/>
      <c r="P941" s="1"/>
      <c r="Q941" s="1"/>
      <c r="R941" s="1"/>
      <c r="Z941" s="103"/>
      <c r="AA941" s="103"/>
      <c r="AB941" s="1"/>
    </row>
    <row r="942" spans="15:28">
      <c r="O942" s="1"/>
      <c r="P942" s="1"/>
      <c r="Q942" s="1"/>
      <c r="R942" s="1"/>
      <c r="Z942" s="103"/>
      <c r="AA942" s="103"/>
      <c r="AB942" s="1"/>
    </row>
    <row r="943" spans="15:28">
      <c r="O943" s="1"/>
      <c r="P943" s="1"/>
      <c r="Q943" s="1"/>
      <c r="R943" s="1"/>
      <c r="Z943" s="103"/>
      <c r="AA943" s="103"/>
      <c r="AB943" s="1"/>
    </row>
    <row r="944" spans="15:28">
      <c r="O944" s="1"/>
      <c r="P944" s="1"/>
      <c r="Q944" s="1"/>
      <c r="R944" s="1"/>
      <c r="Z944" s="103"/>
      <c r="AA944" s="103"/>
      <c r="AB944" s="1"/>
    </row>
    <row r="945" spans="15:30">
      <c r="O945" s="1"/>
      <c r="P945" s="1"/>
      <c r="Q945" s="1"/>
      <c r="R945" s="1"/>
      <c r="Z945" s="103"/>
      <c r="AA945" s="103"/>
      <c r="AB945" s="1"/>
    </row>
    <row r="946" spans="15:30">
      <c r="O946" s="1"/>
      <c r="P946" s="1"/>
      <c r="Q946" s="1"/>
      <c r="R946" s="1"/>
      <c r="Z946" s="103"/>
      <c r="AA946" s="103"/>
      <c r="AB946" s="1"/>
    </row>
    <row r="947" spans="15:30">
      <c r="O947" s="1"/>
      <c r="P947" s="1"/>
      <c r="Q947" s="1"/>
      <c r="R947" s="1"/>
      <c r="Z947" s="103"/>
      <c r="AA947" s="103"/>
      <c r="AB947" s="1"/>
    </row>
    <row r="948" spans="15:30">
      <c r="O948" s="1"/>
      <c r="P948" s="1"/>
      <c r="Q948" s="1"/>
      <c r="R948" s="1"/>
      <c r="Z948" s="103"/>
      <c r="AA948" s="103"/>
      <c r="AB948" s="1"/>
    </row>
    <row r="949" spans="15:30">
      <c r="O949" s="1"/>
      <c r="P949" s="1"/>
      <c r="Q949" s="1"/>
      <c r="R949" s="1"/>
      <c r="Z949" s="103"/>
      <c r="AA949" s="103"/>
      <c r="AB949" s="1"/>
    </row>
    <row r="950" spans="15:30">
      <c r="O950" s="1"/>
      <c r="P950" s="1"/>
      <c r="Q950" s="1"/>
      <c r="R950" s="1"/>
      <c r="Z950" s="103"/>
      <c r="AA950" s="103"/>
      <c r="AB950" s="1"/>
    </row>
    <row r="951" spans="15:30">
      <c r="O951" s="1"/>
      <c r="P951" s="1"/>
      <c r="Q951" s="1"/>
      <c r="R951" s="1"/>
      <c r="Z951" s="103"/>
      <c r="AA951" s="103"/>
      <c r="AB951" s="1"/>
    </row>
    <row r="952" spans="15:30">
      <c r="O952" s="1"/>
      <c r="P952" s="1"/>
      <c r="Q952" s="1"/>
      <c r="R952" s="1"/>
      <c r="Z952" s="103"/>
      <c r="AA952" s="103"/>
      <c r="AB952" s="1"/>
    </row>
    <row r="953" spans="15:30">
      <c r="O953" s="1"/>
      <c r="P953" s="1"/>
      <c r="Q953" s="1"/>
      <c r="R953" s="1"/>
      <c r="Z953" s="103"/>
      <c r="AA953" s="103"/>
      <c r="AB953" s="1"/>
    </row>
    <row r="954" spans="15:30">
      <c r="O954" s="1"/>
      <c r="P954" s="1"/>
      <c r="Q954" s="1"/>
      <c r="R954" s="1"/>
      <c r="Z954" s="103"/>
      <c r="AA954" s="103"/>
      <c r="AB954" s="1"/>
    </row>
    <row r="955" spans="15:30">
      <c r="O955" s="1"/>
      <c r="P955" s="1"/>
      <c r="Q955" s="1"/>
      <c r="R955" s="1"/>
      <c r="Z955" s="103"/>
      <c r="AA955" s="103"/>
      <c r="AB955" s="1"/>
    </row>
    <row r="956" spans="15:30">
      <c r="O956" s="1"/>
      <c r="P956" s="1"/>
      <c r="Q956" s="1"/>
      <c r="R956" s="1"/>
      <c r="Z956" s="103"/>
      <c r="AA956" s="103"/>
      <c r="AB956" s="1"/>
      <c r="AD956" s="102"/>
    </row>
    <row r="957" spans="15:30">
      <c r="O957" s="1"/>
      <c r="P957" s="1"/>
      <c r="Q957" s="1"/>
      <c r="R957" s="1"/>
      <c r="Z957" s="103"/>
      <c r="AA957" s="103"/>
      <c r="AB957" s="1"/>
    </row>
    <row r="958" spans="15:30">
      <c r="O958" s="1"/>
      <c r="P958" s="1"/>
      <c r="Q958" s="1"/>
      <c r="R958" s="1"/>
      <c r="Z958" s="103"/>
      <c r="AA958" s="103"/>
      <c r="AB958" s="1"/>
    </row>
    <row r="959" spans="15:30">
      <c r="O959" s="1"/>
      <c r="P959" s="1"/>
      <c r="Q959" s="1"/>
      <c r="R959" s="1"/>
      <c r="Z959" s="103"/>
      <c r="AA959" s="103"/>
      <c r="AB959" s="1"/>
    </row>
    <row r="960" spans="15:30">
      <c r="O960" s="1"/>
      <c r="P960" s="1"/>
      <c r="Q960" s="1"/>
      <c r="R960" s="1"/>
      <c r="Z960" s="103"/>
      <c r="AA960" s="103"/>
      <c r="AB960" s="1"/>
    </row>
    <row r="961" spans="15:28">
      <c r="O961" s="1"/>
      <c r="P961" s="1"/>
      <c r="Q961" s="1"/>
      <c r="R961" s="1"/>
      <c r="Z961" s="103"/>
      <c r="AA961" s="103"/>
      <c r="AB961" s="1"/>
    </row>
    <row r="962" spans="15:28">
      <c r="O962" s="1"/>
      <c r="P962" s="1"/>
      <c r="Q962" s="1"/>
      <c r="R962" s="1"/>
      <c r="Z962" s="103"/>
      <c r="AA962" s="103"/>
      <c r="AB962" s="1"/>
    </row>
    <row r="963" spans="15:28">
      <c r="O963" s="1"/>
      <c r="P963" s="1"/>
      <c r="Q963" s="1"/>
      <c r="R963" s="1"/>
      <c r="Z963" s="103"/>
      <c r="AA963" s="103"/>
      <c r="AB963" s="1"/>
    </row>
    <row r="964" spans="15:28">
      <c r="O964" s="1"/>
      <c r="P964" s="1"/>
      <c r="Q964" s="1"/>
      <c r="R964" s="1"/>
      <c r="Z964" s="103"/>
      <c r="AA964" s="103"/>
      <c r="AB964" s="1"/>
    </row>
    <row r="965" spans="15:28">
      <c r="O965" s="1"/>
      <c r="P965" s="1"/>
      <c r="Q965" s="1"/>
      <c r="R965" s="1"/>
      <c r="Z965" s="103"/>
      <c r="AA965" s="103"/>
      <c r="AB965" s="1"/>
    </row>
    <row r="966" spans="15:28">
      <c r="O966" s="1"/>
      <c r="P966" s="1"/>
      <c r="Q966" s="1"/>
      <c r="R966" s="1"/>
      <c r="Z966" s="103"/>
      <c r="AA966" s="103"/>
      <c r="AB966" s="1"/>
    </row>
    <row r="967" spans="15:28">
      <c r="O967" s="1"/>
      <c r="P967" s="1"/>
      <c r="Q967" s="1"/>
      <c r="R967" s="1"/>
      <c r="Z967" s="103"/>
      <c r="AA967" s="103"/>
      <c r="AB967" s="1"/>
    </row>
    <row r="968" spans="15:28">
      <c r="O968" s="1"/>
      <c r="P968" s="1"/>
      <c r="Q968" s="1"/>
      <c r="R968" s="1"/>
      <c r="Z968" s="103"/>
      <c r="AA968" s="103"/>
      <c r="AB968" s="1"/>
    </row>
    <row r="969" spans="15:28">
      <c r="O969" s="1"/>
      <c r="P969" s="1"/>
      <c r="Q969" s="1"/>
      <c r="R969" s="1"/>
      <c r="Z969" s="103"/>
      <c r="AA969" s="103"/>
      <c r="AB969" s="1"/>
    </row>
    <row r="970" spans="15:28">
      <c r="O970" s="1"/>
      <c r="P970" s="1"/>
      <c r="Q970" s="1"/>
      <c r="R970" s="1"/>
      <c r="Z970" s="103"/>
      <c r="AA970" s="103"/>
      <c r="AB970" s="1"/>
    </row>
    <row r="971" spans="15:28">
      <c r="O971" s="1"/>
      <c r="P971" s="1"/>
      <c r="Q971" s="1"/>
      <c r="R971" s="1"/>
      <c r="Z971" s="103"/>
      <c r="AA971" s="103"/>
      <c r="AB971" s="1"/>
    </row>
    <row r="972" spans="15:28">
      <c r="O972" s="1"/>
      <c r="P972" s="1"/>
      <c r="Q972" s="1"/>
      <c r="R972" s="1"/>
      <c r="Z972" s="103"/>
      <c r="AA972" s="103"/>
      <c r="AB972" s="1"/>
    </row>
    <row r="973" spans="15:28">
      <c r="O973" s="1"/>
      <c r="P973" s="1"/>
      <c r="Q973" s="1"/>
      <c r="R973" s="1"/>
      <c r="Z973" s="103"/>
      <c r="AA973" s="103"/>
      <c r="AB973" s="1"/>
    </row>
    <row r="974" spans="15:28">
      <c r="O974" s="1"/>
      <c r="P974" s="1"/>
      <c r="Q974" s="1"/>
      <c r="R974" s="1"/>
      <c r="Z974" s="103"/>
      <c r="AA974" s="103"/>
      <c r="AB974" s="1"/>
    </row>
    <row r="975" spans="15:28">
      <c r="O975" s="1"/>
      <c r="P975" s="1"/>
      <c r="Q975" s="1"/>
      <c r="R975" s="1"/>
      <c r="Z975" s="103"/>
      <c r="AA975" s="103"/>
      <c r="AB975" s="1"/>
    </row>
    <row r="976" spans="15:28">
      <c r="O976" s="1"/>
      <c r="P976" s="1"/>
      <c r="Q976" s="1"/>
      <c r="R976" s="1"/>
      <c r="Z976" s="103"/>
      <c r="AA976" s="103"/>
      <c r="AB976" s="1"/>
    </row>
    <row r="977" spans="15:30">
      <c r="O977" s="1"/>
      <c r="P977" s="1"/>
      <c r="Q977" s="1"/>
      <c r="R977" s="1"/>
      <c r="Z977" s="103"/>
      <c r="AA977" s="103"/>
      <c r="AB977" s="1"/>
    </row>
    <row r="978" spans="15:30">
      <c r="O978" s="1"/>
      <c r="P978" s="1"/>
      <c r="Q978" s="1"/>
      <c r="R978" s="1"/>
      <c r="Z978" s="103"/>
      <c r="AA978" s="103"/>
      <c r="AB978" s="1"/>
    </row>
    <row r="979" spans="15:30">
      <c r="O979" s="1"/>
      <c r="P979" s="1"/>
      <c r="Q979" s="1"/>
      <c r="R979" s="1"/>
      <c r="Z979" s="103"/>
      <c r="AA979" s="103"/>
      <c r="AB979" s="1"/>
      <c r="AD979" s="102"/>
    </row>
    <row r="980" spans="15:30">
      <c r="O980" s="1"/>
      <c r="P980" s="1"/>
      <c r="Q980" s="1"/>
      <c r="R980" s="1"/>
      <c r="Z980" s="103"/>
      <c r="AA980" s="103"/>
      <c r="AB980" s="1"/>
    </row>
    <row r="981" spans="15:30">
      <c r="O981" s="1"/>
      <c r="P981" s="1"/>
      <c r="Q981" s="1"/>
      <c r="R981" s="1"/>
      <c r="Z981" s="103"/>
      <c r="AA981" s="103"/>
      <c r="AB981" s="1"/>
    </row>
    <row r="982" spans="15:30">
      <c r="O982" s="1"/>
      <c r="P982" s="1"/>
      <c r="Q982" s="1"/>
      <c r="R982" s="1"/>
      <c r="Z982" s="103"/>
      <c r="AA982" s="103"/>
      <c r="AB982" s="1"/>
    </row>
    <row r="983" spans="15:30">
      <c r="O983" s="1"/>
      <c r="P983" s="1"/>
      <c r="Q983" s="1"/>
      <c r="R983" s="1"/>
      <c r="Z983" s="103"/>
      <c r="AA983" s="103"/>
      <c r="AB983" s="1"/>
    </row>
    <row r="984" spans="15:30">
      <c r="O984" s="1"/>
      <c r="P984" s="1"/>
      <c r="Q984" s="1"/>
      <c r="R984" s="1"/>
      <c r="Z984" s="103"/>
      <c r="AA984" s="103"/>
      <c r="AB984" s="1"/>
    </row>
    <row r="985" spans="15:30">
      <c r="O985" s="1"/>
      <c r="P985" s="1"/>
      <c r="Q985" s="1"/>
      <c r="R985" s="1"/>
      <c r="Z985" s="103"/>
      <c r="AA985" s="103"/>
      <c r="AB985" s="1"/>
    </row>
    <row r="986" spans="15:30">
      <c r="O986" s="1"/>
      <c r="P986" s="1"/>
      <c r="Q986" s="1"/>
      <c r="R986" s="1"/>
      <c r="Z986" s="103"/>
      <c r="AA986" s="103"/>
      <c r="AB986" s="1"/>
      <c r="AD986" s="102"/>
    </row>
    <row r="987" spans="15:30">
      <c r="O987" s="1"/>
      <c r="P987" s="1"/>
      <c r="Q987" s="1"/>
      <c r="R987" s="1"/>
      <c r="Z987" s="103"/>
      <c r="AA987" s="103"/>
      <c r="AB987" s="1"/>
      <c r="AD987" s="102"/>
    </row>
    <row r="988" spans="15:30">
      <c r="O988" s="1"/>
      <c r="P988" s="1"/>
      <c r="Q988" s="1"/>
      <c r="R988" s="1"/>
      <c r="Z988" s="103"/>
      <c r="AA988" s="103"/>
      <c r="AB988" s="1"/>
      <c r="AD988" s="102"/>
    </row>
    <row r="989" spans="15:30">
      <c r="O989" s="1"/>
      <c r="P989" s="1"/>
      <c r="Q989" s="1"/>
      <c r="R989" s="1"/>
      <c r="Z989" s="103"/>
      <c r="AA989" s="103"/>
      <c r="AB989" s="1"/>
    </row>
    <row r="990" spans="15:30">
      <c r="O990" s="1"/>
      <c r="P990" s="1"/>
      <c r="Q990" s="1"/>
      <c r="R990" s="1"/>
      <c r="Z990" s="103"/>
      <c r="AA990" s="103"/>
      <c r="AB990" s="1"/>
    </row>
    <row r="991" spans="15:30">
      <c r="O991" s="1"/>
      <c r="P991" s="1"/>
      <c r="Q991" s="1"/>
      <c r="R991" s="1"/>
      <c r="Z991" s="103"/>
      <c r="AA991" s="103"/>
      <c r="AB991" s="1"/>
    </row>
    <row r="992" spans="15:30">
      <c r="O992" s="1"/>
      <c r="P992" s="1"/>
      <c r="Q992" s="1"/>
      <c r="R992" s="1"/>
      <c r="Z992" s="103"/>
      <c r="AA992" s="103"/>
      <c r="AB992" s="1"/>
    </row>
    <row r="993" spans="15:28">
      <c r="O993" s="1"/>
      <c r="P993" s="1"/>
      <c r="Q993" s="1"/>
      <c r="R993" s="1"/>
      <c r="Z993" s="103"/>
      <c r="AA993" s="103"/>
      <c r="AB993" s="1"/>
    </row>
    <row r="994" spans="15:28">
      <c r="O994" s="1"/>
      <c r="P994" s="1"/>
      <c r="Q994" s="1"/>
      <c r="R994" s="1"/>
      <c r="Z994" s="103"/>
      <c r="AA994" s="103"/>
      <c r="AB994" s="1"/>
    </row>
    <row r="995" spans="15:28">
      <c r="O995" s="1"/>
      <c r="P995" s="1"/>
      <c r="Q995" s="1"/>
      <c r="R995" s="1"/>
      <c r="Z995" s="103"/>
      <c r="AA995" s="103"/>
      <c r="AB995" s="1"/>
    </row>
    <row r="996" spans="15:28">
      <c r="O996" s="1"/>
      <c r="P996" s="1"/>
      <c r="Q996" s="1"/>
      <c r="R996" s="1"/>
      <c r="Z996" s="103"/>
      <c r="AA996" s="103"/>
      <c r="AB996" s="1"/>
    </row>
    <row r="997" spans="15:28">
      <c r="O997" s="1"/>
      <c r="P997" s="1"/>
      <c r="Q997" s="1"/>
      <c r="R997" s="1"/>
      <c r="Z997" s="103"/>
      <c r="AA997" s="103"/>
      <c r="AB997" s="1"/>
    </row>
    <row r="998" spans="15:28">
      <c r="O998" s="1"/>
      <c r="P998" s="1"/>
      <c r="Q998" s="1"/>
      <c r="R998" s="1"/>
      <c r="Z998" s="103"/>
      <c r="AA998" s="103"/>
      <c r="AB998" s="1"/>
    </row>
    <row r="999" spans="15:28">
      <c r="O999" s="1"/>
      <c r="P999" s="1"/>
      <c r="Q999" s="1"/>
      <c r="R999" s="1"/>
      <c r="Z999" s="103"/>
      <c r="AA999" s="103"/>
      <c r="AB999" s="1"/>
    </row>
    <row r="1000" spans="15:28">
      <c r="O1000" s="1"/>
      <c r="P1000" s="1"/>
      <c r="Q1000" s="1"/>
      <c r="R1000" s="1"/>
      <c r="Z1000" s="103"/>
      <c r="AA1000" s="103"/>
      <c r="AB1000" s="1"/>
    </row>
    <row r="1001" spans="15:28">
      <c r="O1001" s="1"/>
      <c r="P1001" s="1"/>
      <c r="Q1001" s="1"/>
      <c r="R1001" s="1"/>
      <c r="Z1001" s="103"/>
      <c r="AA1001" s="103"/>
      <c r="AB1001" s="1"/>
    </row>
    <row r="1002" spans="15:28">
      <c r="O1002" s="1"/>
      <c r="P1002" s="1"/>
      <c r="Q1002" s="1"/>
      <c r="R1002" s="1"/>
      <c r="Z1002" s="103"/>
      <c r="AA1002" s="103"/>
      <c r="AB1002" s="1"/>
    </row>
    <row r="1003" spans="15:28">
      <c r="O1003" s="1"/>
      <c r="P1003" s="1"/>
      <c r="Q1003" s="1"/>
      <c r="R1003" s="1"/>
      <c r="Z1003" s="103"/>
      <c r="AA1003" s="103"/>
      <c r="AB1003" s="1"/>
    </row>
    <row r="1004" spans="15:28">
      <c r="O1004" s="1"/>
      <c r="P1004" s="1"/>
      <c r="Q1004" s="1"/>
      <c r="R1004" s="1"/>
      <c r="Z1004" s="103"/>
      <c r="AA1004" s="103"/>
      <c r="AB1004" s="1"/>
    </row>
    <row r="1005" spans="15:28">
      <c r="O1005" s="1"/>
      <c r="P1005" s="1"/>
      <c r="Q1005" s="1"/>
      <c r="R1005" s="1"/>
      <c r="Z1005" s="103"/>
      <c r="AA1005" s="103"/>
      <c r="AB1005" s="1"/>
    </row>
    <row r="1006" spans="15:28">
      <c r="O1006" s="1"/>
      <c r="P1006" s="1"/>
      <c r="Q1006" s="1"/>
      <c r="R1006" s="1"/>
      <c r="Z1006" s="103"/>
      <c r="AA1006" s="103"/>
      <c r="AB1006" s="1"/>
    </row>
    <row r="1007" spans="15:28">
      <c r="O1007" s="1"/>
      <c r="P1007" s="1"/>
      <c r="Q1007" s="1"/>
      <c r="R1007" s="1"/>
      <c r="Z1007" s="103"/>
      <c r="AA1007" s="103"/>
      <c r="AB1007" s="1"/>
    </row>
    <row r="1008" spans="15:28">
      <c r="O1008" s="1"/>
      <c r="P1008" s="1"/>
      <c r="Q1008" s="1"/>
      <c r="R1008" s="1"/>
      <c r="Z1008" s="103"/>
      <c r="AA1008" s="103"/>
      <c r="AB1008" s="1"/>
    </row>
    <row r="1009" spans="15:30">
      <c r="O1009" s="1"/>
      <c r="P1009" s="1"/>
      <c r="Q1009" s="1"/>
      <c r="R1009" s="1"/>
      <c r="Z1009" s="103"/>
      <c r="AA1009" s="103"/>
      <c r="AB1009" s="1"/>
    </row>
    <row r="1010" spans="15:30">
      <c r="O1010" s="1"/>
      <c r="P1010" s="1"/>
      <c r="Q1010" s="1"/>
      <c r="R1010" s="1"/>
      <c r="Z1010" s="103"/>
      <c r="AA1010" s="103"/>
      <c r="AB1010" s="1"/>
    </row>
    <row r="1011" spans="15:30">
      <c r="O1011" s="1"/>
      <c r="P1011" s="1"/>
      <c r="Q1011" s="1"/>
      <c r="R1011" s="1"/>
      <c r="Z1011" s="103"/>
      <c r="AA1011" s="103"/>
      <c r="AB1011" s="1"/>
    </row>
    <row r="1012" spans="15:30">
      <c r="O1012" s="1"/>
      <c r="P1012" s="1"/>
      <c r="Q1012" s="1"/>
      <c r="R1012" s="1"/>
      <c r="Z1012" s="103"/>
      <c r="AA1012" s="103"/>
      <c r="AB1012" s="1"/>
    </row>
    <row r="1013" spans="15:30">
      <c r="O1013" s="1"/>
      <c r="P1013" s="1"/>
      <c r="Q1013" s="1"/>
      <c r="R1013" s="1"/>
      <c r="Z1013" s="103"/>
      <c r="AA1013" s="103"/>
      <c r="AB1013" s="1"/>
    </row>
    <row r="1014" spans="15:30">
      <c r="O1014" s="1"/>
      <c r="P1014" s="1"/>
      <c r="Q1014" s="1"/>
      <c r="R1014" s="1"/>
      <c r="Z1014" s="103"/>
      <c r="AA1014" s="103"/>
      <c r="AB1014" s="1"/>
    </row>
    <row r="1015" spans="15:30">
      <c r="O1015" s="1"/>
      <c r="P1015" s="1"/>
      <c r="Q1015" s="1"/>
      <c r="R1015" s="1"/>
      <c r="Z1015" s="103"/>
      <c r="AA1015" s="103"/>
      <c r="AB1015" s="1"/>
    </row>
    <row r="1016" spans="15:30">
      <c r="O1016" s="1"/>
      <c r="P1016" s="1"/>
      <c r="Q1016" s="1"/>
      <c r="R1016" s="1"/>
      <c r="Z1016" s="103"/>
      <c r="AA1016" s="103"/>
      <c r="AB1016" s="1"/>
      <c r="AD1016" s="102"/>
    </row>
    <row r="1017" spans="15:30">
      <c r="O1017" s="1"/>
      <c r="P1017" s="1"/>
      <c r="Q1017" s="1"/>
      <c r="R1017" s="1"/>
      <c r="Z1017" s="103"/>
      <c r="AA1017" s="103"/>
      <c r="AB1017" s="1"/>
    </row>
    <row r="1018" spans="15:30">
      <c r="O1018" s="1"/>
      <c r="P1018" s="1"/>
      <c r="Q1018" s="1"/>
      <c r="R1018" s="1"/>
      <c r="Z1018" s="103"/>
      <c r="AA1018" s="103"/>
      <c r="AB1018" s="1"/>
    </row>
    <row r="1019" spans="15:30">
      <c r="O1019" s="1"/>
      <c r="P1019" s="1"/>
      <c r="Q1019" s="1"/>
      <c r="R1019" s="1"/>
      <c r="Z1019" s="103"/>
      <c r="AA1019" s="103"/>
      <c r="AB1019" s="1"/>
    </row>
    <row r="1020" spans="15:30">
      <c r="O1020" s="1"/>
      <c r="P1020" s="1"/>
      <c r="Q1020" s="1"/>
      <c r="R1020" s="1"/>
      <c r="Z1020" s="103"/>
      <c r="AA1020" s="103"/>
      <c r="AB1020" s="1"/>
    </row>
    <row r="1021" spans="15:30">
      <c r="O1021" s="1"/>
      <c r="P1021" s="1"/>
      <c r="Q1021" s="1"/>
      <c r="R1021" s="1"/>
      <c r="Z1021" s="103"/>
      <c r="AA1021" s="103"/>
      <c r="AB1021" s="1"/>
    </row>
    <row r="1022" spans="15:30">
      <c r="O1022" s="1"/>
      <c r="P1022" s="1"/>
      <c r="Q1022" s="1"/>
      <c r="R1022" s="1"/>
      <c r="Z1022" s="103"/>
      <c r="AA1022" s="103"/>
      <c r="AB1022" s="1"/>
    </row>
    <row r="1023" spans="15:30">
      <c r="O1023" s="1"/>
      <c r="P1023" s="1"/>
      <c r="Q1023" s="1"/>
      <c r="R1023" s="1"/>
      <c r="Z1023" s="103"/>
      <c r="AA1023" s="103"/>
      <c r="AB1023" s="1"/>
    </row>
    <row r="1024" spans="15:30">
      <c r="O1024" s="1"/>
      <c r="P1024" s="1"/>
      <c r="Q1024" s="1"/>
      <c r="R1024" s="1"/>
      <c r="Z1024" s="103"/>
      <c r="AA1024" s="103"/>
      <c r="AB1024" s="1"/>
    </row>
    <row r="1025" spans="15:28">
      <c r="O1025" s="1"/>
      <c r="P1025" s="1"/>
      <c r="Q1025" s="1"/>
      <c r="R1025" s="1"/>
      <c r="Z1025" s="103"/>
      <c r="AA1025" s="103"/>
      <c r="AB1025" s="1"/>
    </row>
    <row r="1026" spans="15:28">
      <c r="O1026" s="1"/>
      <c r="P1026" s="1"/>
      <c r="Q1026" s="1"/>
      <c r="R1026" s="1"/>
      <c r="Z1026" s="103"/>
      <c r="AA1026" s="103"/>
      <c r="AB1026" s="1"/>
    </row>
    <row r="1027" spans="15:28">
      <c r="O1027" s="1"/>
      <c r="P1027" s="1"/>
      <c r="Q1027" s="1"/>
      <c r="R1027" s="1"/>
      <c r="Z1027" s="103"/>
      <c r="AA1027" s="103"/>
      <c r="AB1027" s="1"/>
    </row>
    <row r="1028" spans="15:28">
      <c r="O1028" s="1"/>
      <c r="P1028" s="1"/>
      <c r="Q1028" s="1"/>
      <c r="R1028" s="1"/>
      <c r="Z1028" s="103"/>
      <c r="AA1028" s="103"/>
      <c r="AB1028" s="1"/>
    </row>
    <row r="1029" spans="15:28">
      <c r="O1029" s="1"/>
      <c r="P1029" s="1"/>
      <c r="Q1029" s="1"/>
      <c r="R1029" s="1"/>
      <c r="Z1029" s="103"/>
      <c r="AA1029" s="103"/>
      <c r="AB1029" s="1"/>
    </row>
    <row r="1030" spans="15:28">
      <c r="O1030" s="1"/>
      <c r="P1030" s="1"/>
      <c r="Q1030" s="1"/>
      <c r="R1030" s="1"/>
      <c r="Z1030" s="103"/>
      <c r="AA1030" s="103"/>
      <c r="AB1030" s="1"/>
    </row>
    <row r="1031" spans="15:28">
      <c r="O1031" s="1"/>
      <c r="P1031" s="1"/>
      <c r="Q1031" s="1"/>
      <c r="R1031" s="1"/>
      <c r="Z1031" s="103"/>
      <c r="AA1031" s="103"/>
      <c r="AB1031" s="1"/>
    </row>
    <row r="1032" spans="15:28">
      <c r="O1032" s="1"/>
      <c r="P1032" s="1"/>
      <c r="Q1032" s="1"/>
      <c r="R1032" s="1"/>
      <c r="Z1032" s="103"/>
      <c r="AA1032" s="103"/>
      <c r="AB1032" s="1"/>
    </row>
    <row r="1033" spans="15:28">
      <c r="O1033" s="1"/>
      <c r="P1033" s="1"/>
      <c r="Q1033" s="1"/>
      <c r="R1033" s="1"/>
      <c r="Z1033" s="103"/>
      <c r="AA1033" s="103"/>
      <c r="AB1033" s="1"/>
    </row>
    <row r="1034" spans="15:28">
      <c r="O1034" s="1"/>
      <c r="P1034" s="1"/>
      <c r="Q1034" s="1"/>
      <c r="R1034" s="1"/>
      <c r="Z1034" s="103"/>
      <c r="AA1034" s="103"/>
      <c r="AB1034" s="1"/>
    </row>
    <row r="1035" spans="15:28">
      <c r="O1035" s="1"/>
      <c r="P1035" s="1"/>
      <c r="Q1035" s="1"/>
      <c r="R1035" s="1"/>
      <c r="Z1035" s="103"/>
      <c r="AA1035" s="103"/>
      <c r="AB1035" s="1"/>
    </row>
    <row r="1036" spans="15:28">
      <c r="O1036" s="1"/>
      <c r="P1036" s="1"/>
      <c r="Q1036" s="1"/>
      <c r="R1036" s="1"/>
      <c r="Z1036" s="103"/>
      <c r="AA1036" s="103"/>
      <c r="AB1036" s="1"/>
    </row>
    <row r="1037" spans="15:28">
      <c r="O1037" s="1"/>
      <c r="P1037" s="1"/>
      <c r="Q1037" s="1"/>
      <c r="R1037" s="1"/>
      <c r="Z1037" s="103"/>
      <c r="AA1037" s="103"/>
      <c r="AB1037" s="1"/>
    </row>
    <row r="1038" spans="15:28">
      <c r="O1038" s="1"/>
      <c r="P1038" s="1"/>
      <c r="Q1038" s="1"/>
      <c r="R1038" s="1"/>
      <c r="Z1038" s="103"/>
      <c r="AA1038" s="103"/>
      <c r="AB1038" s="1"/>
    </row>
    <row r="1039" spans="15:28">
      <c r="O1039" s="1"/>
      <c r="P1039" s="1"/>
      <c r="Q1039" s="1"/>
      <c r="R1039" s="1"/>
      <c r="Z1039" s="103"/>
      <c r="AA1039" s="103"/>
      <c r="AB1039" s="1"/>
    </row>
    <row r="1040" spans="15:28">
      <c r="O1040" s="1"/>
      <c r="P1040" s="1"/>
      <c r="Q1040" s="1"/>
      <c r="R1040" s="1"/>
      <c r="Z1040" s="103"/>
      <c r="AA1040" s="103"/>
      <c r="AB1040" s="1"/>
    </row>
    <row r="1041" spans="15:30">
      <c r="O1041" s="1"/>
      <c r="P1041" s="1"/>
      <c r="Q1041" s="1"/>
      <c r="R1041" s="1"/>
      <c r="Z1041" s="103"/>
      <c r="AA1041" s="103"/>
      <c r="AB1041" s="1"/>
    </row>
    <row r="1042" spans="15:30">
      <c r="O1042" s="1"/>
      <c r="P1042" s="1"/>
      <c r="Q1042" s="1"/>
      <c r="R1042" s="1"/>
      <c r="Z1042" s="103"/>
      <c r="AA1042" s="103"/>
      <c r="AB1042" s="1"/>
    </row>
    <row r="1043" spans="15:30">
      <c r="O1043" s="1"/>
      <c r="P1043" s="1"/>
      <c r="Q1043" s="1"/>
      <c r="R1043" s="1"/>
      <c r="Z1043" s="103"/>
      <c r="AA1043" s="103"/>
      <c r="AB1043" s="1"/>
    </row>
    <row r="1044" spans="15:30">
      <c r="O1044" s="1"/>
      <c r="P1044" s="1"/>
      <c r="Q1044" s="1"/>
      <c r="R1044" s="1"/>
      <c r="Z1044" s="103"/>
      <c r="AA1044" s="103"/>
      <c r="AB1044" s="1"/>
    </row>
    <row r="1045" spans="15:30">
      <c r="O1045" s="1"/>
      <c r="P1045" s="1"/>
      <c r="Q1045" s="1"/>
      <c r="R1045" s="1"/>
      <c r="Z1045" s="103"/>
      <c r="AA1045" s="103"/>
      <c r="AB1045" s="1"/>
    </row>
    <row r="1046" spans="15:30">
      <c r="O1046" s="1"/>
      <c r="P1046" s="1"/>
      <c r="Q1046" s="1"/>
      <c r="R1046" s="1"/>
      <c r="Z1046" s="103"/>
      <c r="AA1046" s="103"/>
      <c r="AB1046" s="1"/>
    </row>
    <row r="1047" spans="15:30">
      <c r="O1047" s="1"/>
      <c r="P1047" s="1"/>
      <c r="Q1047" s="1"/>
      <c r="R1047" s="1"/>
      <c r="Z1047" s="103"/>
      <c r="AA1047" s="103"/>
      <c r="AB1047" s="1"/>
    </row>
    <row r="1048" spans="15:30">
      <c r="O1048" s="1"/>
      <c r="P1048" s="1"/>
      <c r="Q1048" s="1"/>
      <c r="R1048" s="1"/>
      <c r="Z1048" s="103"/>
      <c r="AA1048" s="103"/>
      <c r="AB1048" s="1"/>
      <c r="AD1048" s="102"/>
    </row>
    <row r="1049" spans="15:30">
      <c r="O1049" s="1"/>
      <c r="P1049" s="1"/>
      <c r="Q1049" s="1"/>
      <c r="R1049" s="1"/>
      <c r="Z1049" s="103"/>
      <c r="AA1049" s="103"/>
      <c r="AB1049" s="1"/>
    </row>
    <row r="1050" spans="15:30">
      <c r="O1050" s="1"/>
      <c r="P1050" s="1"/>
      <c r="Q1050" s="1"/>
      <c r="R1050" s="1"/>
      <c r="Z1050" s="103"/>
      <c r="AA1050" s="103"/>
      <c r="AB1050" s="1"/>
    </row>
    <row r="1051" spans="15:30">
      <c r="O1051" s="1"/>
      <c r="P1051" s="1"/>
      <c r="Q1051" s="1"/>
      <c r="R1051" s="1"/>
      <c r="Z1051" s="103"/>
      <c r="AA1051" s="103"/>
      <c r="AB1051" s="1"/>
    </row>
    <row r="1052" spans="15:30">
      <c r="O1052" s="1"/>
      <c r="P1052" s="1"/>
      <c r="Q1052" s="1"/>
      <c r="R1052" s="1"/>
      <c r="Z1052" s="103"/>
      <c r="AA1052" s="103"/>
      <c r="AB1052" s="1"/>
    </row>
    <row r="1053" spans="15:30">
      <c r="O1053" s="1"/>
      <c r="P1053" s="1"/>
      <c r="Q1053" s="1"/>
      <c r="R1053" s="1"/>
      <c r="Z1053" s="103"/>
      <c r="AA1053" s="103"/>
      <c r="AB1053" s="1"/>
    </row>
    <row r="1054" spans="15:30">
      <c r="O1054" s="1"/>
      <c r="P1054" s="1"/>
      <c r="Q1054" s="1"/>
      <c r="R1054" s="1"/>
      <c r="Z1054" s="103"/>
      <c r="AA1054" s="103"/>
      <c r="AB1054" s="1"/>
    </row>
    <row r="1055" spans="15:30">
      <c r="O1055" s="1"/>
      <c r="P1055" s="1"/>
      <c r="Q1055" s="1"/>
      <c r="R1055" s="1"/>
      <c r="Z1055" s="103"/>
      <c r="AA1055" s="103"/>
      <c r="AB1055" s="1"/>
    </row>
    <row r="1056" spans="15:30">
      <c r="O1056" s="1"/>
      <c r="P1056" s="1"/>
      <c r="Q1056" s="1"/>
      <c r="R1056" s="1"/>
      <c r="Z1056" s="103"/>
      <c r="AA1056" s="103"/>
      <c r="AB1056" s="1"/>
    </row>
    <row r="1057" spans="15:28">
      <c r="O1057" s="1"/>
      <c r="P1057" s="1"/>
      <c r="Q1057" s="1"/>
      <c r="R1057" s="1"/>
      <c r="Z1057" s="103"/>
      <c r="AA1057" s="103"/>
      <c r="AB1057" s="1"/>
    </row>
    <row r="1058" spans="15:28">
      <c r="O1058" s="1"/>
      <c r="P1058" s="1"/>
      <c r="Q1058" s="1"/>
      <c r="R1058" s="1"/>
      <c r="Z1058" s="103"/>
      <c r="AA1058" s="103"/>
      <c r="AB1058" s="1"/>
    </row>
    <row r="1059" spans="15:28">
      <c r="O1059" s="1"/>
      <c r="P1059" s="1"/>
      <c r="Q1059" s="1"/>
      <c r="R1059" s="1"/>
      <c r="Z1059" s="103"/>
      <c r="AA1059" s="103"/>
      <c r="AB1059" s="1"/>
    </row>
    <row r="1060" spans="15:28">
      <c r="O1060" s="1"/>
      <c r="P1060" s="1"/>
      <c r="Q1060" s="1"/>
      <c r="R1060" s="1"/>
      <c r="Z1060" s="103"/>
      <c r="AA1060" s="103"/>
      <c r="AB1060" s="1"/>
    </row>
    <row r="1061" spans="15:28">
      <c r="O1061" s="1"/>
      <c r="P1061" s="1"/>
      <c r="Q1061" s="1"/>
      <c r="R1061" s="1"/>
      <c r="Z1061" s="103"/>
      <c r="AA1061" s="103"/>
      <c r="AB1061" s="1"/>
    </row>
    <row r="1062" spans="15:28">
      <c r="O1062" s="1"/>
      <c r="P1062" s="1"/>
      <c r="Q1062" s="1"/>
      <c r="R1062" s="1"/>
      <c r="Z1062" s="103"/>
      <c r="AA1062" s="103"/>
      <c r="AB1062" s="1"/>
    </row>
    <row r="1063" spans="15:28">
      <c r="O1063" s="1"/>
      <c r="P1063" s="1"/>
      <c r="Q1063" s="1"/>
      <c r="R1063" s="1"/>
      <c r="Z1063" s="103"/>
      <c r="AA1063" s="103"/>
      <c r="AB1063" s="1"/>
    </row>
    <row r="1064" spans="15:28">
      <c r="O1064" s="1"/>
      <c r="P1064" s="1"/>
      <c r="Q1064" s="1"/>
      <c r="R1064" s="1"/>
      <c r="Z1064" s="103"/>
      <c r="AA1064" s="103"/>
      <c r="AB1064" s="1"/>
    </row>
    <row r="1065" spans="15:28">
      <c r="O1065" s="1"/>
      <c r="P1065" s="1"/>
      <c r="Q1065" s="1"/>
      <c r="R1065" s="1"/>
      <c r="Z1065" s="103"/>
      <c r="AA1065" s="103"/>
      <c r="AB1065" s="1"/>
    </row>
    <row r="1066" spans="15:28">
      <c r="O1066" s="1"/>
      <c r="P1066" s="1"/>
      <c r="Q1066" s="1"/>
      <c r="R1066" s="1"/>
      <c r="Z1066" s="103"/>
      <c r="AA1066" s="103"/>
      <c r="AB1066" s="1"/>
    </row>
    <row r="1067" spans="15:28">
      <c r="O1067" s="1"/>
      <c r="P1067" s="1"/>
      <c r="Q1067" s="1"/>
      <c r="R1067" s="1"/>
      <c r="Z1067" s="103"/>
      <c r="AA1067" s="103"/>
      <c r="AB1067" s="1"/>
    </row>
    <row r="1068" spans="15:28">
      <c r="O1068" s="1"/>
      <c r="P1068" s="1"/>
      <c r="Q1068" s="1"/>
      <c r="R1068" s="1"/>
      <c r="Z1068" s="103"/>
      <c r="AA1068" s="103"/>
      <c r="AB1068" s="1"/>
    </row>
    <row r="1069" spans="15:28">
      <c r="O1069" s="1"/>
      <c r="P1069" s="1"/>
      <c r="Q1069" s="1"/>
      <c r="R1069" s="1"/>
      <c r="Z1069" s="103"/>
      <c r="AA1069" s="103"/>
      <c r="AB1069" s="1"/>
    </row>
    <row r="1070" spans="15:28">
      <c r="O1070" s="1"/>
      <c r="P1070" s="1"/>
      <c r="Q1070" s="1"/>
      <c r="R1070" s="1"/>
      <c r="Z1070" s="103"/>
      <c r="AA1070" s="103"/>
      <c r="AB1070" s="1"/>
    </row>
    <row r="1071" spans="15:28">
      <c r="O1071" s="1"/>
      <c r="P1071" s="1"/>
      <c r="Q1071" s="1"/>
      <c r="R1071" s="1"/>
      <c r="Z1071" s="103"/>
      <c r="AA1071" s="103"/>
      <c r="AB1071" s="1"/>
    </row>
    <row r="1072" spans="15:28">
      <c r="O1072" s="1"/>
      <c r="P1072" s="1"/>
      <c r="Q1072" s="1"/>
      <c r="R1072" s="1"/>
      <c r="Z1072" s="103"/>
      <c r="AA1072" s="103"/>
      <c r="AB1072" s="1"/>
    </row>
    <row r="1073" spans="15:28">
      <c r="O1073" s="1"/>
      <c r="P1073" s="1"/>
      <c r="Q1073" s="1"/>
      <c r="R1073" s="1"/>
      <c r="Z1073" s="103"/>
      <c r="AA1073" s="103"/>
      <c r="AB1073" s="1"/>
    </row>
    <row r="1074" spans="15:28">
      <c r="O1074" s="1"/>
      <c r="P1074" s="1"/>
      <c r="Q1074" s="1"/>
      <c r="R1074" s="1"/>
      <c r="Z1074" s="103"/>
      <c r="AA1074" s="103"/>
      <c r="AB1074" s="1"/>
    </row>
    <row r="1075" spans="15:28">
      <c r="O1075" s="1"/>
      <c r="P1075" s="1"/>
      <c r="Q1075" s="1"/>
      <c r="R1075" s="1"/>
      <c r="Z1075" s="103"/>
      <c r="AA1075" s="103"/>
      <c r="AB1075" s="1"/>
    </row>
    <row r="1076" spans="15:28">
      <c r="O1076" s="1"/>
      <c r="P1076" s="1"/>
      <c r="Q1076" s="1"/>
      <c r="R1076" s="1"/>
      <c r="Z1076" s="103"/>
      <c r="AA1076" s="103"/>
      <c r="AB1076" s="1"/>
    </row>
    <row r="1077" spans="15:28">
      <c r="O1077" s="1"/>
      <c r="P1077" s="1"/>
      <c r="Q1077" s="1"/>
      <c r="R1077" s="1"/>
      <c r="Z1077" s="103"/>
      <c r="AA1077" s="103"/>
      <c r="AB1077" s="1"/>
    </row>
    <row r="1078" spans="15:28">
      <c r="O1078" s="1"/>
      <c r="P1078" s="1"/>
      <c r="Q1078" s="1"/>
      <c r="R1078" s="1"/>
      <c r="Z1078" s="103"/>
      <c r="AA1078" s="103"/>
      <c r="AB1078" s="1"/>
    </row>
    <row r="1079" spans="15:28">
      <c r="O1079" s="1"/>
      <c r="P1079" s="1"/>
      <c r="Q1079" s="1"/>
      <c r="R1079" s="1"/>
      <c r="Z1079" s="103"/>
      <c r="AA1079" s="103"/>
      <c r="AB1079" s="1"/>
    </row>
    <row r="1080" spans="15:28">
      <c r="O1080" s="1"/>
      <c r="P1080" s="1"/>
      <c r="Q1080" s="1"/>
      <c r="R1080" s="1"/>
      <c r="Z1080" s="103"/>
      <c r="AA1080" s="103"/>
      <c r="AB1080" s="1"/>
    </row>
    <row r="1081" spans="15:28">
      <c r="O1081" s="1"/>
      <c r="P1081" s="1"/>
      <c r="Q1081" s="1"/>
      <c r="R1081" s="1"/>
      <c r="Z1081" s="103"/>
      <c r="AA1081" s="103"/>
      <c r="AB1081" s="1"/>
    </row>
    <row r="1082" spans="15:28">
      <c r="O1082" s="1"/>
      <c r="P1082" s="1"/>
      <c r="Q1082" s="1"/>
      <c r="R1082" s="1"/>
      <c r="Z1082" s="103"/>
      <c r="AA1082" s="103"/>
      <c r="AB1082" s="1"/>
    </row>
    <row r="1083" spans="15:28">
      <c r="O1083" s="1"/>
      <c r="P1083" s="1"/>
      <c r="Q1083" s="1"/>
      <c r="R1083" s="1"/>
      <c r="Z1083" s="103"/>
      <c r="AA1083" s="103"/>
      <c r="AB1083" s="1"/>
    </row>
    <row r="1084" spans="15:28">
      <c r="O1084" s="1"/>
      <c r="P1084" s="1"/>
      <c r="Q1084" s="1"/>
      <c r="R1084" s="1"/>
      <c r="Z1084" s="103"/>
      <c r="AA1084" s="103"/>
      <c r="AB1084" s="1"/>
    </row>
    <row r="1085" spans="15:28">
      <c r="O1085" s="1"/>
      <c r="P1085" s="1"/>
      <c r="Q1085" s="1"/>
      <c r="R1085" s="1"/>
      <c r="Z1085" s="103"/>
      <c r="AA1085" s="103"/>
      <c r="AB1085" s="1"/>
    </row>
    <row r="1086" spans="15:28">
      <c r="O1086" s="1"/>
      <c r="P1086" s="1"/>
      <c r="Q1086" s="1"/>
      <c r="R1086" s="1"/>
      <c r="Z1086" s="103"/>
      <c r="AA1086" s="103"/>
      <c r="AB1086" s="1"/>
    </row>
    <row r="1087" spans="15:28">
      <c r="O1087" s="1"/>
      <c r="P1087" s="1"/>
      <c r="Q1087" s="1"/>
      <c r="R1087" s="1"/>
      <c r="Z1087" s="103"/>
      <c r="AA1087" s="103"/>
      <c r="AB1087" s="1"/>
    </row>
    <row r="1088" spans="15:28">
      <c r="O1088" s="1"/>
      <c r="P1088" s="1"/>
      <c r="Q1088" s="1"/>
      <c r="R1088" s="1"/>
      <c r="Z1088" s="103"/>
      <c r="AA1088" s="103"/>
      <c r="AB1088" s="1"/>
    </row>
    <row r="1089" spans="15:30">
      <c r="O1089" s="1"/>
      <c r="P1089" s="1"/>
      <c r="Q1089" s="1"/>
      <c r="R1089" s="1"/>
      <c r="Z1089" s="103"/>
      <c r="AA1089" s="103"/>
      <c r="AB1089" s="1"/>
    </row>
    <row r="1090" spans="15:30">
      <c r="O1090" s="1"/>
      <c r="P1090" s="1"/>
      <c r="Q1090" s="1"/>
      <c r="R1090" s="1"/>
      <c r="Z1090" s="103"/>
      <c r="AA1090" s="103"/>
      <c r="AB1090" s="1"/>
    </row>
    <row r="1091" spans="15:30">
      <c r="O1091" s="1"/>
      <c r="P1091" s="1"/>
      <c r="Q1091" s="1"/>
      <c r="R1091" s="1"/>
      <c r="Z1091" s="103"/>
      <c r="AA1091" s="103"/>
      <c r="AB1091" s="1"/>
    </row>
    <row r="1092" spans="15:30">
      <c r="O1092" s="1"/>
      <c r="P1092" s="1"/>
      <c r="Q1092" s="1"/>
      <c r="R1092" s="1"/>
      <c r="Z1092" s="103"/>
      <c r="AA1092" s="103"/>
      <c r="AB1092" s="1"/>
    </row>
    <row r="1093" spans="15:30">
      <c r="O1093" s="1"/>
      <c r="P1093" s="1"/>
      <c r="Q1093" s="1"/>
      <c r="R1093" s="1"/>
      <c r="Z1093" s="103"/>
      <c r="AA1093" s="103"/>
      <c r="AB1093" s="1"/>
    </row>
    <row r="1094" spans="15:30">
      <c r="O1094" s="1"/>
      <c r="P1094" s="1"/>
      <c r="Q1094" s="1"/>
      <c r="R1094" s="1"/>
      <c r="Z1094" s="103"/>
      <c r="AA1094" s="103"/>
      <c r="AB1094" s="1"/>
    </row>
    <row r="1095" spans="15:30">
      <c r="O1095" s="1"/>
      <c r="P1095" s="1"/>
      <c r="Q1095" s="1"/>
      <c r="R1095" s="1"/>
      <c r="Z1095" s="103"/>
      <c r="AA1095" s="103"/>
      <c r="AB1095" s="1"/>
    </row>
    <row r="1096" spans="15:30">
      <c r="O1096" s="1"/>
      <c r="P1096" s="1"/>
      <c r="Q1096" s="1"/>
      <c r="R1096" s="1"/>
      <c r="Z1096" s="103"/>
      <c r="AA1096" s="103"/>
      <c r="AB1096" s="1"/>
    </row>
    <row r="1097" spans="15:30">
      <c r="O1097" s="1"/>
      <c r="P1097" s="1"/>
      <c r="Q1097" s="1"/>
      <c r="R1097" s="1"/>
      <c r="Z1097" s="103"/>
      <c r="AA1097" s="103"/>
      <c r="AB1097" s="1"/>
      <c r="AD1097" s="102"/>
    </row>
    <row r="1098" spans="15:30">
      <c r="O1098" s="1"/>
      <c r="P1098" s="1"/>
      <c r="Q1098" s="1"/>
      <c r="R1098" s="1"/>
      <c r="Z1098" s="103"/>
      <c r="AA1098" s="103"/>
      <c r="AB1098" s="1"/>
    </row>
    <row r="1099" spans="15:30">
      <c r="O1099" s="1"/>
      <c r="P1099" s="1"/>
      <c r="Q1099" s="1"/>
      <c r="R1099" s="1"/>
      <c r="Z1099" s="103"/>
      <c r="AA1099" s="103"/>
      <c r="AB1099" s="1"/>
    </row>
    <row r="1100" spans="15:30">
      <c r="O1100" s="1"/>
      <c r="P1100" s="1"/>
      <c r="Q1100" s="1"/>
      <c r="R1100" s="1"/>
      <c r="Z1100" s="103"/>
      <c r="AA1100" s="103"/>
      <c r="AB1100" s="1"/>
    </row>
    <row r="1101" spans="15:30">
      <c r="O1101" s="1"/>
      <c r="P1101" s="1"/>
      <c r="Q1101" s="1"/>
      <c r="R1101" s="1"/>
      <c r="Z1101" s="103"/>
      <c r="AA1101" s="103"/>
      <c r="AB1101" s="1"/>
    </row>
    <row r="1102" spans="15:30">
      <c r="O1102" s="1"/>
      <c r="P1102" s="1"/>
      <c r="Q1102" s="1"/>
      <c r="R1102" s="1"/>
      <c r="Z1102" s="103"/>
      <c r="AA1102" s="103"/>
      <c r="AB1102" s="1"/>
    </row>
    <row r="1103" spans="15:30">
      <c r="O1103" s="1"/>
      <c r="P1103" s="1"/>
      <c r="Q1103" s="1"/>
      <c r="R1103" s="1"/>
      <c r="Z1103" s="103"/>
      <c r="AA1103" s="103"/>
      <c r="AB1103" s="1"/>
    </row>
    <row r="1104" spans="15:30">
      <c r="O1104" s="1"/>
      <c r="P1104" s="1"/>
      <c r="Q1104" s="1"/>
      <c r="R1104" s="1"/>
      <c r="Z1104" s="103"/>
      <c r="AA1104" s="103"/>
      <c r="AB1104" s="1"/>
    </row>
    <row r="1105" spans="15:30">
      <c r="O1105" s="1"/>
      <c r="P1105" s="1"/>
      <c r="Q1105" s="1"/>
      <c r="R1105" s="1"/>
      <c r="Z1105" s="103"/>
      <c r="AA1105" s="103"/>
      <c r="AB1105" s="1"/>
    </row>
    <row r="1106" spans="15:30">
      <c r="O1106" s="1"/>
      <c r="P1106" s="1"/>
      <c r="Q1106" s="1"/>
      <c r="R1106" s="1"/>
      <c r="Z1106" s="103"/>
      <c r="AA1106" s="103"/>
      <c r="AB1106" s="1"/>
    </row>
    <row r="1107" spans="15:30">
      <c r="O1107" s="1"/>
      <c r="P1107" s="1"/>
      <c r="Q1107" s="1"/>
      <c r="R1107" s="1"/>
      <c r="Z1107" s="103"/>
      <c r="AA1107" s="103"/>
      <c r="AB1107" s="1"/>
    </row>
    <row r="1108" spans="15:30">
      <c r="O1108" s="1"/>
      <c r="P1108" s="1"/>
      <c r="Q1108" s="1"/>
      <c r="R1108" s="1"/>
      <c r="Z1108" s="103"/>
      <c r="AA1108" s="103"/>
      <c r="AB1108" s="1"/>
    </row>
    <row r="1109" spans="15:30">
      <c r="O1109" s="1"/>
      <c r="P1109" s="1"/>
      <c r="Q1109" s="1"/>
      <c r="R1109" s="1"/>
      <c r="Z1109" s="103"/>
      <c r="AA1109" s="103"/>
      <c r="AB1109" s="1"/>
    </row>
    <row r="1110" spans="15:30">
      <c r="O1110" s="1"/>
      <c r="P1110" s="1"/>
      <c r="Q1110" s="1"/>
      <c r="R1110" s="1"/>
      <c r="Z1110" s="103"/>
      <c r="AA1110" s="103"/>
      <c r="AB1110" s="1"/>
    </row>
    <row r="1111" spans="15:30">
      <c r="O1111" s="1"/>
      <c r="P1111" s="1"/>
      <c r="Q1111" s="1"/>
      <c r="R1111" s="1"/>
      <c r="Z1111" s="103"/>
      <c r="AA1111" s="103"/>
      <c r="AB1111" s="1"/>
    </row>
    <row r="1112" spans="15:30">
      <c r="O1112" s="1"/>
      <c r="P1112" s="1"/>
      <c r="Q1112" s="1"/>
      <c r="R1112" s="1"/>
      <c r="Z1112" s="103"/>
      <c r="AA1112" s="103"/>
      <c r="AB1112" s="1"/>
    </row>
    <row r="1113" spans="15:30">
      <c r="O1113" s="1"/>
      <c r="P1113" s="1"/>
      <c r="Q1113" s="1"/>
      <c r="R1113" s="1"/>
      <c r="Z1113" s="103"/>
      <c r="AA1113" s="103"/>
      <c r="AB1113" s="1"/>
    </row>
    <row r="1114" spans="15:30">
      <c r="O1114" s="1"/>
      <c r="P1114" s="1"/>
      <c r="Q1114" s="1"/>
      <c r="R1114" s="1"/>
      <c r="Z1114" s="103"/>
      <c r="AA1114" s="103"/>
      <c r="AB1114" s="1"/>
      <c r="AD1114" s="102"/>
    </row>
    <row r="1115" spans="15:30">
      <c r="O1115" s="1"/>
      <c r="P1115" s="1"/>
      <c r="Q1115" s="1"/>
      <c r="R1115" s="1"/>
      <c r="Z1115" s="103"/>
      <c r="AA1115" s="103"/>
      <c r="AB1115" s="1"/>
    </row>
    <row r="1116" spans="15:30">
      <c r="O1116" s="1"/>
      <c r="P1116" s="1"/>
      <c r="Q1116" s="1"/>
      <c r="R1116" s="1"/>
      <c r="Z1116" s="103"/>
      <c r="AA1116" s="103"/>
      <c r="AB1116" s="1"/>
    </row>
    <row r="1117" spans="15:30">
      <c r="O1117" s="1"/>
      <c r="P1117" s="1"/>
      <c r="Q1117" s="1"/>
      <c r="R1117" s="1"/>
      <c r="Z1117" s="103"/>
      <c r="AA1117" s="103"/>
      <c r="AB1117" s="1"/>
    </row>
    <row r="1118" spans="15:30">
      <c r="O1118" s="1"/>
      <c r="P1118" s="1"/>
      <c r="Q1118" s="1"/>
      <c r="R1118" s="1"/>
      <c r="Z1118" s="103"/>
      <c r="AA1118" s="103"/>
      <c r="AB1118" s="1"/>
    </row>
    <row r="1119" spans="15:30">
      <c r="O1119" s="1"/>
      <c r="P1119" s="1"/>
      <c r="Q1119" s="1"/>
      <c r="R1119" s="1"/>
      <c r="Z1119" s="103"/>
      <c r="AA1119" s="103"/>
      <c r="AB1119" s="1"/>
    </row>
    <row r="1120" spans="15:30">
      <c r="O1120" s="1"/>
      <c r="P1120" s="1"/>
      <c r="Q1120" s="1"/>
      <c r="R1120" s="1"/>
      <c r="Z1120" s="103"/>
      <c r="AA1120" s="103"/>
      <c r="AB1120" s="1"/>
    </row>
    <row r="1121" spans="15:28">
      <c r="O1121" s="1"/>
      <c r="P1121" s="1"/>
      <c r="Q1121" s="1"/>
      <c r="R1121" s="1"/>
      <c r="Z1121" s="103"/>
      <c r="AA1121" s="103"/>
      <c r="AB1121" s="1"/>
    </row>
    <row r="1122" spans="15:28">
      <c r="O1122" s="1"/>
      <c r="P1122" s="1"/>
      <c r="Q1122" s="1"/>
      <c r="R1122" s="1"/>
      <c r="Z1122" s="103"/>
      <c r="AA1122" s="103"/>
      <c r="AB1122" s="1"/>
    </row>
    <row r="1123" spans="15:28">
      <c r="O1123" s="1"/>
      <c r="P1123" s="1"/>
      <c r="Q1123" s="1"/>
      <c r="R1123" s="1"/>
      <c r="Z1123" s="103"/>
      <c r="AA1123" s="103"/>
      <c r="AB1123" s="1"/>
    </row>
    <row r="1124" spans="15:28">
      <c r="O1124" s="1"/>
      <c r="P1124" s="1"/>
      <c r="Q1124" s="1"/>
      <c r="R1124" s="1"/>
      <c r="Z1124" s="103"/>
      <c r="AA1124" s="103"/>
      <c r="AB1124" s="1"/>
    </row>
    <row r="1125" spans="15:28">
      <c r="O1125" s="1"/>
      <c r="P1125" s="1"/>
      <c r="Q1125" s="1"/>
      <c r="R1125" s="1"/>
      <c r="Z1125" s="103"/>
      <c r="AA1125" s="103"/>
      <c r="AB1125" s="1"/>
    </row>
    <row r="1126" spans="15:28">
      <c r="O1126" s="1"/>
      <c r="P1126" s="1"/>
      <c r="Q1126" s="1"/>
      <c r="R1126" s="1"/>
      <c r="Z1126" s="103"/>
      <c r="AA1126" s="103"/>
      <c r="AB1126" s="1"/>
    </row>
    <row r="1127" spans="15:28">
      <c r="O1127" s="1"/>
      <c r="P1127" s="1"/>
      <c r="Q1127" s="1"/>
      <c r="R1127" s="1"/>
      <c r="Z1127" s="103"/>
      <c r="AA1127" s="103"/>
      <c r="AB1127" s="1"/>
    </row>
    <row r="1128" spans="15:28">
      <c r="O1128" s="1"/>
      <c r="P1128" s="1"/>
      <c r="Q1128" s="1"/>
      <c r="R1128" s="1"/>
      <c r="Z1128" s="103"/>
      <c r="AA1128" s="103"/>
      <c r="AB1128" s="1"/>
    </row>
    <row r="1129" spans="15:28">
      <c r="O1129" s="1"/>
      <c r="P1129" s="1"/>
      <c r="Q1129" s="1"/>
      <c r="R1129" s="1"/>
      <c r="Z1129" s="103"/>
      <c r="AA1129" s="103"/>
      <c r="AB1129" s="1"/>
    </row>
    <row r="1130" spans="15:28">
      <c r="O1130" s="1"/>
      <c r="P1130" s="1"/>
      <c r="Q1130" s="1"/>
      <c r="R1130" s="1"/>
      <c r="Z1130" s="103"/>
      <c r="AA1130" s="103"/>
      <c r="AB1130" s="1"/>
    </row>
    <row r="1131" spans="15:28">
      <c r="O1131" s="1"/>
      <c r="P1131" s="1"/>
      <c r="Q1131" s="1"/>
      <c r="R1131" s="1"/>
      <c r="Z1131" s="103"/>
      <c r="AA1131" s="103"/>
      <c r="AB1131" s="1"/>
    </row>
    <row r="1132" spans="15:28">
      <c r="O1132" s="1"/>
      <c r="P1132" s="1"/>
      <c r="Q1132" s="1"/>
      <c r="R1132" s="1"/>
      <c r="Z1132" s="103"/>
      <c r="AA1132" s="103"/>
      <c r="AB1132" s="1"/>
    </row>
    <row r="1133" spans="15:28">
      <c r="O1133" s="1"/>
      <c r="P1133" s="1"/>
      <c r="Q1133" s="1"/>
      <c r="R1133" s="1"/>
      <c r="Z1133" s="103"/>
      <c r="AA1133" s="103"/>
      <c r="AB1133" s="1"/>
    </row>
    <row r="1134" spans="15:28">
      <c r="O1134" s="1"/>
      <c r="P1134" s="1"/>
      <c r="Q1134" s="1"/>
      <c r="R1134" s="1"/>
      <c r="Z1134" s="103"/>
      <c r="AA1134" s="103"/>
      <c r="AB1134" s="1"/>
    </row>
    <row r="1135" spans="15:28">
      <c r="O1135" s="1"/>
      <c r="P1135" s="1"/>
      <c r="Q1135" s="1"/>
      <c r="R1135" s="1"/>
      <c r="Z1135" s="103"/>
      <c r="AA1135" s="103"/>
      <c r="AB1135" s="1"/>
    </row>
    <row r="1136" spans="15:28">
      <c r="O1136" s="1"/>
      <c r="P1136" s="1"/>
      <c r="Q1136" s="1"/>
      <c r="R1136" s="1"/>
      <c r="Z1136" s="103"/>
      <c r="AA1136" s="103"/>
      <c r="AB1136" s="1"/>
    </row>
    <row r="1137" spans="15:28">
      <c r="O1137" s="1"/>
      <c r="P1137" s="1"/>
      <c r="Q1137" s="1"/>
      <c r="R1137" s="1"/>
      <c r="Z1137" s="103"/>
      <c r="AA1137" s="103"/>
      <c r="AB1137" s="1"/>
    </row>
    <row r="1138" spans="15:28">
      <c r="O1138" s="1"/>
      <c r="P1138" s="1"/>
      <c r="Q1138" s="1"/>
      <c r="R1138" s="1"/>
      <c r="Z1138" s="103"/>
      <c r="AA1138" s="103"/>
      <c r="AB1138" s="1"/>
    </row>
    <row r="1139" spans="15:28">
      <c r="O1139" s="1"/>
      <c r="P1139" s="1"/>
      <c r="Q1139" s="1"/>
      <c r="R1139" s="1"/>
      <c r="Z1139" s="103"/>
      <c r="AA1139" s="103"/>
      <c r="AB1139" s="1"/>
    </row>
    <row r="1140" spans="15:28">
      <c r="O1140" s="1"/>
      <c r="P1140" s="1"/>
      <c r="Q1140" s="1"/>
      <c r="R1140" s="1"/>
      <c r="Z1140" s="103"/>
      <c r="AA1140" s="103"/>
      <c r="AB1140" s="1"/>
    </row>
    <row r="1141" spans="15:28">
      <c r="O1141" s="1"/>
      <c r="P1141" s="1"/>
      <c r="Q1141" s="1"/>
      <c r="R1141" s="1"/>
      <c r="Z1141" s="103"/>
      <c r="AA1141" s="103"/>
      <c r="AB1141" s="1"/>
    </row>
    <row r="1142" spans="15:28">
      <c r="O1142" s="1"/>
      <c r="P1142" s="1"/>
      <c r="Q1142" s="1"/>
      <c r="R1142" s="1"/>
      <c r="Z1142" s="103"/>
      <c r="AA1142" s="103"/>
      <c r="AB1142" s="1"/>
    </row>
    <row r="1143" spans="15:28">
      <c r="O1143" s="1"/>
      <c r="P1143" s="1"/>
      <c r="Q1143" s="1"/>
      <c r="R1143" s="1"/>
      <c r="Z1143" s="103"/>
      <c r="AA1143" s="103"/>
      <c r="AB1143" s="1"/>
    </row>
    <row r="1144" spans="15:28">
      <c r="O1144" s="1"/>
      <c r="P1144" s="1"/>
      <c r="Q1144" s="1"/>
      <c r="R1144" s="1"/>
      <c r="Z1144" s="103"/>
      <c r="AA1144" s="103"/>
      <c r="AB1144" s="1"/>
    </row>
    <row r="1145" spans="15:28">
      <c r="O1145" s="1"/>
      <c r="P1145" s="1"/>
      <c r="Q1145" s="1"/>
      <c r="R1145" s="1"/>
      <c r="Z1145" s="103"/>
      <c r="AA1145" s="103"/>
      <c r="AB1145" s="1"/>
    </row>
    <row r="1146" spans="15:28">
      <c r="O1146" s="1"/>
      <c r="P1146" s="1"/>
      <c r="Q1146" s="1"/>
      <c r="R1146" s="1"/>
      <c r="Z1146" s="103"/>
      <c r="AA1146" s="103"/>
      <c r="AB1146" s="1"/>
    </row>
    <row r="1147" spans="15:28">
      <c r="O1147" s="1"/>
      <c r="P1147" s="1"/>
      <c r="Q1147" s="1"/>
      <c r="R1147" s="1"/>
      <c r="Z1147" s="103"/>
      <c r="AA1147" s="103"/>
      <c r="AB1147" s="1"/>
    </row>
    <row r="1148" spans="15:28">
      <c r="O1148" s="1"/>
      <c r="P1148" s="1"/>
      <c r="Q1148" s="1"/>
      <c r="R1148" s="1"/>
      <c r="Z1148" s="103"/>
      <c r="AA1148" s="103"/>
      <c r="AB1148" s="1"/>
    </row>
    <row r="1149" spans="15:28">
      <c r="O1149" s="1"/>
      <c r="P1149" s="1"/>
      <c r="Q1149" s="1"/>
      <c r="R1149" s="1"/>
      <c r="Z1149" s="103"/>
      <c r="AA1149" s="103"/>
      <c r="AB1149" s="1"/>
    </row>
    <row r="1150" spans="15:28">
      <c r="O1150" s="1"/>
      <c r="P1150" s="1"/>
      <c r="Q1150" s="1"/>
      <c r="R1150" s="1"/>
      <c r="Z1150" s="103"/>
      <c r="AA1150" s="103"/>
      <c r="AB1150" s="1"/>
    </row>
    <row r="1151" spans="15:28">
      <c r="O1151" s="1"/>
      <c r="P1151" s="1"/>
      <c r="Q1151" s="1"/>
      <c r="R1151" s="1"/>
      <c r="Z1151" s="103"/>
      <c r="AA1151" s="103"/>
      <c r="AB1151" s="1"/>
    </row>
    <row r="1152" spans="15:28">
      <c r="O1152" s="1"/>
      <c r="P1152" s="1"/>
      <c r="Q1152" s="1"/>
      <c r="R1152" s="1"/>
      <c r="Z1152" s="103"/>
      <c r="AA1152" s="103"/>
      <c r="AB1152" s="1"/>
    </row>
    <row r="1153" spans="15:30">
      <c r="O1153" s="1"/>
      <c r="P1153" s="1"/>
      <c r="Q1153" s="1"/>
      <c r="R1153" s="1"/>
      <c r="Z1153" s="103"/>
      <c r="AA1153" s="103"/>
      <c r="AB1153" s="1"/>
    </row>
    <row r="1154" spans="15:30">
      <c r="O1154" s="1"/>
      <c r="P1154" s="1"/>
      <c r="Q1154" s="1"/>
      <c r="R1154" s="1"/>
      <c r="Z1154" s="103"/>
      <c r="AA1154" s="103"/>
      <c r="AB1154" s="1"/>
    </row>
    <row r="1155" spans="15:30">
      <c r="O1155" s="1"/>
      <c r="P1155" s="1"/>
      <c r="Q1155" s="1"/>
      <c r="R1155" s="1"/>
      <c r="Z1155" s="103"/>
      <c r="AA1155" s="103"/>
      <c r="AB1155" s="1"/>
    </row>
    <row r="1156" spans="15:30">
      <c r="O1156" s="1"/>
      <c r="P1156" s="1"/>
      <c r="Q1156" s="1"/>
      <c r="R1156" s="1"/>
      <c r="Z1156" s="103"/>
      <c r="AA1156" s="103"/>
      <c r="AB1156" s="1"/>
    </row>
    <row r="1157" spans="15:30">
      <c r="O1157" s="1"/>
      <c r="P1157" s="1"/>
      <c r="Q1157" s="1"/>
      <c r="R1157" s="1"/>
      <c r="Z1157" s="103"/>
      <c r="AA1157" s="103"/>
      <c r="AB1157" s="1"/>
    </row>
    <row r="1158" spans="15:30">
      <c r="O1158" s="1"/>
      <c r="P1158" s="1"/>
      <c r="Q1158" s="1"/>
      <c r="R1158" s="1"/>
      <c r="Z1158" s="103"/>
      <c r="AA1158" s="103"/>
      <c r="AB1158" s="1"/>
      <c r="AD1158" s="102"/>
    </row>
    <row r="1159" spans="15:30">
      <c r="O1159" s="1"/>
      <c r="P1159" s="1"/>
      <c r="Q1159" s="1"/>
      <c r="R1159" s="1"/>
      <c r="Z1159" s="103"/>
      <c r="AA1159" s="103"/>
      <c r="AB1159" s="1"/>
    </row>
    <row r="1160" spans="15:30">
      <c r="O1160" s="1"/>
      <c r="P1160" s="1"/>
      <c r="Q1160" s="1"/>
      <c r="R1160" s="1"/>
      <c r="Z1160" s="103"/>
      <c r="AA1160" s="103"/>
      <c r="AB1160" s="1"/>
    </row>
    <row r="1161" spans="15:30">
      <c r="O1161" s="1"/>
      <c r="P1161" s="1"/>
      <c r="Q1161" s="1"/>
      <c r="R1161" s="1"/>
      <c r="Z1161" s="103"/>
      <c r="AA1161" s="103"/>
      <c r="AB1161" s="1"/>
    </row>
    <row r="1162" spans="15:30">
      <c r="O1162" s="1"/>
      <c r="P1162" s="1"/>
      <c r="Q1162" s="1"/>
      <c r="R1162" s="1"/>
      <c r="Z1162" s="103"/>
      <c r="AA1162" s="103"/>
      <c r="AB1162" s="1"/>
    </row>
    <row r="1163" spans="15:30">
      <c r="O1163" s="1"/>
      <c r="P1163" s="1"/>
      <c r="Q1163" s="1"/>
      <c r="R1163" s="1"/>
      <c r="Z1163" s="103"/>
      <c r="AA1163" s="103"/>
      <c r="AB1163" s="1"/>
    </row>
    <row r="1164" spans="15:30">
      <c r="O1164" s="1"/>
      <c r="P1164" s="1"/>
      <c r="Q1164" s="1"/>
      <c r="R1164" s="1"/>
      <c r="Z1164" s="103"/>
      <c r="AA1164" s="103"/>
      <c r="AB1164" s="1"/>
    </row>
    <row r="1165" spans="15:30">
      <c r="O1165" s="1"/>
      <c r="P1165" s="1"/>
      <c r="Q1165" s="1"/>
      <c r="R1165" s="1"/>
      <c r="Z1165" s="103"/>
      <c r="AA1165" s="103"/>
      <c r="AB1165" s="1"/>
    </row>
    <row r="1166" spans="15:30">
      <c r="O1166" s="1"/>
      <c r="P1166" s="1"/>
      <c r="Q1166" s="1"/>
      <c r="R1166" s="1"/>
      <c r="Z1166" s="103"/>
      <c r="AA1166" s="103"/>
      <c r="AB1166" s="1"/>
    </row>
    <row r="1167" spans="15:30">
      <c r="O1167" s="1"/>
      <c r="P1167" s="1"/>
      <c r="Q1167" s="1"/>
      <c r="R1167" s="1"/>
      <c r="Z1167" s="103"/>
      <c r="AA1167" s="103"/>
      <c r="AB1167" s="1"/>
    </row>
    <row r="1168" spans="15:30">
      <c r="O1168" s="1"/>
      <c r="P1168" s="1"/>
      <c r="Q1168" s="1"/>
      <c r="R1168" s="1"/>
      <c r="Z1168" s="103"/>
      <c r="AA1168" s="103"/>
      <c r="AB1168" s="1"/>
    </row>
    <row r="1169" spans="15:28">
      <c r="O1169" s="1"/>
      <c r="P1169" s="1"/>
      <c r="Q1169" s="1"/>
      <c r="R1169" s="1"/>
      <c r="Z1169" s="103"/>
      <c r="AA1169" s="103"/>
      <c r="AB1169" s="1"/>
    </row>
    <row r="1170" spans="15:28">
      <c r="O1170" s="1"/>
      <c r="P1170" s="1"/>
      <c r="Q1170" s="1"/>
      <c r="R1170" s="1"/>
      <c r="Z1170" s="103"/>
      <c r="AA1170" s="103"/>
      <c r="AB1170" s="1"/>
    </row>
    <row r="1171" spans="15:28">
      <c r="O1171" s="1"/>
      <c r="P1171" s="1"/>
      <c r="Q1171" s="1"/>
      <c r="R1171" s="1"/>
      <c r="Z1171" s="103"/>
      <c r="AA1171" s="103"/>
      <c r="AB1171" s="1"/>
    </row>
    <row r="1172" spans="15:28">
      <c r="O1172" s="1"/>
      <c r="P1172" s="1"/>
      <c r="Q1172" s="1"/>
      <c r="R1172" s="1"/>
      <c r="Z1172" s="103"/>
      <c r="AA1172" s="103"/>
      <c r="AB1172" s="1"/>
    </row>
    <row r="1173" spans="15:28">
      <c r="O1173" s="1"/>
      <c r="P1173" s="1"/>
      <c r="Q1173" s="1"/>
      <c r="R1173" s="1"/>
      <c r="Z1173" s="103"/>
      <c r="AA1173" s="103"/>
      <c r="AB1173" s="1"/>
    </row>
    <row r="1174" spans="15:28">
      <c r="O1174" s="1"/>
      <c r="P1174" s="1"/>
      <c r="Q1174" s="1"/>
      <c r="R1174" s="1"/>
      <c r="Z1174" s="103"/>
      <c r="AA1174" s="103"/>
      <c r="AB1174" s="1"/>
    </row>
    <row r="1175" spans="15:28">
      <c r="O1175" s="1"/>
      <c r="P1175" s="1"/>
      <c r="Q1175" s="1"/>
      <c r="R1175" s="1"/>
      <c r="Z1175" s="103"/>
      <c r="AA1175" s="103"/>
      <c r="AB1175" s="1"/>
    </row>
    <row r="1176" spans="15:28">
      <c r="O1176" s="1"/>
      <c r="P1176" s="1"/>
      <c r="Q1176" s="1"/>
      <c r="R1176" s="1"/>
      <c r="Z1176" s="103"/>
      <c r="AA1176" s="103"/>
      <c r="AB1176" s="1"/>
    </row>
    <row r="1177" spans="15:28">
      <c r="O1177" s="1"/>
      <c r="P1177" s="1"/>
      <c r="Q1177" s="1"/>
      <c r="R1177" s="1"/>
      <c r="Z1177" s="103"/>
      <c r="AA1177" s="103"/>
      <c r="AB1177" s="1"/>
    </row>
    <row r="1178" spans="15:28">
      <c r="O1178" s="1"/>
      <c r="P1178" s="1"/>
      <c r="Q1178" s="1"/>
      <c r="R1178" s="1"/>
      <c r="Z1178" s="103"/>
      <c r="AA1178" s="103"/>
      <c r="AB1178" s="1"/>
    </row>
    <row r="1179" spans="15:28">
      <c r="O1179" s="1"/>
      <c r="P1179" s="1"/>
      <c r="Q1179" s="1"/>
      <c r="R1179" s="1"/>
      <c r="Z1179" s="103"/>
      <c r="AA1179" s="103"/>
      <c r="AB1179" s="1"/>
    </row>
    <row r="1180" spans="15:28">
      <c r="O1180" s="1"/>
      <c r="P1180" s="1"/>
      <c r="Q1180" s="1"/>
      <c r="R1180" s="1"/>
      <c r="Z1180" s="103"/>
      <c r="AA1180" s="103"/>
      <c r="AB1180" s="1"/>
    </row>
    <row r="1181" spans="15:28">
      <c r="O1181" s="1"/>
      <c r="P1181" s="1"/>
      <c r="Q1181" s="1"/>
      <c r="R1181" s="1"/>
      <c r="Z1181" s="103"/>
      <c r="AA1181" s="103"/>
      <c r="AB1181" s="1"/>
    </row>
    <row r="1182" spans="15:28">
      <c r="O1182" s="1"/>
      <c r="P1182" s="1"/>
      <c r="Q1182" s="1"/>
      <c r="R1182" s="1"/>
      <c r="Z1182" s="103"/>
      <c r="AA1182" s="103"/>
      <c r="AB1182" s="1"/>
    </row>
    <row r="1183" spans="15:28">
      <c r="O1183" s="1"/>
      <c r="P1183" s="1"/>
      <c r="Q1183" s="1"/>
      <c r="R1183" s="1"/>
      <c r="Z1183" s="103"/>
      <c r="AA1183" s="103"/>
      <c r="AB1183" s="1"/>
    </row>
    <row r="1184" spans="15:28">
      <c r="O1184" s="1"/>
      <c r="P1184" s="1"/>
      <c r="Q1184" s="1"/>
      <c r="R1184" s="1"/>
      <c r="Z1184" s="103"/>
      <c r="AA1184" s="103"/>
      <c r="AB1184" s="1"/>
    </row>
    <row r="1185" spans="15:28">
      <c r="O1185" s="1"/>
      <c r="P1185" s="1"/>
      <c r="Q1185" s="1"/>
      <c r="R1185" s="1"/>
      <c r="Z1185" s="103"/>
      <c r="AA1185" s="103"/>
      <c r="AB1185" s="1"/>
    </row>
    <row r="1186" spans="15:28">
      <c r="O1186" s="1"/>
      <c r="P1186" s="1"/>
      <c r="Q1186" s="1"/>
      <c r="R1186" s="1"/>
      <c r="Z1186" s="103"/>
      <c r="AA1186" s="103"/>
      <c r="AB1186" s="1"/>
    </row>
    <row r="1187" spans="15:28">
      <c r="O1187" s="1"/>
      <c r="P1187" s="1"/>
      <c r="Q1187" s="1"/>
      <c r="R1187" s="1"/>
      <c r="Z1187" s="103"/>
      <c r="AA1187" s="103"/>
      <c r="AB1187" s="1"/>
    </row>
    <row r="1188" spans="15:28">
      <c r="O1188" s="1"/>
      <c r="P1188" s="1"/>
      <c r="Q1188" s="1"/>
      <c r="R1188" s="1"/>
      <c r="Z1188" s="103"/>
      <c r="AA1188" s="103"/>
      <c r="AB1188" s="1"/>
    </row>
    <row r="1189" spans="15:28">
      <c r="O1189" s="1"/>
      <c r="P1189" s="1"/>
      <c r="Q1189" s="1"/>
      <c r="R1189" s="1"/>
      <c r="Z1189" s="103"/>
      <c r="AA1189" s="103"/>
      <c r="AB1189" s="1"/>
    </row>
    <row r="1190" spans="15:28">
      <c r="O1190" s="1"/>
      <c r="P1190" s="1"/>
      <c r="Q1190" s="1"/>
      <c r="R1190" s="1"/>
      <c r="Z1190" s="103"/>
      <c r="AA1190" s="103"/>
      <c r="AB1190" s="1"/>
    </row>
    <row r="1191" spans="15:28">
      <c r="O1191" s="1"/>
      <c r="P1191" s="1"/>
      <c r="Q1191" s="1"/>
      <c r="R1191" s="1"/>
      <c r="Z1191" s="103"/>
      <c r="AA1191" s="103"/>
      <c r="AB1191" s="1"/>
    </row>
    <row r="1192" spans="15:28">
      <c r="O1192" s="1"/>
      <c r="P1192" s="1"/>
      <c r="Q1192" s="1"/>
      <c r="R1192" s="1"/>
      <c r="Z1192" s="103"/>
      <c r="AA1192" s="103"/>
      <c r="AB1192" s="1"/>
    </row>
    <row r="1193" spans="15:28">
      <c r="O1193" s="1"/>
      <c r="P1193" s="1"/>
      <c r="Q1193" s="1"/>
      <c r="R1193" s="1"/>
      <c r="Z1193" s="103"/>
      <c r="AA1193" s="103"/>
      <c r="AB1193" s="1"/>
    </row>
    <row r="1194" spans="15:28">
      <c r="O1194" s="1"/>
      <c r="P1194" s="1"/>
      <c r="Q1194" s="1"/>
      <c r="R1194" s="1"/>
      <c r="Z1194" s="103"/>
      <c r="AA1194" s="103"/>
      <c r="AB1194" s="1"/>
    </row>
    <row r="1195" spans="15:28">
      <c r="O1195" s="1"/>
      <c r="P1195" s="1"/>
      <c r="Q1195" s="1"/>
      <c r="R1195" s="1"/>
      <c r="Z1195" s="103"/>
      <c r="AA1195" s="103"/>
      <c r="AB1195" s="1"/>
    </row>
    <row r="1196" spans="15:28">
      <c r="O1196" s="1"/>
      <c r="P1196" s="1"/>
      <c r="Q1196" s="1"/>
      <c r="R1196" s="1"/>
      <c r="Z1196" s="103"/>
      <c r="AA1196" s="103"/>
      <c r="AB1196" s="1"/>
    </row>
    <row r="1197" spans="15:28">
      <c r="O1197" s="1"/>
      <c r="P1197" s="1"/>
      <c r="Q1197" s="1"/>
      <c r="R1197" s="1"/>
      <c r="Z1197" s="103"/>
      <c r="AA1197" s="103"/>
      <c r="AB1197" s="1"/>
    </row>
    <row r="1198" spans="15:28">
      <c r="O1198" s="1"/>
      <c r="P1198" s="1"/>
      <c r="Q1198" s="1"/>
      <c r="R1198" s="1"/>
      <c r="Z1198" s="103"/>
      <c r="AA1198" s="103"/>
      <c r="AB1198" s="1"/>
    </row>
    <row r="1199" spans="15:28">
      <c r="O1199" s="1"/>
      <c r="P1199" s="1"/>
      <c r="Q1199" s="1"/>
      <c r="R1199" s="1"/>
      <c r="Z1199" s="103"/>
      <c r="AA1199" s="103"/>
      <c r="AB1199" s="1"/>
    </row>
    <row r="1200" spans="15:28">
      <c r="O1200" s="1"/>
      <c r="P1200" s="1"/>
      <c r="Q1200" s="1"/>
      <c r="R1200" s="1"/>
      <c r="Z1200" s="103"/>
      <c r="AA1200" s="103"/>
      <c r="AB1200" s="1"/>
    </row>
    <row r="1201" spans="15:28">
      <c r="O1201" s="1"/>
      <c r="P1201" s="1"/>
      <c r="Q1201" s="1"/>
      <c r="R1201" s="1"/>
      <c r="Z1201" s="103"/>
      <c r="AA1201" s="103"/>
      <c r="AB1201" s="1"/>
    </row>
    <row r="1202" spans="15:28">
      <c r="O1202" s="1"/>
      <c r="P1202" s="1"/>
      <c r="Q1202" s="1"/>
      <c r="R1202" s="1"/>
      <c r="Z1202" s="103"/>
      <c r="AA1202" s="103"/>
      <c r="AB1202" s="1"/>
    </row>
    <row r="1203" spans="15:28">
      <c r="O1203" s="1"/>
      <c r="P1203" s="1"/>
      <c r="Q1203" s="1"/>
      <c r="R1203" s="1"/>
      <c r="Z1203" s="103"/>
      <c r="AA1203" s="103"/>
      <c r="AB1203" s="1"/>
    </row>
    <row r="1204" spans="15:28">
      <c r="O1204" s="1"/>
      <c r="P1204" s="1"/>
      <c r="Q1204" s="1"/>
      <c r="R1204" s="1"/>
      <c r="Z1204" s="103"/>
      <c r="AA1204" s="103"/>
      <c r="AB1204" s="1"/>
    </row>
    <row r="1205" spans="15:28">
      <c r="O1205" s="1"/>
      <c r="P1205" s="1"/>
      <c r="Q1205" s="1"/>
      <c r="R1205" s="1"/>
      <c r="Z1205" s="103"/>
      <c r="AA1205" s="103"/>
      <c r="AB1205" s="1"/>
    </row>
    <row r="1206" spans="15:28">
      <c r="O1206" s="1"/>
      <c r="P1206" s="1"/>
      <c r="Q1206" s="1"/>
      <c r="R1206" s="1"/>
      <c r="Z1206" s="103"/>
      <c r="AA1206" s="103"/>
      <c r="AB1206" s="1"/>
    </row>
    <row r="1207" spans="15:28">
      <c r="O1207" s="1"/>
      <c r="P1207" s="1"/>
      <c r="Q1207" s="1"/>
      <c r="R1207" s="1"/>
      <c r="Z1207" s="103"/>
      <c r="AA1207" s="103"/>
      <c r="AB1207" s="1"/>
    </row>
    <row r="1208" spans="15:28">
      <c r="O1208" s="1"/>
      <c r="P1208" s="1"/>
      <c r="Q1208" s="1"/>
      <c r="R1208" s="1"/>
      <c r="Z1208" s="103"/>
      <c r="AA1208" s="103"/>
      <c r="AB1208" s="1"/>
    </row>
    <row r="1209" spans="15:28">
      <c r="O1209" s="1"/>
      <c r="P1209" s="1"/>
      <c r="Q1209" s="1"/>
      <c r="R1209" s="1"/>
      <c r="Z1209" s="103"/>
      <c r="AA1209" s="103"/>
      <c r="AB1209" s="1"/>
    </row>
    <row r="1210" spans="15:28">
      <c r="O1210" s="1"/>
      <c r="P1210" s="1"/>
      <c r="Q1210" s="1"/>
      <c r="R1210" s="1"/>
      <c r="Z1210" s="103"/>
      <c r="AA1210" s="103"/>
      <c r="AB1210" s="1"/>
    </row>
    <row r="1211" spans="15:28">
      <c r="O1211" s="1"/>
      <c r="P1211" s="1"/>
      <c r="Q1211" s="1"/>
      <c r="R1211" s="1"/>
      <c r="Z1211" s="103"/>
      <c r="AA1211" s="103"/>
      <c r="AB1211" s="1"/>
    </row>
    <row r="1212" spans="15:28">
      <c r="O1212" s="1"/>
      <c r="P1212" s="1"/>
      <c r="Q1212" s="1"/>
      <c r="R1212" s="1"/>
      <c r="Z1212" s="103"/>
      <c r="AA1212" s="103"/>
      <c r="AB1212" s="1"/>
    </row>
    <row r="1213" spans="15:28">
      <c r="O1213" s="1"/>
      <c r="P1213" s="1"/>
      <c r="Q1213" s="1"/>
      <c r="R1213" s="1"/>
      <c r="Z1213" s="103"/>
      <c r="AA1213" s="103"/>
      <c r="AB1213" s="1"/>
    </row>
    <row r="1214" spans="15:28">
      <c r="O1214" s="1"/>
      <c r="P1214" s="1"/>
      <c r="Q1214" s="1"/>
      <c r="R1214" s="1"/>
      <c r="Z1214" s="103"/>
      <c r="AA1214" s="103"/>
      <c r="AB1214" s="1"/>
    </row>
    <row r="1215" spans="15:28">
      <c r="O1215" s="1"/>
      <c r="P1215" s="1"/>
      <c r="Q1215" s="1"/>
      <c r="R1215" s="1"/>
      <c r="Z1215" s="103"/>
      <c r="AA1215" s="103"/>
      <c r="AB1215" s="1"/>
    </row>
    <row r="1216" spans="15:28">
      <c r="O1216" s="1"/>
      <c r="P1216" s="1"/>
      <c r="Q1216" s="1"/>
      <c r="R1216" s="1"/>
      <c r="Z1216" s="103"/>
      <c r="AA1216" s="103"/>
      <c r="AB1216" s="1"/>
    </row>
    <row r="1217" spans="15:28">
      <c r="O1217" s="1"/>
      <c r="P1217" s="1"/>
      <c r="Q1217" s="1"/>
      <c r="R1217" s="1"/>
      <c r="Z1217" s="103"/>
      <c r="AA1217" s="103"/>
      <c r="AB1217" s="1"/>
    </row>
    <row r="1218" spans="15:28">
      <c r="O1218" s="1"/>
      <c r="P1218" s="1"/>
      <c r="Q1218" s="1"/>
      <c r="R1218" s="1"/>
      <c r="Z1218" s="103"/>
      <c r="AA1218" s="103"/>
      <c r="AB1218" s="1"/>
    </row>
    <row r="1219" spans="15:28">
      <c r="O1219" s="1"/>
      <c r="P1219" s="1"/>
      <c r="Q1219" s="1"/>
      <c r="R1219" s="1"/>
      <c r="Z1219" s="103"/>
      <c r="AA1219" s="103"/>
      <c r="AB1219" s="1"/>
    </row>
    <row r="1220" spans="15:28">
      <c r="O1220" s="1"/>
      <c r="P1220" s="1"/>
      <c r="Q1220" s="1"/>
      <c r="R1220" s="1"/>
      <c r="Z1220" s="103"/>
      <c r="AA1220" s="103"/>
      <c r="AB1220" s="1"/>
    </row>
    <row r="1221" spans="15:28">
      <c r="O1221" s="1"/>
      <c r="P1221" s="1"/>
      <c r="Q1221" s="1"/>
      <c r="R1221" s="1"/>
      <c r="Z1221" s="103"/>
      <c r="AA1221" s="103"/>
      <c r="AB1221" s="1"/>
    </row>
    <row r="1222" spans="15:28">
      <c r="O1222" s="1"/>
      <c r="P1222" s="1"/>
      <c r="Q1222" s="1"/>
      <c r="R1222" s="1"/>
      <c r="Z1222" s="103"/>
      <c r="AA1222" s="103"/>
      <c r="AB1222" s="1"/>
    </row>
    <row r="1223" spans="15:28">
      <c r="O1223" s="1"/>
      <c r="P1223" s="1"/>
      <c r="Q1223" s="1"/>
      <c r="R1223" s="1"/>
      <c r="Z1223" s="103"/>
      <c r="AA1223" s="103"/>
      <c r="AB1223" s="1"/>
    </row>
    <row r="1224" spans="15:28">
      <c r="O1224" s="1"/>
      <c r="P1224" s="1"/>
      <c r="Q1224" s="1"/>
      <c r="R1224" s="1"/>
      <c r="Z1224" s="103"/>
      <c r="AA1224" s="103"/>
      <c r="AB1224" s="1"/>
    </row>
    <row r="1225" spans="15:28">
      <c r="O1225" s="1"/>
      <c r="P1225" s="1"/>
      <c r="Q1225" s="1"/>
      <c r="R1225" s="1"/>
      <c r="Z1225" s="103"/>
      <c r="AA1225" s="103"/>
      <c r="AB1225" s="1"/>
    </row>
    <row r="1226" spans="15:28">
      <c r="O1226" s="1"/>
      <c r="P1226" s="1"/>
      <c r="Q1226" s="1"/>
      <c r="R1226" s="1"/>
      <c r="Z1226" s="103"/>
      <c r="AA1226" s="103"/>
      <c r="AB1226" s="1"/>
    </row>
    <row r="1227" spans="15:28">
      <c r="O1227" s="1"/>
      <c r="P1227" s="1"/>
      <c r="Q1227" s="1"/>
      <c r="R1227" s="1"/>
      <c r="Z1227" s="103"/>
      <c r="AA1227" s="103"/>
      <c r="AB1227" s="1"/>
    </row>
    <row r="1228" spans="15:28">
      <c r="O1228" s="1"/>
      <c r="P1228" s="1"/>
      <c r="Q1228" s="1"/>
      <c r="R1228" s="1"/>
      <c r="Z1228" s="103"/>
      <c r="AA1228" s="103"/>
      <c r="AB1228" s="1"/>
    </row>
    <row r="1229" spans="15:28">
      <c r="O1229" s="1"/>
      <c r="P1229" s="1"/>
      <c r="Q1229" s="1"/>
      <c r="R1229" s="1"/>
      <c r="Z1229" s="103"/>
      <c r="AA1229" s="103"/>
      <c r="AB1229" s="1"/>
    </row>
    <row r="1230" spans="15:28">
      <c r="O1230" s="1"/>
      <c r="P1230" s="1"/>
      <c r="Q1230" s="1"/>
      <c r="R1230" s="1"/>
      <c r="Z1230" s="103"/>
      <c r="AA1230" s="103"/>
      <c r="AB1230" s="1"/>
    </row>
    <row r="1231" spans="15:28">
      <c r="O1231" s="1"/>
      <c r="P1231" s="1"/>
      <c r="Q1231" s="1"/>
      <c r="R1231" s="1"/>
      <c r="Z1231" s="103"/>
      <c r="AA1231" s="103"/>
      <c r="AB1231" s="1"/>
    </row>
    <row r="1232" spans="15:28">
      <c r="O1232" s="1"/>
      <c r="P1232" s="1"/>
      <c r="Q1232" s="1"/>
      <c r="R1232" s="1"/>
      <c r="Z1232" s="103"/>
      <c r="AA1232" s="103"/>
      <c r="AB1232" s="1"/>
    </row>
    <row r="1233" spans="15:28">
      <c r="O1233" s="1"/>
      <c r="P1233" s="1"/>
      <c r="Q1233" s="1"/>
      <c r="R1233" s="1"/>
      <c r="Z1233" s="103"/>
      <c r="AA1233" s="103"/>
      <c r="AB1233" s="1"/>
    </row>
    <row r="1234" spans="15:28">
      <c r="O1234" s="1"/>
      <c r="P1234" s="1"/>
      <c r="Q1234" s="1"/>
      <c r="R1234" s="1"/>
      <c r="Z1234" s="103"/>
      <c r="AA1234" s="103"/>
      <c r="AB1234" s="1"/>
    </row>
    <row r="1235" spans="15:28">
      <c r="O1235" s="1"/>
      <c r="P1235" s="1"/>
      <c r="Q1235" s="1"/>
      <c r="R1235" s="1"/>
      <c r="Z1235" s="103"/>
      <c r="AA1235" s="103"/>
      <c r="AB1235" s="1"/>
    </row>
    <row r="1236" spans="15:28">
      <c r="O1236" s="1"/>
      <c r="P1236" s="1"/>
      <c r="Q1236" s="1"/>
      <c r="R1236" s="1"/>
      <c r="Z1236" s="103"/>
      <c r="AA1236" s="103"/>
      <c r="AB1236" s="1"/>
    </row>
    <row r="1237" spans="15:28">
      <c r="O1237" s="1"/>
      <c r="P1237" s="1"/>
      <c r="Q1237" s="1"/>
      <c r="R1237" s="1"/>
      <c r="Z1237" s="103"/>
      <c r="AA1237" s="103"/>
      <c r="AB1237" s="1"/>
    </row>
    <row r="1238" spans="15:28">
      <c r="O1238" s="1"/>
      <c r="P1238" s="1"/>
      <c r="Q1238" s="1"/>
      <c r="R1238" s="1"/>
      <c r="Z1238" s="103"/>
      <c r="AA1238" s="103"/>
      <c r="AB1238" s="1"/>
    </row>
    <row r="1239" spans="15:28">
      <c r="O1239" s="1"/>
      <c r="P1239" s="1"/>
      <c r="Q1239" s="1"/>
      <c r="R1239" s="1"/>
      <c r="Z1239" s="103"/>
      <c r="AA1239" s="103"/>
      <c r="AB1239" s="1"/>
    </row>
    <row r="1240" spans="15:28">
      <c r="O1240" s="1"/>
      <c r="P1240" s="1"/>
      <c r="Q1240" s="1"/>
      <c r="R1240" s="1"/>
      <c r="Z1240" s="103"/>
      <c r="AA1240" s="103"/>
      <c r="AB1240" s="1"/>
    </row>
    <row r="1241" spans="15:28">
      <c r="O1241" s="1"/>
      <c r="P1241" s="1"/>
      <c r="Q1241" s="1"/>
      <c r="R1241" s="1"/>
      <c r="Z1241" s="103"/>
      <c r="AA1241" s="103"/>
      <c r="AB1241" s="1"/>
    </row>
    <row r="1242" spans="15:28">
      <c r="O1242" s="1"/>
      <c r="P1242" s="1"/>
      <c r="Q1242" s="1"/>
      <c r="R1242" s="1"/>
      <c r="Z1242" s="103"/>
      <c r="AA1242" s="103"/>
      <c r="AB1242" s="1"/>
    </row>
    <row r="1243" spans="15:28">
      <c r="O1243" s="1"/>
      <c r="P1243" s="1"/>
      <c r="Q1243" s="1"/>
      <c r="R1243" s="1"/>
      <c r="Z1243" s="103"/>
      <c r="AA1243" s="103"/>
      <c r="AB1243" s="1"/>
    </row>
    <row r="1244" spans="15:28">
      <c r="O1244" s="1"/>
      <c r="P1244" s="1"/>
      <c r="Q1244" s="1"/>
      <c r="R1244" s="1"/>
      <c r="Z1244" s="103"/>
      <c r="AA1244" s="103"/>
      <c r="AB1244" s="1"/>
    </row>
    <row r="1245" spans="15:28">
      <c r="O1245" s="1"/>
      <c r="P1245" s="1"/>
      <c r="Q1245" s="1"/>
      <c r="R1245" s="1"/>
      <c r="Z1245" s="103"/>
      <c r="AA1245" s="103"/>
      <c r="AB1245" s="1"/>
    </row>
    <row r="1246" spans="15:28">
      <c r="O1246" s="1"/>
      <c r="P1246" s="1"/>
      <c r="Q1246" s="1"/>
      <c r="R1246" s="1"/>
      <c r="Z1246" s="103"/>
      <c r="AA1246" s="103"/>
      <c r="AB1246" s="1"/>
    </row>
    <row r="1247" spans="15:28">
      <c r="O1247" s="1"/>
      <c r="P1247" s="1"/>
      <c r="Q1247" s="1"/>
      <c r="R1247" s="1"/>
      <c r="Z1247" s="103"/>
      <c r="AA1247" s="103"/>
      <c r="AB1247" s="1"/>
    </row>
    <row r="1248" spans="15:28">
      <c r="O1248" s="1"/>
      <c r="P1248" s="1"/>
      <c r="Q1248" s="1"/>
      <c r="R1248" s="1"/>
      <c r="Z1248" s="103"/>
      <c r="AA1248" s="103"/>
      <c r="AB1248" s="1"/>
    </row>
    <row r="1249" spans="15:28">
      <c r="O1249" s="1"/>
      <c r="P1249" s="1"/>
      <c r="Q1249" s="1"/>
      <c r="R1249" s="1"/>
      <c r="Z1249" s="103"/>
      <c r="AA1249" s="103"/>
      <c r="AB1249" s="1"/>
    </row>
    <row r="1250" spans="15:28">
      <c r="O1250" s="1"/>
      <c r="P1250" s="1"/>
      <c r="Q1250" s="1"/>
      <c r="R1250" s="1"/>
      <c r="Z1250" s="103"/>
      <c r="AA1250" s="103"/>
      <c r="AB1250" s="1"/>
    </row>
    <row r="1251" spans="15:28">
      <c r="O1251" s="1"/>
      <c r="P1251" s="1"/>
      <c r="Q1251" s="1"/>
      <c r="R1251" s="1"/>
      <c r="Z1251" s="103"/>
      <c r="AA1251" s="103"/>
      <c r="AB1251" s="1"/>
    </row>
    <row r="1252" spans="15:28">
      <c r="O1252" s="1"/>
      <c r="P1252" s="1"/>
      <c r="Q1252" s="1"/>
      <c r="R1252" s="1"/>
      <c r="Z1252" s="103"/>
      <c r="AA1252" s="103"/>
      <c r="AB1252" s="1"/>
    </row>
    <row r="1253" spans="15:28">
      <c r="O1253" s="1"/>
      <c r="P1253" s="1"/>
      <c r="Q1253" s="1"/>
      <c r="R1253" s="1"/>
      <c r="Z1253" s="103"/>
      <c r="AA1253" s="103"/>
      <c r="AB1253" s="1"/>
    </row>
    <row r="1254" spans="15:28">
      <c r="O1254" s="1"/>
      <c r="P1254" s="1"/>
      <c r="Q1254" s="1"/>
      <c r="R1254" s="1"/>
      <c r="Z1254" s="103"/>
      <c r="AA1254" s="103"/>
      <c r="AB1254" s="1"/>
    </row>
    <row r="1255" spans="15:28">
      <c r="O1255" s="1"/>
      <c r="P1255" s="1"/>
      <c r="Q1255" s="1"/>
      <c r="R1255" s="1"/>
      <c r="Z1255" s="103"/>
      <c r="AA1255" s="103"/>
      <c r="AB1255" s="1"/>
    </row>
    <row r="1256" spans="15:28">
      <c r="O1256" s="1"/>
      <c r="P1256" s="1"/>
      <c r="Q1256" s="1"/>
      <c r="R1256" s="1"/>
      <c r="Z1256" s="103"/>
      <c r="AA1256" s="103"/>
      <c r="AB1256" s="1"/>
    </row>
    <row r="1257" spans="15:28">
      <c r="O1257" s="1"/>
      <c r="P1257" s="1"/>
      <c r="Q1257" s="1"/>
      <c r="R1257" s="1"/>
      <c r="Z1257" s="103"/>
      <c r="AA1257" s="103"/>
      <c r="AB1257" s="1"/>
    </row>
    <row r="1258" spans="15:28">
      <c r="O1258" s="1"/>
      <c r="P1258" s="1"/>
      <c r="Q1258" s="1"/>
      <c r="R1258" s="1"/>
      <c r="Z1258" s="103"/>
      <c r="AA1258" s="103"/>
      <c r="AB1258" s="1"/>
    </row>
    <row r="1259" spans="15:28">
      <c r="O1259" s="1"/>
      <c r="P1259" s="1"/>
      <c r="Q1259" s="1"/>
      <c r="R1259" s="1"/>
      <c r="Z1259" s="103"/>
      <c r="AA1259" s="103"/>
      <c r="AB1259" s="1"/>
    </row>
    <row r="1260" spans="15:28">
      <c r="O1260" s="1"/>
      <c r="P1260" s="1"/>
      <c r="Q1260" s="1"/>
      <c r="R1260" s="1"/>
      <c r="Z1260" s="103"/>
      <c r="AA1260" s="103"/>
      <c r="AB1260" s="1"/>
    </row>
    <row r="1261" spans="15:28">
      <c r="O1261" s="1"/>
      <c r="P1261" s="1"/>
      <c r="Q1261" s="1"/>
      <c r="R1261" s="1"/>
      <c r="Z1261" s="103"/>
      <c r="AA1261" s="103"/>
      <c r="AB1261" s="1"/>
    </row>
    <row r="1262" spans="15:28">
      <c r="O1262" s="1"/>
      <c r="P1262" s="1"/>
      <c r="Q1262" s="1"/>
      <c r="R1262" s="1"/>
      <c r="Z1262" s="103"/>
      <c r="AA1262" s="103"/>
      <c r="AB1262" s="1"/>
    </row>
    <row r="1263" spans="15:28">
      <c r="O1263" s="1"/>
      <c r="P1263" s="1"/>
      <c r="Q1263" s="1"/>
      <c r="R1263" s="1"/>
      <c r="Z1263" s="103"/>
      <c r="AA1263" s="103"/>
      <c r="AB1263" s="1"/>
    </row>
    <row r="1264" spans="15:28">
      <c r="O1264" s="1"/>
      <c r="P1264" s="1"/>
      <c r="Q1264" s="1"/>
      <c r="R1264" s="1"/>
      <c r="Z1264" s="103"/>
      <c r="AA1264" s="103"/>
      <c r="AB1264" s="1"/>
    </row>
    <row r="1265" spans="15:30">
      <c r="O1265" s="1"/>
      <c r="P1265" s="1"/>
      <c r="Q1265" s="1"/>
      <c r="R1265" s="1"/>
      <c r="Z1265" s="103"/>
      <c r="AA1265" s="103"/>
      <c r="AB1265" s="1"/>
    </row>
    <row r="1266" spans="15:30">
      <c r="O1266" s="1"/>
      <c r="P1266" s="1"/>
      <c r="Q1266" s="1"/>
      <c r="R1266" s="1"/>
      <c r="Z1266" s="103"/>
      <c r="AA1266" s="103"/>
      <c r="AB1266" s="1"/>
    </row>
    <row r="1267" spans="15:30">
      <c r="O1267" s="1"/>
      <c r="P1267" s="1"/>
      <c r="Q1267" s="1"/>
      <c r="R1267" s="1"/>
      <c r="Z1267" s="103"/>
      <c r="AA1267" s="103"/>
      <c r="AB1267" s="1"/>
    </row>
    <row r="1268" spans="15:30">
      <c r="O1268" s="1"/>
      <c r="P1268" s="1"/>
      <c r="Q1268" s="1"/>
      <c r="R1268" s="1"/>
      <c r="Z1268" s="103"/>
      <c r="AA1268" s="103"/>
      <c r="AB1268" s="1"/>
    </row>
    <row r="1269" spans="15:30">
      <c r="O1269" s="1"/>
      <c r="P1269" s="1"/>
      <c r="Q1269" s="1"/>
      <c r="R1269" s="1"/>
      <c r="Z1269" s="103"/>
      <c r="AA1269" s="103"/>
      <c r="AB1269" s="1"/>
    </row>
    <row r="1270" spans="15:30">
      <c r="O1270" s="1"/>
      <c r="P1270" s="1"/>
      <c r="Q1270" s="1"/>
      <c r="R1270" s="1"/>
      <c r="Z1270" s="103"/>
      <c r="AA1270" s="103"/>
      <c r="AB1270" s="1"/>
    </row>
    <row r="1271" spans="15:30">
      <c r="O1271" s="1"/>
      <c r="P1271" s="1"/>
      <c r="Q1271" s="1"/>
      <c r="R1271" s="1"/>
      <c r="Z1271" s="103"/>
      <c r="AA1271" s="103"/>
      <c r="AB1271" s="1"/>
    </row>
    <row r="1272" spans="15:30">
      <c r="O1272" s="1"/>
      <c r="P1272" s="1"/>
      <c r="Q1272" s="1"/>
      <c r="R1272" s="1"/>
      <c r="Z1272" s="103"/>
      <c r="AA1272" s="103"/>
      <c r="AB1272" s="1"/>
    </row>
    <row r="1273" spans="15:30">
      <c r="O1273" s="1"/>
      <c r="P1273" s="1"/>
      <c r="Q1273" s="1"/>
      <c r="R1273" s="1"/>
      <c r="Z1273" s="103"/>
      <c r="AA1273" s="103"/>
      <c r="AB1273" s="1"/>
    </row>
    <row r="1274" spans="15:30">
      <c r="O1274" s="1"/>
      <c r="P1274" s="1"/>
      <c r="Q1274" s="1"/>
      <c r="R1274" s="1"/>
      <c r="Z1274" s="103"/>
      <c r="AA1274" s="103"/>
      <c r="AB1274" s="1"/>
    </row>
    <row r="1275" spans="15:30">
      <c r="O1275" s="1"/>
      <c r="P1275" s="1"/>
      <c r="Q1275" s="1"/>
      <c r="R1275" s="1"/>
      <c r="Z1275" s="103"/>
      <c r="AA1275" s="103"/>
      <c r="AB1275" s="1"/>
    </row>
    <row r="1276" spans="15:30">
      <c r="O1276" s="1"/>
      <c r="P1276" s="1"/>
      <c r="Q1276" s="1"/>
      <c r="R1276" s="1"/>
      <c r="Z1276" s="103"/>
      <c r="AA1276" s="103"/>
      <c r="AB1276" s="1"/>
    </row>
    <row r="1277" spans="15:30">
      <c r="O1277" s="1"/>
      <c r="P1277" s="1"/>
      <c r="Q1277" s="1"/>
      <c r="R1277" s="1"/>
      <c r="Z1277" s="103"/>
      <c r="AA1277" s="103"/>
      <c r="AB1277" s="1"/>
    </row>
    <row r="1278" spans="15:30">
      <c r="O1278" s="1"/>
      <c r="P1278" s="1"/>
      <c r="Q1278" s="1"/>
      <c r="R1278" s="1"/>
      <c r="Z1278" s="103"/>
      <c r="AA1278" s="103"/>
      <c r="AB1278" s="1"/>
    </row>
    <row r="1279" spans="15:30">
      <c r="O1279" s="1"/>
      <c r="P1279" s="1"/>
      <c r="Q1279" s="1"/>
      <c r="R1279" s="1"/>
      <c r="Z1279" s="103"/>
      <c r="AA1279" s="103"/>
      <c r="AB1279" s="1"/>
    </row>
    <row r="1280" spans="15:30">
      <c r="O1280" s="1"/>
      <c r="P1280" s="1"/>
      <c r="Q1280" s="1"/>
      <c r="R1280" s="1"/>
      <c r="Z1280" s="103"/>
      <c r="AA1280" s="103"/>
      <c r="AB1280" s="1"/>
      <c r="AD1280" s="102"/>
    </row>
    <row r="1281" spans="15:28">
      <c r="O1281" s="1"/>
      <c r="P1281" s="1"/>
      <c r="Q1281" s="1"/>
      <c r="R1281" s="1"/>
      <c r="Z1281" s="103"/>
      <c r="AA1281" s="103"/>
      <c r="AB1281" s="1"/>
    </row>
    <row r="1282" spans="15:28">
      <c r="O1282" s="1"/>
      <c r="P1282" s="1"/>
      <c r="Q1282" s="1"/>
      <c r="R1282" s="1"/>
      <c r="Z1282" s="103"/>
      <c r="AA1282" s="103"/>
      <c r="AB1282" s="1"/>
    </row>
    <row r="1283" spans="15:28">
      <c r="O1283" s="1"/>
      <c r="P1283" s="1"/>
      <c r="Q1283" s="1"/>
      <c r="R1283" s="1"/>
      <c r="Z1283" s="103"/>
      <c r="AA1283" s="103"/>
      <c r="AB1283" s="1"/>
    </row>
    <row r="1284" spans="15:28">
      <c r="O1284" s="1"/>
      <c r="P1284" s="1"/>
      <c r="Q1284" s="1"/>
      <c r="R1284" s="1"/>
      <c r="Z1284" s="103"/>
      <c r="AA1284" s="103"/>
      <c r="AB1284" s="1"/>
    </row>
    <row r="1285" spans="15:28">
      <c r="O1285" s="1"/>
      <c r="P1285" s="1"/>
      <c r="Q1285" s="1"/>
      <c r="R1285" s="1"/>
      <c r="Z1285" s="103"/>
      <c r="AA1285" s="103"/>
      <c r="AB1285" s="1"/>
    </row>
    <row r="1286" spans="15:28">
      <c r="O1286" s="1"/>
      <c r="P1286" s="1"/>
      <c r="Q1286" s="1"/>
      <c r="R1286" s="1"/>
      <c r="Z1286" s="103"/>
      <c r="AA1286" s="103"/>
      <c r="AB1286" s="1"/>
    </row>
    <row r="1287" spans="15:28">
      <c r="O1287" s="1"/>
      <c r="P1287" s="1"/>
      <c r="Q1287" s="1"/>
      <c r="R1287" s="1"/>
      <c r="Z1287" s="103"/>
      <c r="AA1287" s="103"/>
      <c r="AB1287" s="1"/>
    </row>
    <row r="1288" spans="15:28">
      <c r="O1288" s="1"/>
      <c r="P1288" s="1"/>
      <c r="Q1288" s="1"/>
      <c r="R1288" s="1"/>
      <c r="Z1288" s="103"/>
      <c r="AA1288" s="103"/>
      <c r="AB1288" s="1"/>
    </row>
    <row r="1289" spans="15:28">
      <c r="O1289" s="1"/>
      <c r="P1289" s="1"/>
      <c r="Q1289" s="1"/>
      <c r="R1289" s="1"/>
      <c r="Z1289" s="103"/>
      <c r="AA1289" s="103"/>
      <c r="AB1289" s="1"/>
    </row>
    <row r="1290" spans="15:28">
      <c r="O1290" s="1"/>
      <c r="P1290" s="1"/>
      <c r="Q1290" s="1"/>
      <c r="R1290" s="1"/>
      <c r="Z1290" s="103"/>
      <c r="AA1290" s="103"/>
      <c r="AB1290" s="1"/>
    </row>
    <row r="1291" spans="15:28">
      <c r="O1291" s="1"/>
      <c r="P1291" s="1"/>
      <c r="Q1291" s="1"/>
      <c r="R1291" s="1"/>
      <c r="Z1291" s="103"/>
      <c r="AA1291" s="103"/>
      <c r="AB1291" s="1"/>
    </row>
    <row r="1292" spans="15:28">
      <c r="O1292" s="1"/>
      <c r="P1292" s="1"/>
      <c r="Q1292" s="1"/>
      <c r="R1292" s="1"/>
      <c r="Z1292" s="103"/>
      <c r="AA1292" s="103"/>
      <c r="AB1292" s="1"/>
    </row>
    <row r="1293" spans="15:28">
      <c r="O1293" s="1"/>
      <c r="P1293" s="1"/>
      <c r="Q1293" s="1"/>
      <c r="R1293" s="1"/>
      <c r="Z1293" s="103"/>
      <c r="AA1293" s="103"/>
      <c r="AB1293" s="1"/>
    </row>
    <row r="1294" spans="15:28">
      <c r="O1294" s="1"/>
      <c r="P1294" s="1"/>
      <c r="Q1294" s="1"/>
      <c r="R1294" s="1"/>
      <c r="Z1294" s="103"/>
      <c r="AA1294" s="103"/>
      <c r="AB1294" s="1"/>
    </row>
    <row r="1295" spans="15:28">
      <c r="O1295" s="1"/>
      <c r="P1295" s="1"/>
      <c r="Q1295" s="1"/>
      <c r="R1295" s="1"/>
      <c r="Z1295" s="103"/>
      <c r="AA1295" s="103"/>
      <c r="AB1295" s="1"/>
    </row>
    <row r="1296" spans="15:28">
      <c r="O1296" s="1"/>
      <c r="P1296" s="1"/>
      <c r="Q1296" s="1"/>
      <c r="R1296" s="1"/>
      <c r="Z1296" s="103"/>
      <c r="AA1296" s="103"/>
      <c r="AB1296" s="1"/>
    </row>
    <row r="1297" spans="15:28">
      <c r="O1297" s="1"/>
      <c r="P1297" s="1"/>
      <c r="Q1297" s="1"/>
      <c r="R1297" s="1"/>
      <c r="Z1297" s="103"/>
      <c r="AA1297" s="103"/>
      <c r="AB1297" s="1"/>
    </row>
    <row r="1298" spans="15:28">
      <c r="O1298" s="1"/>
      <c r="P1298" s="1"/>
      <c r="Q1298" s="1"/>
      <c r="R1298" s="1"/>
      <c r="Z1298" s="103"/>
      <c r="AA1298" s="103"/>
      <c r="AB1298" s="1"/>
    </row>
    <row r="1299" spans="15:28">
      <c r="O1299" s="1"/>
      <c r="P1299" s="1"/>
      <c r="Q1299" s="1"/>
      <c r="R1299" s="1"/>
      <c r="Z1299" s="103"/>
      <c r="AA1299" s="103"/>
      <c r="AB1299" s="1"/>
    </row>
    <row r="1300" spans="15:28">
      <c r="O1300" s="1"/>
      <c r="P1300" s="1"/>
      <c r="Q1300" s="1"/>
      <c r="R1300" s="1"/>
      <c r="Z1300" s="103"/>
      <c r="AA1300" s="103"/>
      <c r="AB1300" s="1"/>
    </row>
    <row r="1301" spans="15:28">
      <c r="O1301" s="1"/>
      <c r="P1301" s="1"/>
      <c r="Q1301" s="1"/>
      <c r="R1301" s="1"/>
      <c r="Z1301" s="103"/>
      <c r="AA1301" s="103"/>
      <c r="AB1301" s="1"/>
    </row>
    <row r="1302" spans="15:28">
      <c r="O1302" s="1"/>
      <c r="P1302" s="1"/>
      <c r="Q1302" s="1"/>
      <c r="R1302" s="1"/>
      <c r="Z1302" s="103"/>
      <c r="AA1302" s="103"/>
      <c r="AB1302" s="1"/>
    </row>
    <row r="1303" spans="15:28">
      <c r="O1303" s="1"/>
      <c r="P1303" s="1"/>
      <c r="Q1303" s="1"/>
      <c r="R1303" s="1"/>
      <c r="Z1303" s="103"/>
      <c r="AA1303" s="103"/>
      <c r="AB1303" s="1"/>
    </row>
    <row r="1304" spans="15:28">
      <c r="O1304" s="1"/>
      <c r="P1304" s="1"/>
      <c r="Q1304" s="1"/>
      <c r="R1304" s="1"/>
      <c r="Z1304" s="103"/>
      <c r="AA1304" s="103"/>
      <c r="AB1304" s="1"/>
    </row>
    <row r="1305" spans="15:28">
      <c r="O1305" s="1"/>
      <c r="P1305" s="1"/>
      <c r="Q1305" s="1"/>
      <c r="R1305" s="1"/>
      <c r="Z1305" s="103"/>
      <c r="AA1305" s="103"/>
      <c r="AB1305" s="1"/>
    </row>
    <row r="1306" spans="15:28">
      <c r="O1306" s="1"/>
      <c r="P1306" s="1"/>
      <c r="Q1306" s="1"/>
      <c r="R1306" s="1"/>
      <c r="Z1306" s="103"/>
      <c r="AA1306" s="103"/>
      <c r="AB1306" s="1"/>
    </row>
    <row r="1307" spans="15:28">
      <c r="O1307" s="1"/>
      <c r="P1307" s="1"/>
      <c r="Q1307" s="1"/>
      <c r="R1307" s="1"/>
      <c r="Z1307" s="103"/>
      <c r="AA1307" s="103"/>
      <c r="AB1307" s="1"/>
    </row>
    <row r="1308" spans="15:28">
      <c r="O1308" s="1"/>
      <c r="P1308" s="1"/>
      <c r="Q1308" s="1"/>
      <c r="R1308" s="1"/>
      <c r="Z1308" s="103"/>
      <c r="AA1308" s="103"/>
      <c r="AB1308" s="1"/>
    </row>
    <row r="1309" spans="15:28">
      <c r="O1309" s="1"/>
      <c r="P1309" s="1"/>
      <c r="Q1309" s="1"/>
      <c r="R1309" s="1"/>
      <c r="Z1309" s="103"/>
      <c r="AA1309" s="103"/>
      <c r="AB1309" s="1"/>
    </row>
    <row r="1310" spans="15:28">
      <c r="O1310" s="1"/>
      <c r="P1310" s="1"/>
      <c r="Q1310" s="1"/>
      <c r="R1310" s="1"/>
      <c r="Z1310" s="103"/>
      <c r="AA1310" s="103"/>
      <c r="AB1310" s="1"/>
    </row>
    <row r="1311" spans="15:28">
      <c r="O1311" s="1"/>
      <c r="P1311" s="1"/>
      <c r="Q1311" s="1"/>
      <c r="R1311" s="1"/>
      <c r="Z1311" s="103"/>
      <c r="AA1311" s="103"/>
      <c r="AB1311" s="1"/>
    </row>
    <row r="1312" spans="15:28">
      <c r="O1312" s="1"/>
      <c r="P1312" s="1"/>
      <c r="Q1312" s="1"/>
      <c r="R1312" s="1"/>
      <c r="Z1312" s="103"/>
      <c r="AA1312" s="103"/>
      <c r="AB1312" s="1"/>
    </row>
    <row r="1313" spans="15:28">
      <c r="O1313" s="1"/>
      <c r="P1313" s="1"/>
      <c r="Q1313" s="1"/>
      <c r="R1313" s="1"/>
      <c r="Z1313" s="103"/>
      <c r="AA1313" s="103"/>
      <c r="AB1313" s="1"/>
    </row>
    <row r="1314" spans="15:28">
      <c r="O1314" s="1"/>
      <c r="P1314" s="1"/>
      <c r="Q1314" s="1"/>
      <c r="R1314" s="1"/>
      <c r="Z1314" s="103"/>
      <c r="AA1314" s="103"/>
      <c r="AB1314" s="1"/>
    </row>
    <row r="1315" spans="15:28">
      <c r="O1315" s="1"/>
      <c r="P1315" s="1"/>
      <c r="Q1315" s="1"/>
      <c r="R1315" s="1"/>
      <c r="Z1315" s="103"/>
      <c r="AA1315" s="103"/>
      <c r="AB1315" s="1"/>
    </row>
    <row r="1316" spans="15:28">
      <c r="O1316" s="1"/>
      <c r="P1316" s="1"/>
      <c r="Q1316" s="1"/>
      <c r="R1316" s="1"/>
      <c r="Z1316" s="103"/>
      <c r="AA1316" s="103"/>
      <c r="AB1316" s="1"/>
    </row>
    <row r="1317" spans="15:28">
      <c r="O1317" s="1"/>
      <c r="P1317" s="1"/>
      <c r="Q1317" s="1"/>
      <c r="R1317" s="1"/>
      <c r="Z1317" s="103"/>
      <c r="AA1317" s="103"/>
      <c r="AB1317" s="1"/>
    </row>
    <row r="1318" spans="15:28">
      <c r="O1318" s="1"/>
      <c r="P1318" s="1"/>
      <c r="Q1318" s="1"/>
      <c r="R1318" s="1"/>
      <c r="Z1318" s="103"/>
      <c r="AA1318" s="103"/>
      <c r="AB1318" s="1"/>
    </row>
    <row r="1319" spans="15:28">
      <c r="O1319" s="1"/>
      <c r="P1319" s="1"/>
      <c r="Q1319" s="1"/>
      <c r="R1319" s="1"/>
      <c r="Z1319" s="103"/>
      <c r="AA1319" s="103"/>
      <c r="AB1319" s="1"/>
    </row>
    <row r="1320" spans="15:28">
      <c r="O1320" s="1"/>
      <c r="P1320" s="1"/>
      <c r="Q1320" s="1"/>
      <c r="R1320" s="1"/>
      <c r="Z1320" s="103"/>
      <c r="AA1320" s="103"/>
      <c r="AB1320" s="1"/>
    </row>
    <row r="1321" spans="15:28">
      <c r="O1321" s="1"/>
      <c r="P1321" s="1"/>
      <c r="Q1321" s="1"/>
      <c r="R1321" s="1"/>
      <c r="Z1321" s="103"/>
      <c r="AA1321" s="103"/>
      <c r="AB1321" s="1"/>
    </row>
    <row r="1322" spans="15:28">
      <c r="O1322" s="1"/>
      <c r="P1322" s="1"/>
      <c r="Q1322" s="1"/>
      <c r="R1322" s="1"/>
      <c r="Z1322" s="103"/>
      <c r="AA1322" s="103"/>
      <c r="AB1322" s="1"/>
    </row>
    <row r="1323" spans="15:28">
      <c r="O1323" s="1"/>
      <c r="P1323" s="1"/>
      <c r="Q1323" s="1"/>
      <c r="R1323" s="1"/>
      <c r="Z1323" s="103"/>
      <c r="AA1323" s="103"/>
      <c r="AB1323" s="1"/>
    </row>
    <row r="1324" spans="15:28">
      <c r="O1324" s="1"/>
      <c r="P1324" s="1"/>
      <c r="Q1324" s="1"/>
      <c r="R1324" s="1"/>
      <c r="Z1324" s="103"/>
      <c r="AA1324" s="103"/>
      <c r="AB1324" s="1"/>
    </row>
    <row r="1325" spans="15:28">
      <c r="O1325" s="1"/>
      <c r="P1325" s="1"/>
      <c r="Q1325" s="1"/>
      <c r="R1325" s="1"/>
      <c r="Z1325" s="103"/>
      <c r="AA1325" s="103"/>
      <c r="AB1325" s="1"/>
    </row>
    <row r="1326" spans="15:28">
      <c r="O1326" s="1"/>
      <c r="P1326" s="1"/>
      <c r="Q1326" s="1"/>
      <c r="R1326" s="1"/>
      <c r="Z1326" s="103"/>
      <c r="AA1326" s="103"/>
      <c r="AB1326" s="1"/>
    </row>
    <row r="1327" spans="15:28">
      <c r="O1327" s="1"/>
      <c r="P1327" s="1"/>
      <c r="Q1327" s="1"/>
      <c r="R1327" s="1"/>
      <c r="Z1327" s="103"/>
      <c r="AA1327" s="103"/>
      <c r="AB1327" s="1"/>
    </row>
    <row r="1328" spans="15:28">
      <c r="O1328" s="1"/>
      <c r="P1328" s="1"/>
      <c r="Q1328" s="1"/>
      <c r="R1328" s="1"/>
      <c r="Z1328" s="103"/>
      <c r="AA1328" s="103"/>
      <c r="AB1328" s="1"/>
    </row>
    <row r="1329" spans="15:30">
      <c r="O1329" s="1"/>
      <c r="P1329" s="1"/>
      <c r="Q1329" s="1"/>
      <c r="R1329" s="1"/>
      <c r="Z1329" s="103"/>
      <c r="AA1329" s="103"/>
      <c r="AB1329" s="1"/>
    </row>
    <row r="1330" spans="15:30">
      <c r="O1330" s="1"/>
      <c r="P1330" s="1"/>
      <c r="Q1330" s="1"/>
      <c r="R1330" s="1"/>
      <c r="Z1330" s="103"/>
      <c r="AA1330" s="103"/>
      <c r="AB1330" s="1"/>
    </row>
    <row r="1331" spans="15:30">
      <c r="O1331" s="1"/>
      <c r="P1331" s="1"/>
      <c r="Q1331" s="1"/>
      <c r="R1331" s="1"/>
      <c r="Z1331" s="103"/>
      <c r="AA1331" s="103"/>
      <c r="AB1331" s="1"/>
    </row>
    <row r="1332" spans="15:30">
      <c r="O1332" s="1"/>
      <c r="P1332" s="1"/>
      <c r="Q1332" s="1"/>
      <c r="R1332" s="1"/>
      <c r="Z1332" s="103"/>
      <c r="AA1332" s="103"/>
      <c r="AB1332" s="1"/>
    </row>
    <row r="1333" spans="15:30">
      <c r="O1333" s="1"/>
      <c r="P1333" s="1"/>
      <c r="Q1333" s="1"/>
      <c r="R1333" s="1"/>
      <c r="Z1333" s="103"/>
      <c r="AA1333" s="103"/>
      <c r="AB1333" s="1"/>
      <c r="AD1333" s="102"/>
    </row>
    <row r="1334" spans="15:30">
      <c r="O1334" s="1"/>
      <c r="P1334" s="1"/>
      <c r="Q1334" s="1"/>
      <c r="R1334" s="1"/>
      <c r="Z1334" s="103"/>
      <c r="AA1334" s="103"/>
      <c r="AB1334" s="1"/>
    </row>
    <row r="1335" spans="15:30">
      <c r="O1335" s="1"/>
      <c r="P1335" s="1"/>
      <c r="Q1335" s="1"/>
      <c r="R1335" s="1"/>
      <c r="Z1335" s="103"/>
      <c r="AA1335" s="103"/>
      <c r="AB1335" s="1"/>
    </row>
    <row r="1336" spans="15:30">
      <c r="O1336" s="1"/>
      <c r="P1336" s="1"/>
      <c r="Q1336" s="1"/>
      <c r="R1336" s="1"/>
      <c r="Z1336" s="103"/>
      <c r="AA1336" s="103"/>
      <c r="AB1336" s="1"/>
    </row>
    <row r="1337" spans="15:30">
      <c r="O1337" s="1"/>
      <c r="P1337" s="1"/>
      <c r="Q1337" s="1"/>
      <c r="R1337" s="1"/>
      <c r="Z1337" s="103"/>
      <c r="AA1337" s="103"/>
      <c r="AB1337" s="1"/>
    </row>
    <row r="1338" spans="15:30">
      <c r="O1338" s="1"/>
      <c r="P1338" s="1"/>
      <c r="Q1338" s="1"/>
      <c r="R1338" s="1"/>
      <c r="Z1338" s="103"/>
      <c r="AA1338" s="103"/>
      <c r="AB1338" s="1"/>
    </row>
    <row r="1339" spans="15:30">
      <c r="O1339" s="1"/>
      <c r="P1339" s="1"/>
      <c r="Q1339" s="1"/>
      <c r="R1339" s="1"/>
      <c r="Z1339" s="103"/>
      <c r="AA1339" s="103"/>
      <c r="AB1339" s="1"/>
      <c r="AD1339" s="102"/>
    </row>
    <row r="1340" spans="15:30">
      <c r="O1340" s="1"/>
      <c r="P1340" s="1"/>
      <c r="Q1340" s="1"/>
      <c r="R1340" s="1"/>
      <c r="Z1340" s="103"/>
      <c r="AA1340" s="103"/>
      <c r="AB1340" s="1"/>
    </row>
    <row r="1341" spans="15:30">
      <c r="O1341" s="1"/>
      <c r="P1341" s="1"/>
      <c r="Q1341" s="1"/>
      <c r="R1341" s="1"/>
      <c r="Z1341" s="103"/>
      <c r="AA1341" s="103"/>
      <c r="AB1341" s="1"/>
    </row>
    <row r="1342" spans="15:30">
      <c r="O1342" s="1"/>
      <c r="P1342" s="1"/>
      <c r="Q1342" s="1"/>
      <c r="R1342" s="1"/>
      <c r="Z1342" s="103"/>
      <c r="AA1342" s="103"/>
      <c r="AB1342" s="1"/>
    </row>
    <row r="1343" spans="15:30">
      <c r="O1343" s="1"/>
      <c r="P1343" s="1"/>
      <c r="Q1343" s="1"/>
      <c r="R1343" s="1"/>
      <c r="Z1343" s="103"/>
      <c r="AA1343" s="103"/>
      <c r="AB1343" s="1"/>
    </row>
    <row r="1344" spans="15:30">
      <c r="O1344" s="1"/>
      <c r="P1344" s="1"/>
      <c r="Q1344" s="1"/>
      <c r="R1344" s="1"/>
      <c r="Z1344" s="103"/>
      <c r="AA1344" s="103"/>
      <c r="AB1344" s="1"/>
    </row>
    <row r="1345" spans="15:28">
      <c r="O1345" s="1"/>
      <c r="P1345" s="1"/>
      <c r="Q1345" s="1"/>
      <c r="R1345" s="1"/>
      <c r="Z1345" s="103"/>
      <c r="AA1345" s="103"/>
      <c r="AB1345" s="1"/>
    </row>
    <row r="1346" spans="15:28">
      <c r="O1346" s="1"/>
      <c r="P1346" s="1"/>
      <c r="Q1346" s="1"/>
      <c r="R1346" s="1"/>
      <c r="Z1346" s="103"/>
      <c r="AA1346" s="103"/>
      <c r="AB1346" s="1"/>
    </row>
    <row r="1347" spans="15:28">
      <c r="O1347" s="1"/>
      <c r="P1347" s="1"/>
      <c r="Q1347" s="1"/>
      <c r="R1347" s="1"/>
      <c r="Z1347" s="103"/>
      <c r="AA1347" s="103"/>
      <c r="AB1347" s="1"/>
    </row>
    <row r="1348" spans="15:28">
      <c r="O1348" s="1"/>
      <c r="P1348" s="1"/>
      <c r="Q1348" s="1"/>
      <c r="R1348" s="1"/>
      <c r="Z1348" s="103"/>
      <c r="AA1348" s="103"/>
      <c r="AB1348" s="1"/>
    </row>
    <row r="1349" spans="15:28">
      <c r="O1349" s="1"/>
      <c r="P1349" s="1"/>
      <c r="Q1349" s="1"/>
      <c r="R1349" s="1"/>
      <c r="Z1349" s="103"/>
      <c r="AA1349" s="103"/>
      <c r="AB1349" s="1"/>
    </row>
    <row r="1350" spans="15:28">
      <c r="O1350" s="1"/>
      <c r="P1350" s="1"/>
      <c r="Q1350" s="1"/>
      <c r="R1350" s="1"/>
      <c r="Z1350" s="103"/>
      <c r="AA1350" s="103"/>
      <c r="AB1350" s="1"/>
    </row>
    <row r="1351" spans="15:28">
      <c r="O1351" s="1"/>
      <c r="P1351" s="1"/>
      <c r="Q1351" s="1"/>
      <c r="R1351" s="1"/>
      <c r="Z1351" s="103"/>
      <c r="AA1351" s="103"/>
      <c r="AB1351" s="1"/>
    </row>
    <row r="1352" spans="15:28">
      <c r="O1352" s="1"/>
      <c r="P1352" s="1"/>
      <c r="Q1352" s="1"/>
      <c r="R1352" s="1"/>
      <c r="Z1352" s="103"/>
      <c r="AA1352" s="103"/>
      <c r="AB1352" s="1"/>
    </row>
    <row r="1353" spans="15:28">
      <c r="O1353" s="1"/>
      <c r="P1353" s="1"/>
      <c r="Q1353" s="1"/>
      <c r="R1353" s="1"/>
      <c r="Z1353" s="103"/>
      <c r="AA1353" s="103"/>
      <c r="AB1353" s="1"/>
    </row>
    <row r="1354" spans="15:28">
      <c r="O1354" s="1"/>
      <c r="P1354" s="1"/>
      <c r="Q1354" s="1"/>
      <c r="R1354" s="1"/>
      <c r="Z1354" s="103"/>
      <c r="AA1354" s="103"/>
      <c r="AB1354" s="1"/>
    </row>
    <row r="1355" spans="15:28">
      <c r="O1355" s="1"/>
      <c r="P1355" s="1"/>
      <c r="Q1355" s="1"/>
      <c r="R1355" s="1"/>
      <c r="Z1355" s="103"/>
      <c r="AA1355" s="103"/>
      <c r="AB1355" s="1"/>
    </row>
    <row r="1356" spans="15:28">
      <c r="O1356" s="1"/>
      <c r="P1356" s="1"/>
      <c r="Q1356" s="1"/>
      <c r="R1356" s="1"/>
      <c r="Z1356" s="103"/>
      <c r="AA1356" s="103"/>
      <c r="AB1356" s="1"/>
    </row>
    <row r="1357" spans="15:28">
      <c r="O1357" s="1"/>
      <c r="P1357" s="1"/>
      <c r="Q1357" s="1"/>
      <c r="R1357" s="1"/>
      <c r="Z1357" s="103"/>
      <c r="AA1357" s="103"/>
      <c r="AB1357" s="1"/>
    </row>
    <row r="1358" spans="15:28">
      <c r="O1358" s="1"/>
      <c r="P1358" s="1"/>
      <c r="Q1358" s="1"/>
      <c r="R1358" s="1"/>
      <c r="Z1358" s="103"/>
      <c r="AA1358" s="103"/>
      <c r="AB1358" s="1"/>
    </row>
    <row r="1359" spans="15:28">
      <c r="O1359" s="1"/>
      <c r="P1359" s="1"/>
      <c r="Q1359" s="1"/>
      <c r="R1359" s="1"/>
      <c r="Z1359" s="103"/>
      <c r="AA1359" s="103"/>
      <c r="AB1359" s="1"/>
    </row>
    <row r="1360" spans="15:28">
      <c r="O1360" s="1"/>
      <c r="P1360" s="1"/>
      <c r="Q1360" s="1"/>
      <c r="R1360" s="1"/>
      <c r="Z1360" s="103"/>
      <c r="AA1360" s="103"/>
      <c r="AB1360" s="1"/>
    </row>
    <row r="1361" spans="15:30">
      <c r="O1361" s="1"/>
      <c r="P1361" s="1"/>
      <c r="Q1361" s="1"/>
      <c r="R1361" s="1"/>
      <c r="Z1361" s="103"/>
      <c r="AA1361" s="103"/>
      <c r="AB1361" s="1"/>
    </row>
    <row r="1362" spans="15:30">
      <c r="O1362" s="1"/>
      <c r="P1362" s="1"/>
      <c r="Q1362" s="1"/>
      <c r="R1362" s="1"/>
      <c r="Z1362" s="103"/>
      <c r="AA1362" s="103"/>
      <c r="AB1362" s="1"/>
    </row>
    <row r="1363" spans="15:30">
      <c r="O1363" s="1"/>
      <c r="P1363" s="1"/>
      <c r="Q1363" s="1"/>
      <c r="R1363" s="1"/>
      <c r="Z1363" s="103"/>
      <c r="AA1363" s="103"/>
      <c r="AB1363" s="1"/>
    </row>
    <row r="1364" spans="15:30">
      <c r="O1364" s="1"/>
      <c r="P1364" s="1"/>
      <c r="Q1364" s="1"/>
      <c r="R1364" s="1"/>
      <c r="Z1364" s="103"/>
      <c r="AA1364" s="103"/>
      <c r="AB1364" s="1"/>
    </row>
    <row r="1365" spans="15:30">
      <c r="O1365" s="1"/>
      <c r="P1365" s="1"/>
      <c r="Q1365" s="1"/>
      <c r="R1365" s="1"/>
      <c r="Z1365" s="103"/>
      <c r="AA1365" s="103"/>
      <c r="AB1365" s="1"/>
    </row>
    <row r="1366" spans="15:30">
      <c r="O1366" s="1"/>
      <c r="P1366" s="1"/>
      <c r="Q1366" s="1"/>
      <c r="R1366" s="1"/>
      <c r="Z1366" s="103"/>
      <c r="AA1366" s="103"/>
      <c r="AB1366" s="1"/>
    </row>
    <row r="1367" spans="15:30">
      <c r="O1367" s="1"/>
      <c r="P1367" s="1"/>
      <c r="Q1367" s="1"/>
      <c r="R1367" s="1"/>
      <c r="Z1367" s="103"/>
      <c r="AA1367" s="103"/>
      <c r="AB1367" s="1"/>
    </row>
    <row r="1368" spans="15:30">
      <c r="O1368" s="1"/>
      <c r="P1368" s="1"/>
      <c r="Q1368" s="1"/>
      <c r="R1368" s="1"/>
      <c r="Z1368" s="103"/>
      <c r="AA1368" s="103"/>
      <c r="AB1368" s="1"/>
    </row>
    <row r="1369" spans="15:30">
      <c r="O1369" s="1"/>
      <c r="P1369" s="1"/>
      <c r="Q1369" s="1"/>
      <c r="R1369" s="1"/>
      <c r="Z1369" s="103"/>
      <c r="AA1369" s="103"/>
      <c r="AB1369" s="1"/>
    </row>
    <row r="1370" spans="15:30">
      <c r="O1370" s="1"/>
      <c r="P1370" s="1"/>
      <c r="Q1370" s="1"/>
      <c r="R1370" s="1"/>
      <c r="Z1370" s="103"/>
      <c r="AA1370" s="103"/>
      <c r="AB1370" s="1"/>
    </row>
    <row r="1371" spans="15:30">
      <c r="O1371" s="1"/>
      <c r="P1371" s="1"/>
      <c r="Q1371" s="1"/>
      <c r="R1371" s="1"/>
      <c r="Z1371" s="103"/>
      <c r="AA1371" s="103"/>
      <c r="AB1371" s="1"/>
    </row>
    <row r="1372" spans="15:30">
      <c r="O1372" s="1"/>
      <c r="P1372" s="1"/>
      <c r="Q1372" s="1"/>
      <c r="R1372" s="1"/>
      <c r="Z1372" s="103"/>
      <c r="AA1372" s="103"/>
      <c r="AB1372" s="1"/>
    </row>
    <row r="1373" spans="15:30">
      <c r="O1373" s="1"/>
      <c r="P1373" s="1"/>
      <c r="Q1373" s="1"/>
      <c r="R1373" s="1"/>
      <c r="Z1373" s="103"/>
      <c r="AA1373" s="103"/>
      <c r="AB1373" s="1"/>
      <c r="AD1373" s="102"/>
    </row>
    <row r="1374" spans="15:30">
      <c r="O1374" s="1"/>
      <c r="P1374" s="1"/>
      <c r="Q1374" s="1"/>
      <c r="R1374" s="1"/>
      <c r="Z1374" s="103"/>
      <c r="AA1374" s="103"/>
      <c r="AB1374" s="1"/>
    </row>
    <row r="1375" spans="15:30">
      <c r="O1375" s="1"/>
      <c r="P1375" s="1"/>
      <c r="Q1375" s="1"/>
      <c r="R1375" s="1"/>
      <c r="Z1375" s="103"/>
      <c r="AA1375" s="103"/>
      <c r="AB1375" s="1"/>
    </row>
    <row r="1376" spans="15:30">
      <c r="O1376" s="1"/>
      <c r="P1376" s="1"/>
      <c r="Q1376" s="1"/>
      <c r="R1376" s="1"/>
      <c r="Z1376" s="103"/>
      <c r="AA1376" s="103"/>
      <c r="AB1376" s="1"/>
    </row>
    <row r="1377" spans="15:28">
      <c r="O1377" s="1"/>
      <c r="P1377" s="1"/>
      <c r="Q1377" s="1"/>
      <c r="R1377" s="1"/>
      <c r="Z1377" s="103"/>
      <c r="AA1377" s="103"/>
      <c r="AB1377" s="1"/>
    </row>
    <row r="1378" spans="15:28">
      <c r="O1378" s="1"/>
      <c r="P1378" s="1"/>
      <c r="Q1378" s="1"/>
      <c r="R1378" s="1"/>
      <c r="Z1378" s="103"/>
      <c r="AA1378" s="103"/>
      <c r="AB1378" s="1"/>
    </row>
    <row r="1379" spans="15:28">
      <c r="O1379" s="1"/>
      <c r="P1379" s="1"/>
      <c r="Q1379" s="1"/>
      <c r="R1379" s="1"/>
      <c r="Z1379" s="103"/>
      <c r="AA1379" s="103"/>
      <c r="AB1379" s="1"/>
    </row>
    <row r="1380" spans="15:28">
      <c r="O1380" s="1"/>
      <c r="P1380" s="1"/>
      <c r="Q1380" s="1"/>
      <c r="R1380" s="1"/>
      <c r="Z1380" s="103"/>
      <c r="AA1380" s="103"/>
      <c r="AB1380" s="1"/>
    </row>
    <row r="1381" spans="15:28">
      <c r="O1381" s="1"/>
      <c r="P1381" s="1"/>
      <c r="Q1381" s="1"/>
      <c r="R1381" s="1"/>
      <c r="Z1381" s="103"/>
      <c r="AA1381" s="103"/>
      <c r="AB1381" s="1"/>
    </row>
    <row r="1382" spans="15:28">
      <c r="O1382" s="1"/>
      <c r="P1382" s="1"/>
      <c r="Q1382" s="1"/>
      <c r="R1382" s="1"/>
      <c r="Z1382" s="103"/>
      <c r="AA1382" s="103"/>
      <c r="AB1382" s="1"/>
    </row>
    <row r="1383" spans="15:28">
      <c r="O1383" s="1"/>
      <c r="P1383" s="1"/>
      <c r="Q1383" s="1"/>
      <c r="R1383" s="1"/>
      <c r="Z1383" s="103"/>
      <c r="AA1383" s="103"/>
      <c r="AB1383" s="1"/>
    </row>
    <row r="1384" spans="15:28">
      <c r="O1384" s="1"/>
      <c r="P1384" s="1"/>
      <c r="Q1384" s="1"/>
      <c r="R1384" s="1"/>
      <c r="Z1384" s="103"/>
      <c r="AA1384" s="103"/>
      <c r="AB1384" s="1"/>
    </row>
    <row r="1385" spans="15:28">
      <c r="O1385" s="1"/>
      <c r="P1385" s="1"/>
      <c r="Q1385" s="1"/>
      <c r="R1385" s="1"/>
      <c r="Z1385" s="103"/>
      <c r="AA1385" s="103"/>
      <c r="AB1385" s="1"/>
    </row>
    <row r="1386" spans="15:28">
      <c r="O1386" s="1"/>
      <c r="P1386" s="1"/>
      <c r="Q1386" s="1"/>
      <c r="R1386" s="1"/>
      <c r="Z1386" s="103"/>
      <c r="AA1386" s="103"/>
      <c r="AB1386" s="1"/>
    </row>
    <row r="1387" spans="15:28">
      <c r="O1387" s="1"/>
      <c r="P1387" s="1"/>
      <c r="Q1387" s="1"/>
      <c r="R1387" s="1"/>
      <c r="Z1387" s="103"/>
      <c r="AA1387" s="103"/>
      <c r="AB1387" s="1"/>
    </row>
    <row r="1388" spans="15:28">
      <c r="O1388" s="1"/>
      <c r="P1388" s="1"/>
      <c r="Q1388" s="1"/>
      <c r="R1388" s="1"/>
      <c r="Z1388" s="103"/>
      <c r="AA1388" s="103"/>
      <c r="AB1388" s="1"/>
    </row>
    <row r="1389" spans="15:28">
      <c r="O1389" s="1"/>
      <c r="P1389" s="1"/>
      <c r="Q1389" s="1"/>
      <c r="R1389" s="1"/>
      <c r="Z1389" s="103"/>
      <c r="AA1389" s="103"/>
      <c r="AB1389" s="1"/>
    </row>
    <row r="1390" spans="15:28">
      <c r="O1390" s="1"/>
      <c r="P1390" s="1"/>
      <c r="Q1390" s="1"/>
      <c r="R1390" s="1"/>
      <c r="Z1390" s="103"/>
      <c r="AA1390" s="103"/>
      <c r="AB1390" s="1"/>
    </row>
    <row r="1391" spans="15:28">
      <c r="O1391" s="1"/>
      <c r="P1391" s="1"/>
      <c r="Q1391" s="1"/>
      <c r="R1391" s="1"/>
      <c r="Z1391" s="103"/>
      <c r="AA1391" s="103"/>
      <c r="AB1391" s="1"/>
    </row>
    <row r="1392" spans="15:28">
      <c r="O1392" s="1"/>
      <c r="P1392" s="1"/>
      <c r="Q1392" s="1"/>
      <c r="R1392" s="1"/>
      <c r="Z1392" s="103"/>
      <c r="AA1392" s="103"/>
      <c r="AB1392" s="1"/>
    </row>
    <row r="1393" spans="15:28">
      <c r="O1393" s="1"/>
      <c r="P1393" s="1"/>
      <c r="Q1393" s="1"/>
      <c r="R1393" s="1"/>
      <c r="Z1393" s="103"/>
      <c r="AA1393" s="103"/>
      <c r="AB1393" s="1"/>
    </row>
    <row r="1394" spans="15:28">
      <c r="O1394" s="1"/>
      <c r="P1394" s="1"/>
      <c r="Q1394" s="1"/>
      <c r="R1394" s="1"/>
      <c r="Z1394" s="103"/>
      <c r="AA1394" s="103"/>
      <c r="AB1394" s="1"/>
    </row>
    <row r="1395" spans="15:28">
      <c r="O1395" s="1"/>
      <c r="P1395" s="1"/>
      <c r="Q1395" s="1"/>
      <c r="R1395" s="1"/>
      <c r="Z1395" s="103"/>
      <c r="AA1395" s="103"/>
      <c r="AB1395" s="1"/>
    </row>
    <row r="1396" spans="15:28">
      <c r="O1396" s="1"/>
      <c r="P1396" s="1"/>
      <c r="Q1396" s="1"/>
      <c r="R1396" s="1"/>
      <c r="Z1396" s="103"/>
      <c r="AA1396" s="103"/>
      <c r="AB1396" s="1"/>
    </row>
    <row r="1397" spans="15:28">
      <c r="O1397" s="1"/>
      <c r="P1397" s="1"/>
      <c r="Q1397" s="1"/>
      <c r="R1397" s="1"/>
      <c r="Z1397" s="103"/>
      <c r="AA1397" s="103"/>
      <c r="AB1397" s="1"/>
    </row>
    <row r="1398" spans="15:28">
      <c r="O1398" s="1"/>
      <c r="P1398" s="1"/>
      <c r="Q1398" s="1"/>
      <c r="R1398" s="1"/>
      <c r="Z1398" s="103"/>
      <c r="AA1398" s="103"/>
      <c r="AB1398" s="1"/>
    </row>
    <row r="1399" spans="15:28">
      <c r="O1399" s="1"/>
      <c r="P1399" s="1"/>
      <c r="Q1399" s="1"/>
      <c r="R1399" s="1"/>
      <c r="Z1399" s="103"/>
      <c r="AA1399" s="103"/>
      <c r="AB1399" s="1"/>
    </row>
    <row r="1400" spans="15:28">
      <c r="O1400" s="1"/>
      <c r="P1400" s="1"/>
      <c r="Q1400" s="1"/>
      <c r="R1400" s="1"/>
      <c r="Z1400" s="103"/>
      <c r="AA1400" s="103"/>
      <c r="AB1400" s="1"/>
    </row>
    <row r="1401" spans="15:28">
      <c r="O1401" s="1"/>
      <c r="P1401" s="1"/>
      <c r="Q1401" s="1"/>
      <c r="R1401" s="1"/>
      <c r="Z1401" s="103"/>
      <c r="AA1401" s="103"/>
      <c r="AB1401" s="1"/>
    </row>
    <row r="1402" spans="15:28">
      <c r="O1402" s="1"/>
      <c r="P1402" s="1"/>
      <c r="Q1402" s="1"/>
      <c r="R1402" s="1"/>
      <c r="Z1402" s="103"/>
      <c r="AA1402" s="103"/>
      <c r="AB1402" s="1"/>
    </row>
    <row r="1403" spans="15:28">
      <c r="O1403" s="1"/>
      <c r="P1403" s="1"/>
      <c r="Q1403" s="1"/>
      <c r="R1403" s="1"/>
      <c r="Z1403" s="103"/>
      <c r="AA1403" s="103"/>
      <c r="AB1403" s="1"/>
    </row>
    <row r="1404" spans="15:28">
      <c r="O1404" s="1"/>
      <c r="P1404" s="1"/>
      <c r="Q1404" s="1"/>
      <c r="R1404" s="1"/>
      <c r="Z1404" s="103"/>
      <c r="AA1404" s="103"/>
      <c r="AB1404" s="1"/>
    </row>
    <row r="1405" spans="15:28">
      <c r="O1405" s="1"/>
      <c r="P1405" s="1"/>
      <c r="Q1405" s="1"/>
      <c r="R1405" s="1"/>
      <c r="Z1405" s="103"/>
      <c r="AA1405" s="103"/>
      <c r="AB1405" s="1"/>
    </row>
    <row r="1406" spans="15:28">
      <c r="O1406" s="1"/>
      <c r="P1406" s="1"/>
      <c r="Q1406" s="1"/>
      <c r="R1406" s="1"/>
      <c r="Z1406" s="103"/>
      <c r="AA1406" s="103"/>
      <c r="AB1406" s="1"/>
    </row>
    <row r="1407" spans="15:28">
      <c r="O1407" s="1"/>
      <c r="P1407" s="1"/>
      <c r="Q1407" s="1"/>
      <c r="R1407" s="1"/>
      <c r="Z1407" s="103"/>
      <c r="AA1407" s="103"/>
      <c r="AB1407" s="1"/>
    </row>
    <row r="1408" spans="15:28">
      <c r="O1408" s="1"/>
      <c r="P1408" s="1"/>
      <c r="Q1408" s="1"/>
      <c r="R1408" s="1"/>
      <c r="Z1408" s="103"/>
      <c r="AA1408" s="103"/>
      <c r="AB1408" s="1"/>
    </row>
    <row r="1409" spans="15:28">
      <c r="O1409" s="1"/>
      <c r="P1409" s="1"/>
      <c r="Q1409" s="1"/>
      <c r="R1409" s="1"/>
      <c r="Z1409" s="103"/>
      <c r="AA1409" s="103"/>
      <c r="AB1409" s="1"/>
    </row>
    <row r="1410" spans="15:28">
      <c r="O1410" s="1"/>
      <c r="P1410" s="1"/>
      <c r="Q1410" s="1"/>
      <c r="R1410" s="1"/>
      <c r="Z1410" s="103"/>
      <c r="AA1410" s="103"/>
      <c r="AB1410" s="1"/>
    </row>
    <row r="1411" spans="15:28">
      <c r="O1411" s="1"/>
      <c r="P1411" s="1"/>
      <c r="Q1411" s="1"/>
      <c r="R1411" s="1"/>
      <c r="Z1411" s="103"/>
      <c r="AA1411" s="103"/>
      <c r="AB1411" s="1"/>
    </row>
    <row r="1412" spans="15:28">
      <c r="O1412" s="1"/>
      <c r="P1412" s="1"/>
      <c r="Q1412" s="1"/>
      <c r="R1412" s="1"/>
      <c r="Z1412" s="103"/>
      <c r="AA1412" s="103"/>
      <c r="AB1412" s="1"/>
    </row>
    <row r="1413" spans="15:28">
      <c r="O1413" s="1"/>
      <c r="P1413" s="1"/>
      <c r="Q1413" s="1"/>
      <c r="R1413" s="1"/>
      <c r="Z1413" s="103"/>
      <c r="AA1413" s="103"/>
      <c r="AB1413" s="1"/>
    </row>
    <row r="1414" spans="15:28">
      <c r="O1414" s="1"/>
      <c r="P1414" s="1"/>
      <c r="Q1414" s="1"/>
      <c r="R1414" s="1"/>
      <c r="Z1414" s="103"/>
      <c r="AA1414" s="103"/>
      <c r="AB1414" s="1"/>
    </row>
    <row r="1415" spans="15:28">
      <c r="O1415" s="1"/>
      <c r="P1415" s="1"/>
      <c r="Q1415" s="1"/>
      <c r="R1415" s="1"/>
      <c r="Z1415" s="103"/>
      <c r="AA1415" s="103"/>
      <c r="AB1415" s="1"/>
    </row>
    <row r="1416" spans="15:28">
      <c r="O1416" s="1"/>
      <c r="P1416" s="1"/>
      <c r="Q1416" s="1"/>
      <c r="R1416" s="1"/>
      <c r="Z1416" s="103"/>
      <c r="AA1416" s="103"/>
      <c r="AB1416" s="1"/>
    </row>
    <row r="1417" spans="15:28">
      <c r="O1417" s="1"/>
      <c r="P1417" s="1"/>
      <c r="Q1417" s="1"/>
      <c r="R1417" s="1"/>
      <c r="Z1417" s="103"/>
      <c r="AA1417" s="103"/>
      <c r="AB1417" s="1"/>
    </row>
    <row r="1418" spans="15:28">
      <c r="O1418" s="1"/>
      <c r="P1418" s="1"/>
      <c r="Q1418" s="1"/>
      <c r="R1418" s="1"/>
      <c r="Z1418" s="103"/>
      <c r="AA1418" s="103"/>
      <c r="AB1418" s="1"/>
    </row>
    <row r="1419" spans="15:28">
      <c r="O1419" s="1"/>
      <c r="P1419" s="1"/>
      <c r="Q1419" s="1"/>
      <c r="R1419" s="1"/>
      <c r="Z1419" s="103"/>
      <c r="AA1419" s="103"/>
      <c r="AB1419" s="1"/>
    </row>
    <row r="1420" spans="15:28">
      <c r="O1420" s="1"/>
      <c r="P1420" s="1"/>
      <c r="Q1420" s="1"/>
      <c r="R1420" s="1"/>
      <c r="Z1420" s="103"/>
      <c r="AA1420" s="103"/>
      <c r="AB1420" s="1"/>
    </row>
    <row r="1421" spans="15:28">
      <c r="O1421" s="1"/>
      <c r="P1421" s="1"/>
      <c r="Q1421" s="1"/>
      <c r="R1421" s="1"/>
      <c r="Z1421" s="103"/>
      <c r="AA1421" s="103"/>
      <c r="AB1421" s="1"/>
    </row>
    <row r="1422" spans="15:28">
      <c r="O1422" s="1"/>
      <c r="P1422" s="1"/>
      <c r="Q1422" s="1"/>
      <c r="R1422" s="1"/>
      <c r="Z1422" s="103"/>
      <c r="AA1422" s="103"/>
      <c r="AB1422" s="1"/>
    </row>
    <row r="1423" spans="15:28">
      <c r="O1423" s="1"/>
      <c r="P1423" s="1"/>
      <c r="Q1423" s="1"/>
      <c r="R1423" s="1"/>
      <c r="Z1423" s="103"/>
      <c r="AA1423" s="103"/>
      <c r="AB1423" s="1"/>
    </row>
    <row r="1424" spans="15:28">
      <c r="O1424" s="1"/>
      <c r="P1424" s="1"/>
      <c r="Q1424" s="1"/>
      <c r="R1424" s="1"/>
      <c r="Z1424" s="103"/>
      <c r="AA1424" s="103"/>
      <c r="AB1424" s="1"/>
    </row>
    <row r="1425" spans="15:30">
      <c r="O1425" s="1"/>
      <c r="P1425" s="1"/>
      <c r="Q1425" s="1"/>
      <c r="R1425" s="1"/>
      <c r="Z1425" s="103"/>
      <c r="AA1425" s="103"/>
      <c r="AB1425" s="1"/>
    </row>
    <row r="1426" spans="15:30">
      <c r="O1426" s="1"/>
      <c r="P1426" s="1"/>
      <c r="Q1426" s="1"/>
      <c r="R1426" s="1"/>
      <c r="Z1426" s="103"/>
      <c r="AA1426" s="103"/>
      <c r="AB1426" s="1"/>
    </row>
    <row r="1427" spans="15:30">
      <c r="O1427" s="1"/>
      <c r="P1427" s="1"/>
      <c r="Q1427" s="1"/>
      <c r="R1427" s="1"/>
      <c r="Z1427" s="103"/>
      <c r="AA1427" s="103"/>
      <c r="AB1427" s="1"/>
    </row>
    <row r="1428" spans="15:30">
      <c r="O1428" s="1"/>
      <c r="P1428" s="1"/>
      <c r="Q1428" s="1"/>
      <c r="R1428" s="1"/>
      <c r="Z1428" s="103"/>
      <c r="AA1428" s="103"/>
      <c r="AB1428" s="1"/>
    </row>
    <row r="1429" spans="15:30">
      <c r="O1429" s="1"/>
      <c r="P1429" s="1"/>
      <c r="Q1429" s="1"/>
      <c r="R1429" s="1"/>
      <c r="Z1429" s="103"/>
      <c r="AA1429" s="103"/>
      <c r="AB1429" s="1"/>
    </row>
    <row r="1430" spans="15:30">
      <c r="O1430" s="1"/>
      <c r="P1430" s="1"/>
      <c r="Q1430" s="1"/>
      <c r="R1430" s="1"/>
      <c r="Z1430" s="103"/>
      <c r="AA1430" s="103"/>
      <c r="AB1430" s="1"/>
    </row>
    <row r="1431" spans="15:30">
      <c r="O1431" s="1"/>
      <c r="P1431" s="1"/>
      <c r="Q1431" s="1"/>
      <c r="R1431" s="1"/>
      <c r="Z1431" s="103"/>
      <c r="AA1431" s="103"/>
      <c r="AB1431" s="1"/>
      <c r="AD1431" s="102"/>
    </row>
    <row r="1432" spans="15:30">
      <c r="O1432" s="1"/>
      <c r="P1432" s="1"/>
      <c r="Q1432" s="1"/>
      <c r="R1432" s="1"/>
      <c r="Z1432" s="103"/>
      <c r="AA1432" s="103"/>
      <c r="AB1432" s="1"/>
    </row>
    <row r="1433" spans="15:30">
      <c r="O1433" s="1"/>
      <c r="P1433" s="1"/>
      <c r="Q1433" s="1"/>
      <c r="R1433" s="1"/>
      <c r="Z1433" s="103"/>
      <c r="AA1433" s="103"/>
      <c r="AB1433" s="1"/>
    </row>
    <row r="1434" spans="15:30">
      <c r="O1434" s="1"/>
      <c r="P1434" s="1"/>
      <c r="Q1434" s="1"/>
      <c r="R1434" s="1"/>
      <c r="Z1434" s="103"/>
      <c r="AA1434" s="103"/>
      <c r="AB1434" s="1"/>
    </row>
    <row r="1435" spans="15:30">
      <c r="O1435" s="1"/>
      <c r="P1435" s="1"/>
      <c r="Q1435" s="1"/>
      <c r="R1435" s="1"/>
      <c r="Z1435" s="103"/>
      <c r="AA1435" s="103"/>
      <c r="AB1435" s="1"/>
    </row>
    <row r="1436" spans="15:30">
      <c r="O1436" s="1"/>
      <c r="P1436" s="1"/>
      <c r="Q1436" s="1"/>
      <c r="R1436" s="1"/>
      <c r="Z1436" s="103"/>
      <c r="AA1436" s="103"/>
      <c r="AB1436" s="1"/>
    </row>
    <row r="1437" spans="15:30">
      <c r="O1437" s="1"/>
      <c r="P1437" s="1"/>
      <c r="Q1437" s="1"/>
      <c r="R1437" s="1"/>
      <c r="Z1437" s="103"/>
      <c r="AA1437" s="103"/>
      <c r="AB1437" s="1"/>
    </row>
    <row r="1438" spans="15:30">
      <c r="O1438" s="1"/>
      <c r="P1438" s="1"/>
      <c r="Q1438" s="1"/>
      <c r="R1438" s="1"/>
      <c r="Z1438" s="103"/>
      <c r="AA1438" s="103"/>
      <c r="AB1438" s="1"/>
    </row>
    <row r="1439" spans="15:30">
      <c r="O1439" s="1"/>
      <c r="P1439" s="1"/>
      <c r="Q1439" s="1"/>
      <c r="R1439" s="1"/>
      <c r="Z1439" s="103"/>
      <c r="AA1439" s="103"/>
      <c r="AB1439" s="1"/>
    </row>
    <row r="1440" spans="15:30">
      <c r="O1440" s="1"/>
      <c r="P1440" s="1"/>
      <c r="Q1440" s="1"/>
      <c r="R1440" s="1"/>
      <c r="Z1440" s="103"/>
      <c r="AA1440" s="103"/>
      <c r="AB1440" s="1"/>
    </row>
    <row r="1441" spans="15:30">
      <c r="O1441" s="1"/>
      <c r="P1441" s="1"/>
      <c r="Q1441" s="1"/>
      <c r="R1441" s="1"/>
      <c r="Z1441" s="103"/>
      <c r="AA1441" s="103"/>
      <c r="AB1441" s="1"/>
    </row>
    <row r="1442" spans="15:30">
      <c r="O1442" s="1"/>
      <c r="P1442" s="1"/>
      <c r="Q1442" s="1"/>
      <c r="R1442" s="1"/>
      <c r="Z1442" s="103"/>
      <c r="AA1442" s="103"/>
      <c r="AB1442" s="1"/>
      <c r="AD1442" s="102"/>
    </row>
    <row r="1443" spans="15:30">
      <c r="O1443" s="1"/>
      <c r="P1443" s="1"/>
      <c r="Q1443" s="1"/>
      <c r="R1443" s="1"/>
      <c r="Z1443" s="103"/>
      <c r="AA1443" s="103"/>
      <c r="AB1443" s="1"/>
    </row>
    <row r="1444" spans="15:30">
      <c r="O1444" s="1"/>
      <c r="P1444" s="1"/>
      <c r="Q1444" s="1"/>
      <c r="R1444" s="1"/>
      <c r="Z1444" s="103"/>
      <c r="AA1444" s="103"/>
      <c r="AB1444" s="1"/>
    </row>
    <row r="1445" spans="15:30">
      <c r="O1445" s="1"/>
      <c r="P1445" s="1"/>
      <c r="Q1445" s="1"/>
      <c r="R1445" s="1"/>
      <c r="Z1445" s="103"/>
      <c r="AA1445" s="103"/>
      <c r="AB1445" s="1"/>
    </row>
    <row r="1446" spans="15:30">
      <c r="O1446" s="1"/>
      <c r="P1446" s="1"/>
      <c r="Q1446" s="1"/>
      <c r="R1446" s="1"/>
      <c r="Z1446" s="103"/>
      <c r="AA1446" s="103"/>
      <c r="AB1446" s="1"/>
    </row>
    <row r="1447" spans="15:30">
      <c r="O1447" s="1"/>
      <c r="P1447" s="1"/>
      <c r="Q1447" s="1"/>
      <c r="R1447" s="1"/>
      <c r="Z1447" s="103"/>
      <c r="AA1447" s="103"/>
      <c r="AB1447" s="1"/>
    </row>
    <row r="1448" spans="15:30">
      <c r="O1448" s="1"/>
      <c r="P1448" s="1"/>
      <c r="Q1448" s="1"/>
      <c r="R1448" s="1"/>
      <c r="Z1448" s="103"/>
      <c r="AA1448" s="103"/>
      <c r="AB1448" s="1"/>
    </row>
    <row r="1449" spans="15:30">
      <c r="O1449" s="1"/>
      <c r="P1449" s="1"/>
      <c r="Q1449" s="1"/>
      <c r="R1449" s="1"/>
      <c r="Z1449" s="103"/>
      <c r="AA1449" s="103"/>
      <c r="AB1449" s="1"/>
    </row>
    <row r="1450" spans="15:30">
      <c r="O1450" s="1"/>
      <c r="P1450" s="1"/>
      <c r="Q1450" s="1"/>
      <c r="R1450" s="1"/>
      <c r="Z1450" s="103"/>
      <c r="AA1450" s="103"/>
      <c r="AB1450" s="1"/>
    </row>
    <row r="1451" spans="15:30">
      <c r="O1451" s="1"/>
      <c r="P1451" s="1"/>
      <c r="Q1451" s="1"/>
      <c r="R1451" s="1"/>
      <c r="Z1451" s="103"/>
      <c r="AA1451" s="103"/>
      <c r="AB1451" s="1"/>
    </row>
    <row r="1452" spans="15:30">
      <c r="O1452" s="1"/>
      <c r="P1452" s="1"/>
      <c r="Q1452" s="1"/>
      <c r="R1452" s="1"/>
      <c r="Z1452" s="103"/>
      <c r="AA1452" s="103"/>
      <c r="AB1452" s="1"/>
    </row>
    <row r="1453" spans="15:30">
      <c r="O1453" s="1"/>
      <c r="P1453" s="1"/>
      <c r="Q1453" s="1"/>
      <c r="R1453" s="1"/>
      <c r="Z1453" s="103"/>
      <c r="AA1453" s="103"/>
      <c r="AB1453" s="1"/>
    </row>
    <row r="1454" spans="15:30">
      <c r="O1454" s="1"/>
      <c r="P1454" s="1"/>
      <c r="Q1454" s="1"/>
      <c r="R1454" s="1"/>
      <c r="Z1454" s="103"/>
      <c r="AA1454" s="103"/>
      <c r="AB1454" s="1"/>
      <c r="AD1454" s="102"/>
    </row>
    <row r="1455" spans="15:30">
      <c r="O1455" s="1"/>
      <c r="P1455" s="1"/>
      <c r="Q1455" s="1"/>
      <c r="R1455" s="1"/>
      <c r="Z1455" s="103"/>
      <c r="AA1455" s="103"/>
      <c r="AB1455" s="1"/>
    </row>
    <row r="1456" spans="15:30">
      <c r="O1456" s="1"/>
      <c r="P1456" s="1"/>
      <c r="Q1456" s="1"/>
      <c r="R1456" s="1"/>
      <c r="Z1456" s="103"/>
      <c r="AA1456" s="103"/>
      <c r="AB1456" s="1"/>
    </row>
    <row r="1457" spans="15:28">
      <c r="O1457" s="1"/>
      <c r="P1457" s="1"/>
      <c r="Q1457" s="1"/>
      <c r="R1457" s="1"/>
      <c r="Z1457" s="103"/>
      <c r="AA1457" s="103"/>
      <c r="AB1457" s="1"/>
    </row>
    <row r="1458" spans="15:28">
      <c r="O1458" s="1"/>
      <c r="P1458" s="1"/>
      <c r="Q1458" s="1"/>
      <c r="R1458" s="1"/>
      <c r="Z1458" s="103"/>
      <c r="AA1458" s="103"/>
      <c r="AB1458" s="1"/>
    </row>
    <row r="1459" spans="15:28">
      <c r="O1459" s="1"/>
      <c r="P1459" s="1"/>
      <c r="Q1459" s="1"/>
      <c r="R1459" s="1"/>
      <c r="Z1459" s="103"/>
      <c r="AA1459" s="103"/>
      <c r="AB1459" s="1"/>
    </row>
    <row r="1460" spans="15:28">
      <c r="O1460" s="1"/>
      <c r="P1460" s="1"/>
      <c r="Q1460" s="1"/>
      <c r="R1460" s="1"/>
      <c r="Z1460" s="103"/>
      <c r="AA1460" s="103"/>
      <c r="AB1460" s="1"/>
    </row>
    <row r="1461" spans="15:28">
      <c r="O1461" s="1"/>
      <c r="P1461" s="1"/>
      <c r="Q1461" s="1"/>
      <c r="R1461" s="1"/>
      <c r="Z1461" s="103"/>
      <c r="AA1461" s="103"/>
      <c r="AB1461" s="1"/>
    </row>
    <row r="1462" spans="15:28">
      <c r="O1462" s="1"/>
      <c r="P1462" s="1"/>
      <c r="Q1462" s="1"/>
      <c r="R1462" s="1"/>
      <c r="Z1462" s="103"/>
      <c r="AA1462" s="103"/>
      <c r="AB1462" s="1"/>
    </row>
    <row r="1463" spans="15:28">
      <c r="O1463" s="1"/>
      <c r="P1463" s="1"/>
      <c r="Q1463" s="1"/>
      <c r="R1463" s="1"/>
      <c r="Z1463" s="103"/>
      <c r="AA1463" s="103"/>
      <c r="AB1463" s="1"/>
    </row>
    <row r="1464" spans="15:28">
      <c r="O1464" s="1"/>
      <c r="P1464" s="1"/>
      <c r="Q1464" s="1"/>
      <c r="R1464" s="1"/>
      <c r="Z1464" s="103"/>
      <c r="AA1464" s="103"/>
      <c r="AB1464" s="1"/>
    </row>
    <row r="1465" spans="15:28">
      <c r="O1465" s="1"/>
      <c r="P1465" s="1"/>
      <c r="Q1465" s="1"/>
      <c r="R1465" s="1"/>
      <c r="Z1465" s="103"/>
      <c r="AA1465" s="103"/>
      <c r="AB1465" s="1"/>
    </row>
    <row r="1466" spans="15:28">
      <c r="O1466" s="1"/>
      <c r="P1466" s="1"/>
      <c r="Q1466" s="1"/>
      <c r="R1466" s="1"/>
      <c r="Z1466" s="103"/>
      <c r="AA1466" s="103"/>
      <c r="AB1466" s="1"/>
    </row>
    <row r="1467" spans="15:28">
      <c r="O1467" s="1"/>
      <c r="P1467" s="1"/>
      <c r="Q1467" s="1"/>
      <c r="R1467" s="1"/>
      <c r="Z1467" s="103"/>
      <c r="AA1467" s="103"/>
      <c r="AB1467" s="1"/>
    </row>
    <row r="1468" spans="15:28">
      <c r="O1468" s="1"/>
      <c r="P1468" s="1"/>
      <c r="Q1468" s="1"/>
      <c r="R1468" s="1"/>
      <c r="Z1468" s="103"/>
      <c r="AA1468" s="103"/>
      <c r="AB1468" s="1"/>
    </row>
    <row r="1469" spans="15:28">
      <c r="O1469" s="1"/>
      <c r="P1469" s="1"/>
      <c r="Q1469" s="1"/>
      <c r="R1469" s="1"/>
      <c r="Z1469" s="103"/>
      <c r="AA1469" s="103"/>
      <c r="AB1469" s="1"/>
    </row>
    <row r="1470" spans="15:28">
      <c r="O1470" s="1"/>
      <c r="P1470" s="1"/>
      <c r="Q1470" s="1"/>
      <c r="R1470" s="1"/>
      <c r="Z1470" s="103"/>
      <c r="AA1470" s="103"/>
      <c r="AB1470" s="1"/>
    </row>
    <row r="1471" spans="15:28">
      <c r="O1471" s="1"/>
      <c r="P1471" s="1"/>
      <c r="Q1471" s="1"/>
      <c r="R1471" s="1"/>
      <c r="Z1471" s="103"/>
      <c r="AA1471" s="103"/>
      <c r="AB1471" s="1"/>
    </row>
    <row r="1472" spans="15:28">
      <c r="O1472" s="1"/>
      <c r="P1472" s="1"/>
      <c r="Q1472" s="1"/>
      <c r="R1472" s="1"/>
      <c r="Z1472" s="103"/>
      <c r="AA1472" s="103"/>
      <c r="AB1472" s="1"/>
    </row>
    <row r="1473" spans="15:28">
      <c r="O1473" s="1"/>
      <c r="P1473" s="1"/>
      <c r="Q1473" s="1"/>
      <c r="R1473" s="1"/>
      <c r="Z1473" s="103"/>
      <c r="AA1473" s="103"/>
      <c r="AB1473" s="1"/>
    </row>
    <row r="1474" spans="15:28">
      <c r="O1474" s="1"/>
      <c r="P1474" s="1"/>
      <c r="Q1474" s="1"/>
      <c r="R1474" s="1"/>
      <c r="Z1474" s="103"/>
      <c r="AA1474" s="103"/>
      <c r="AB1474" s="1"/>
    </row>
    <row r="1475" spans="15:28">
      <c r="O1475" s="1"/>
      <c r="P1475" s="1"/>
      <c r="Q1475" s="1"/>
      <c r="R1475" s="1"/>
      <c r="Z1475" s="103"/>
      <c r="AA1475" s="103"/>
      <c r="AB1475" s="1"/>
    </row>
    <row r="1476" spans="15:28">
      <c r="O1476" s="1"/>
      <c r="P1476" s="1"/>
      <c r="Q1476" s="1"/>
      <c r="R1476" s="1"/>
      <c r="Z1476" s="103"/>
      <c r="AA1476" s="103"/>
      <c r="AB1476" s="1"/>
    </row>
    <row r="1477" spans="15:28">
      <c r="O1477" s="1"/>
      <c r="P1477" s="1"/>
      <c r="Q1477" s="1"/>
      <c r="R1477" s="1"/>
      <c r="Z1477" s="103"/>
      <c r="AA1477" s="103"/>
      <c r="AB1477" s="1"/>
    </row>
    <row r="1478" spans="15:28">
      <c r="O1478" s="1"/>
      <c r="P1478" s="1"/>
      <c r="Q1478" s="1"/>
      <c r="R1478" s="1"/>
      <c r="Z1478" s="103"/>
      <c r="AA1478" s="103"/>
      <c r="AB1478" s="1"/>
    </row>
    <row r="1479" spans="15:28">
      <c r="O1479" s="1"/>
      <c r="P1479" s="1"/>
      <c r="Q1479" s="1"/>
      <c r="R1479" s="1"/>
      <c r="Z1479" s="103"/>
      <c r="AA1479" s="103"/>
      <c r="AB1479" s="1"/>
    </row>
    <row r="1480" spans="15:28">
      <c r="O1480" s="1"/>
      <c r="P1480" s="1"/>
      <c r="Q1480" s="1"/>
      <c r="R1480" s="1"/>
      <c r="Z1480" s="103"/>
      <c r="AA1480" s="103"/>
      <c r="AB1480" s="1"/>
    </row>
    <row r="1481" spans="15:28">
      <c r="O1481" s="1"/>
      <c r="P1481" s="1"/>
      <c r="Q1481" s="1"/>
      <c r="R1481" s="1"/>
      <c r="Z1481" s="103"/>
      <c r="AA1481" s="103"/>
      <c r="AB1481" s="1"/>
    </row>
    <row r="1482" spans="15:28">
      <c r="O1482" s="1"/>
      <c r="P1482" s="1"/>
      <c r="Q1482" s="1"/>
      <c r="R1482" s="1"/>
      <c r="Z1482" s="103"/>
      <c r="AA1482" s="103"/>
      <c r="AB1482" s="1"/>
    </row>
    <row r="1483" spans="15:28">
      <c r="O1483" s="1"/>
      <c r="P1483" s="1"/>
      <c r="Q1483" s="1"/>
      <c r="R1483" s="1"/>
      <c r="Z1483" s="103"/>
      <c r="AA1483" s="103"/>
      <c r="AB1483" s="1"/>
    </row>
    <row r="1484" spans="15:28">
      <c r="O1484" s="1"/>
      <c r="P1484" s="1"/>
      <c r="Q1484" s="1"/>
      <c r="R1484" s="1"/>
      <c r="Z1484" s="103"/>
      <c r="AA1484" s="103"/>
      <c r="AB1484" s="1"/>
    </row>
    <row r="1485" spans="15:28">
      <c r="O1485" s="1"/>
      <c r="P1485" s="1"/>
      <c r="Q1485" s="1"/>
      <c r="R1485" s="1"/>
      <c r="Z1485" s="103"/>
      <c r="AA1485" s="103"/>
      <c r="AB1485" s="1"/>
    </row>
    <row r="1486" spans="15:28">
      <c r="O1486" s="1"/>
      <c r="P1486" s="1"/>
      <c r="Q1486" s="1"/>
      <c r="R1486" s="1"/>
      <c r="Z1486" s="103"/>
      <c r="AA1486" s="103"/>
      <c r="AB1486" s="1"/>
    </row>
    <row r="1487" spans="15:28">
      <c r="O1487" s="1"/>
      <c r="P1487" s="1"/>
      <c r="Q1487" s="1"/>
      <c r="R1487" s="1"/>
      <c r="Z1487" s="103"/>
      <c r="AA1487" s="103"/>
      <c r="AB1487" s="1"/>
    </row>
    <row r="1488" spans="15:28">
      <c r="O1488" s="1"/>
      <c r="P1488" s="1"/>
      <c r="Q1488" s="1"/>
      <c r="R1488" s="1"/>
      <c r="Z1488" s="103"/>
      <c r="AA1488" s="103"/>
      <c r="AB1488" s="1"/>
    </row>
    <row r="1489" spans="15:30">
      <c r="O1489" s="1"/>
      <c r="P1489" s="1"/>
      <c r="Q1489" s="1"/>
      <c r="R1489" s="1"/>
      <c r="Z1489" s="103"/>
      <c r="AA1489" s="103"/>
      <c r="AB1489" s="1"/>
    </row>
    <row r="1490" spans="15:30">
      <c r="O1490" s="1"/>
      <c r="P1490" s="1"/>
      <c r="Q1490" s="1"/>
      <c r="R1490" s="1"/>
      <c r="Z1490" s="103"/>
      <c r="AA1490" s="103"/>
      <c r="AB1490" s="1"/>
    </row>
    <row r="1491" spans="15:30">
      <c r="O1491" s="1"/>
      <c r="P1491" s="1"/>
      <c r="Q1491" s="1"/>
      <c r="R1491" s="1"/>
      <c r="Z1491" s="103"/>
      <c r="AA1491" s="103"/>
      <c r="AB1491" s="1"/>
    </row>
    <row r="1492" spans="15:30">
      <c r="O1492" s="1"/>
      <c r="P1492" s="1"/>
      <c r="Q1492" s="1"/>
      <c r="R1492" s="1"/>
      <c r="Z1492" s="103"/>
      <c r="AA1492" s="103"/>
      <c r="AB1492" s="1"/>
      <c r="AD1492" s="102"/>
    </row>
    <row r="1493" spans="15:30">
      <c r="O1493" s="1"/>
      <c r="P1493" s="1"/>
      <c r="Q1493" s="1"/>
      <c r="R1493" s="1"/>
      <c r="Z1493" s="103"/>
      <c r="AA1493" s="103"/>
      <c r="AB1493" s="1"/>
    </row>
    <row r="1494" spans="15:30">
      <c r="O1494" s="1"/>
      <c r="P1494" s="1"/>
      <c r="Q1494" s="1"/>
      <c r="R1494" s="1"/>
      <c r="Z1494" s="103"/>
      <c r="AA1494" s="103"/>
      <c r="AB1494" s="1"/>
    </row>
    <row r="1495" spans="15:30">
      <c r="O1495" s="1"/>
      <c r="P1495" s="1"/>
      <c r="Q1495" s="1"/>
      <c r="R1495" s="1"/>
      <c r="Z1495" s="103"/>
      <c r="AA1495" s="103"/>
      <c r="AB1495" s="1"/>
    </row>
    <row r="1496" spans="15:30">
      <c r="O1496" s="1"/>
      <c r="P1496" s="1"/>
      <c r="Q1496" s="1"/>
      <c r="R1496" s="1"/>
      <c r="Z1496" s="103"/>
      <c r="AA1496" s="103"/>
      <c r="AB1496" s="1"/>
    </row>
    <row r="1497" spans="15:30">
      <c r="O1497" s="1"/>
      <c r="P1497" s="1"/>
      <c r="Q1497" s="1"/>
      <c r="R1497" s="1"/>
      <c r="Z1497" s="103"/>
      <c r="AA1497" s="103"/>
      <c r="AB1497" s="1"/>
    </row>
    <row r="1498" spans="15:30">
      <c r="O1498" s="1"/>
      <c r="P1498" s="1"/>
      <c r="Q1498" s="1"/>
      <c r="R1498" s="1"/>
      <c r="Z1498" s="103"/>
      <c r="AA1498" s="103"/>
      <c r="AB1498" s="1"/>
    </row>
    <row r="1499" spans="15:30">
      <c r="O1499" s="1"/>
      <c r="P1499" s="1"/>
      <c r="Q1499" s="1"/>
      <c r="R1499" s="1"/>
      <c r="Z1499" s="103"/>
      <c r="AA1499" s="103"/>
      <c r="AB1499" s="1"/>
    </row>
    <row r="1500" spans="15:30">
      <c r="O1500" s="1"/>
      <c r="P1500" s="1"/>
      <c r="Q1500" s="1"/>
      <c r="R1500" s="1"/>
      <c r="Z1500" s="103"/>
      <c r="AA1500" s="103"/>
      <c r="AB1500" s="1"/>
    </row>
    <row r="1501" spans="15:30">
      <c r="O1501" s="1"/>
      <c r="P1501" s="1"/>
      <c r="Q1501" s="1"/>
      <c r="R1501" s="1"/>
      <c r="Z1501" s="103"/>
      <c r="AA1501" s="103"/>
      <c r="AB1501" s="1"/>
    </row>
    <row r="1502" spans="15:30">
      <c r="O1502" s="1"/>
      <c r="P1502" s="1"/>
      <c r="Q1502" s="1"/>
      <c r="R1502" s="1"/>
      <c r="Z1502" s="103"/>
      <c r="AA1502" s="103"/>
      <c r="AB1502" s="1"/>
    </row>
    <row r="1503" spans="15:30">
      <c r="O1503" s="1"/>
      <c r="P1503" s="1"/>
      <c r="Q1503" s="1"/>
      <c r="R1503" s="1"/>
      <c r="Z1503" s="103"/>
      <c r="AA1503" s="103"/>
      <c r="AB1503" s="1"/>
    </row>
    <row r="1504" spans="15:30">
      <c r="O1504" s="1"/>
      <c r="P1504" s="1"/>
      <c r="Q1504" s="1"/>
      <c r="R1504" s="1"/>
      <c r="Z1504" s="103"/>
      <c r="AA1504" s="103"/>
      <c r="AB1504" s="1"/>
    </row>
    <row r="1505" spans="15:30">
      <c r="O1505" s="1"/>
      <c r="P1505" s="1"/>
      <c r="Q1505" s="1"/>
      <c r="R1505" s="1"/>
      <c r="Z1505" s="103"/>
      <c r="AA1505" s="103"/>
      <c r="AB1505" s="1"/>
    </row>
    <row r="1506" spans="15:30">
      <c r="O1506" s="1"/>
      <c r="P1506" s="1"/>
      <c r="Q1506" s="1"/>
      <c r="R1506" s="1"/>
      <c r="Z1506" s="103"/>
      <c r="AA1506" s="103"/>
      <c r="AB1506" s="1"/>
    </row>
    <row r="1507" spans="15:30">
      <c r="O1507" s="1"/>
      <c r="P1507" s="1"/>
      <c r="Q1507" s="1"/>
      <c r="R1507" s="1"/>
      <c r="Z1507" s="103"/>
      <c r="AA1507" s="103"/>
      <c r="AB1507" s="1"/>
    </row>
    <row r="1508" spans="15:30">
      <c r="O1508" s="1"/>
      <c r="P1508" s="1"/>
      <c r="Q1508" s="1"/>
      <c r="R1508" s="1"/>
      <c r="Z1508" s="103"/>
      <c r="AA1508" s="103"/>
      <c r="AB1508" s="1"/>
    </row>
    <row r="1509" spans="15:30">
      <c r="O1509" s="1"/>
      <c r="P1509" s="1"/>
      <c r="Q1509" s="1"/>
      <c r="R1509" s="1"/>
      <c r="Z1509" s="103"/>
      <c r="AA1509" s="103"/>
      <c r="AB1509" s="1"/>
    </row>
    <row r="1510" spans="15:30">
      <c r="O1510" s="1"/>
      <c r="P1510" s="1"/>
      <c r="Q1510" s="1"/>
      <c r="R1510" s="1"/>
      <c r="Z1510" s="103"/>
      <c r="AA1510" s="103"/>
      <c r="AB1510" s="1"/>
    </row>
    <row r="1511" spans="15:30">
      <c r="O1511" s="1"/>
      <c r="P1511" s="1"/>
      <c r="Q1511" s="1"/>
      <c r="R1511" s="1"/>
      <c r="Z1511" s="103"/>
      <c r="AA1511" s="103"/>
      <c r="AB1511" s="1"/>
      <c r="AD1511" s="102"/>
    </row>
    <row r="1512" spans="15:30">
      <c r="O1512" s="1"/>
      <c r="P1512" s="1"/>
      <c r="Q1512" s="1"/>
      <c r="R1512" s="1"/>
      <c r="Z1512" s="103"/>
      <c r="AA1512" s="103"/>
      <c r="AB1512" s="1"/>
      <c r="AD1512" s="102"/>
    </row>
    <row r="1513" spans="15:30">
      <c r="O1513" s="1"/>
      <c r="P1513" s="1"/>
      <c r="Q1513" s="1"/>
      <c r="R1513" s="1"/>
      <c r="Z1513" s="103"/>
      <c r="AA1513" s="103"/>
      <c r="AB1513" s="1"/>
    </row>
    <row r="1514" spans="15:30">
      <c r="O1514" s="1"/>
      <c r="P1514" s="1"/>
      <c r="Q1514" s="1"/>
      <c r="R1514" s="1"/>
      <c r="Z1514" s="103"/>
      <c r="AA1514" s="103"/>
      <c r="AB1514" s="1"/>
    </row>
    <row r="1515" spans="15:30">
      <c r="O1515" s="1"/>
      <c r="P1515" s="1"/>
      <c r="Q1515" s="1"/>
      <c r="R1515" s="1"/>
      <c r="Z1515" s="103"/>
      <c r="AA1515" s="103"/>
      <c r="AB1515" s="1"/>
    </row>
    <row r="1516" spans="15:30">
      <c r="O1516" s="1"/>
      <c r="P1516" s="1"/>
      <c r="Q1516" s="1"/>
      <c r="R1516" s="1"/>
      <c r="Z1516" s="103"/>
      <c r="AA1516" s="103"/>
      <c r="AB1516" s="1"/>
    </row>
    <row r="1517" spans="15:30">
      <c r="O1517" s="1"/>
      <c r="P1517" s="1"/>
      <c r="Q1517" s="1"/>
      <c r="R1517" s="1"/>
      <c r="Z1517" s="103"/>
      <c r="AA1517" s="103"/>
      <c r="AB1517" s="1"/>
    </row>
    <row r="1518" spans="15:30">
      <c r="O1518" s="1"/>
      <c r="P1518" s="1"/>
      <c r="Q1518" s="1"/>
      <c r="R1518" s="1"/>
      <c r="Z1518" s="103"/>
      <c r="AA1518" s="103"/>
      <c r="AB1518" s="1"/>
    </row>
    <row r="1519" spans="15:30">
      <c r="O1519" s="1"/>
      <c r="P1519" s="1"/>
      <c r="Q1519" s="1"/>
      <c r="R1519" s="1"/>
      <c r="Z1519" s="103"/>
      <c r="AA1519" s="103"/>
      <c r="AB1519" s="1"/>
    </row>
    <row r="1520" spans="15:30">
      <c r="O1520" s="1"/>
      <c r="P1520" s="1"/>
      <c r="Q1520" s="1"/>
      <c r="R1520" s="1"/>
      <c r="Z1520" s="103"/>
      <c r="AA1520" s="103"/>
      <c r="AB1520" s="1"/>
    </row>
    <row r="1521" spans="15:30">
      <c r="O1521" s="1"/>
      <c r="P1521" s="1"/>
      <c r="Q1521" s="1"/>
      <c r="R1521" s="1"/>
      <c r="Z1521" s="103"/>
      <c r="AA1521" s="103"/>
      <c r="AB1521" s="1"/>
    </row>
    <row r="1522" spans="15:30">
      <c r="O1522" s="1"/>
      <c r="P1522" s="1"/>
      <c r="Q1522" s="1"/>
      <c r="R1522" s="1"/>
      <c r="Z1522" s="103"/>
      <c r="AA1522" s="103"/>
      <c r="AB1522" s="1"/>
    </row>
    <row r="1523" spans="15:30">
      <c r="O1523" s="1"/>
      <c r="P1523" s="1"/>
      <c r="Q1523" s="1"/>
      <c r="R1523" s="1"/>
      <c r="Z1523" s="103"/>
      <c r="AA1523" s="103"/>
      <c r="AB1523" s="1"/>
    </row>
    <row r="1524" spans="15:30">
      <c r="O1524" s="1"/>
      <c r="P1524" s="1"/>
      <c r="Q1524" s="1"/>
      <c r="R1524" s="1"/>
      <c r="Z1524" s="103"/>
      <c r="AA1524" s="103"/>
      <c r="AB1524" s="1"/>
    </row>
    <row r="1525" spans="15:30">
      <c r="O1525" s="1"/>
      <c r="P1525" s="1"/>
      <c r="Q1525" s="1"/>
      <c r="R1525" s="1"/>
      <c r="Z1525" s="103"/>
      <c r="AA1525" s="103"/>
      <c r="AB1525" s="1"/>
    </row>
    <row r="1526" spans="15:30">
      <c r="O1526" s="1"/>
      <c r="P1526" s="1"/>
      <c r="Q1526" s="1"/>
      <c r="R1526" s="1"/>
      <c r="Z1526" s="103"/>
      <c r="AA1526" s="103"/>
      <c r="AB1526" s="1"/>
    </row>
    <row r="1527" spans="15:30">
      <c r="O1527" s="1"/>
      <c r="P1527" s="1"/>
      <c r="Q1527" s="1"/>
      <c r="R1527" s="1"/>
      <c r="Z1527" s="103"/>
      <c r="AA1527" s="103"/>
      <c r="AB1527" s="1"/>
    </row>
    <row r="1528" spans="15:30">
      <c r="O1528" s="1"/>
      <c r="P1528" s="1"/>
      <c r="Q1528" s="1"/>
      <c r="R1528" s="1"/>
      <c r="Z1528" s="103"/>
      <c r="AA1528" s="103"/>
      <c r="AB1528" s="1"/>
    </row>
    <row r="1529" spans="15:30">
      <c r="O1529" s="1"/>
      <c r="P1529" s="1"/>
      <c r="Q1529" s="1"/>
      <c r="R1529" s="1"/>
      <c r="Z1529" s="103"/>
      <c r="AA1529" s="103"/>
      <c r="AB1529" s="1"/>
    </row>
    <row r="1530" spans="15:30">
      <c r="O1530" s="1"/>
      <c r="P1530" s="1"/>
      <c r="Q1530" s="1"/>
      <c r="R1530" s="1"/>
      <c r="Z1530" s="103"/>
      <c r="AA1530" s="103"/>
      <c r="AB1530" s="1"/>
    </row>
    <row r="1531" spans="15:30">
      <c r="O1531" s="1"/>
      <c r="P1531" s="1"/>
      <c r="Q1531" s="1"/>
      <c r="R1531" s="1"/>
      <c r="Z1531" s="103"/>
      <c r="AA1531" s="103"/>
      <c r="AB1531" s="1"/>
    </row>
    <row r="1532" spans="15:30">
      <c r="O1532" s="1"/>
      <c r="P1532" s="1"/>
      <c r="Q1532" s="1"/>
      <c r="R1532" s="1"/>
      <c r="Z1532" s="103"/>
      <c r="AA1532" s="103"/>
      <c r="AB1532" s="1"/>
    </row>
    <row r="1533" spans="15:30">
      <c r="O1533" s="1"/>
      <c r="P1533" s="1"/>
      <c r="Q1533" s="1"/>
      <c r="R1533" s="1"/>
      <c r="Z1533" s="103"/>
      <c r="AA1533" s="103"/>
      <c r="AB1533" s="1"/>
    </row>
    <row r="1534" spans="15:30">
      <c r="O1534" s="1"/>
      <c r="P1534" s="1"/>
      <c r="Q1534" s="1"/>
      <c r="R1534" s="1"/>
      <c r="Z1534" s="103"/>
      <c r="AA1534" s="103"/>
      <c r="AB1534" s="1"/>
    </row>
    <row r="1535" spans="15:30">
      <c r="O1535" s="1"/>
      <c r="P1535" s="1"/>
      <c r="Q1535" s="1"/>
      <c r="R1535" s="1"/>
      <c r="Z1535" s="103"/>
      <c r="AA1535" s="103"/>
      <c r="AB1535" s="1"/>
      <c r="AD1535" s="102"/>
    </row>
    <row r="1536" spans="15:30">
      <c r="O1536" s="1"/>
      <c r="P1536" s="1"/>
      <c r="Q1536" s="1"/>
      <c r="R1536" s="1"/>
      <c r="Z1536" s="103"/>
      <c r="AA1536" s="103"/>
      <c r="AB1536" s="1"/>
    </row>
    <row r="1537" spans="15:28">
      <c r="O1537" s="1"/>
      <c r="P1537" s="1"/>
      <c r="Q1537" s="1"/>
      <c r="R1537" s="1"/>
      <c r="Z1537" s="103"/>
      <c r="AA1537" s="103"/>
      <c r="AB1537" s="1"/>
    </row>
    <row r="1538" spans="15:28">
      <c r="O1538" s="1"/>
      <c r="P1538" s="1"/>
      <c r="Q1538" s="1"/>
      <c r="R1538" s="1"/>
      <c r="Z1538" s="103"/>
      <c r="AA1538" s="103"/>
      <c r="AB1538" s="1"/>
    </row>
    <row r="1539" spans="15:28">
      <c r="O1539" s="1"/>
      <c r="P1539" s="1"/>
      <c r="Q1539" s="1"/>
      <c r="R1539" s="1"/>
      <c r="Z1539" s="103"/>
      <c r="AA1539" s="103"/>
      <c r="AB1539" s="1"/>
    </row>
    <row r="1540" spans="15:28">
      <c r="O1540" s="1"/>
      <c r="P1540" s="1"/>
      <c r="Q1540" s="1"/>
      <c r="R1540" s="1"/>
      <c r="Z1540" s="103"/>
      <c r="AA1540" s="103"/>
      <c r="AB1540" s="1"/>
    </row>
    <row r="1541" spans="15:28">
      <c r="O1541" s="1"/>
      <c r="P1541" s="1"/>
      <c r="Q1541" s="1"/>
      <c r="R1541" s="1"/>
      <c r="Z1541" s="103"/>
      <c r="AA1541" s="103"/>
      <c r="AB1541" s="1"/>
    </row>
    <row r="1542" spans="15:28">
      <c r="O1542" s="1"/>
      <c r="P1542" s="1"/>
      <c r="Q1542" s="1"/>
      <c r="R1542" s="1"/>
      <c r="Z1542" s="103"/>
      <c r="AA1542" s="103"/>
      <c r="AB1542" s="1"/>
    </row>
    <row r="1543" spans="15:28">
      <c r="O1543" s="1"/>
      <c r="P1543" s="1"/>
      <c r="Q1543" s="1"/>
      <c r="R1543" s="1"/>
      <c r="Z1543" s="103"/>
      <c r="AA1543" s="103"/>
      <c r="AB1543" s="1"/>
    </row>
    <row r="1544" spans="15:28">
      <c r="O1544" s="1"/>
      <c r="P1544" s="1"/>
      <c r="Q1544" s="1"/>
      <c r="R1544" s="1"/>
      <c r="Z1544" s="103"/>
      <c r="AA1544" s="103"/>
      <c r="AB1544" s="1"/>
    </row>
    <row r="1545" spans="15:28">
      <c r="O1545" s="1"/>
      <c r="P1545" s="1"/>
      <c r="Q1545" s="1"/>
      <c r="R1545" s="1"/>
      <c r="Z1545" s="103"/>
      <c r="AA1545" s="103"/>
      <c r="AB1545" s="1"/>
    </row>
    <row r="1546" spans="15:28">
      <c r="O1546" s="1"/>
      <c r="P1546" s="1"/>
      <c r="Q1546" s="1"/>
      <c r="R1546" s="1"/>
      <c r="Z1546" s="103"/>
      <c r="AA1546" s="103"/>
      <c r="AB1546" s="1"/>
    </row>
    <row r="1547" spans="15:28">
      <c r="O1547" s="1"/>
      <c r="P1547" s="1"/>
      <c r="Q1547" s="1"/>
      <c r="R1547" s="1"/>
      <c r="Z1547" s="103"/>
      <c r="AA1547" s="103"/>
      <c r="AB1547" s="1"/>
    </row>
    <row r="1548" spans="15:28">
      <c r="O1548" s="1"/>
      <c r="P1548" s="1"/>
      <c r="Q1548" s="1"/>
      <c r="R1548" s="1"/>
      <c r="Z1548" s="103"/>
      <c r="AA1548" s="103"/>
      <c r="AB1548" s="1"/>
    </row>
    <row r="1549" spans="15:28">
      <c r="O1549" s="1"/>
      <c r="P1549" s="1"/>
      <c r="Q1549" s="1"/>
      <c r="R1549" s="1"/>
      <c r="Z1549" s="103"/>
      <c r="AA1549" s="103"/>
      <c r="AB1549" s="1"/>
    </row>
    <row r="1550" spans="15:28">
      <c r="O1550" s="1"/>
      <c r="P1550" s="1"/>
      <c r="Q1550" s="1"/>
      <c r="R1550" s="1"/>
      <c r="Z1550" s="103"/>
      <c r="AA1550" s="103"/>
      <c r="AB1550" s="1"/>
    </row>
    <row r="1551" spans="15:28">
      <c r="O1551" s="1"/>
      <c r="P1551" s="1"/>
      <c r="Q1551" s="1"/>
      <c r="R1551" s="1"/>
      <c r="Z1551" s="103"/>
      <c r="AA1551" s="103"/>
      <c r="AB1551" s="1"/>
    </row>
    <row r="1552" spans="15:28">
      <c r="O1552" s="1"/>
      <c r="P1552" s="1"/>
      <c r="Q1552" s="1"/>
      <c r="R1552" s="1"/>
      <c r="Z1552" s="103"/>
      <c r="AA1552" s="103"/>
      <c r="AB1552" s="1"/>
    </row>
    <row r="1553" spans="15:28">
      <c r="O1553" s="1"/>
      <c r="P1553" s="1"/>
      <c r="Q1553" s="1"/>
      <c r="R1553" s="1"/>
      <c r="Z1553" s="103"/>
      <c r="AA1553" s="103"/>
      <c r="AB1553" s="1"/>
    </row>
    <row r="1554" spans="15:28">
      <c r="O1554" s="1"/>
      <c r="P1554" s="1"/>
      <c r="Q1554" s="1"/>
      <c r="R1554" s="1"/>
      <c r="Z1554" s="103"/>
      <c r="AA1554" s="103"/>
      <c r="AB1554" s="1"/>
    </row>
    <row r="1555" spans="15:28">
      <c r="O1555" s="1"/>
      <c r="P1555" s="1"/>
      <c r="Q1555" s="1"/>
      <c r="R1555" s="1"/>
      <c r="Z1555" s="103"/>
      <c r="AA1555" s="103"/>
      <c r="AB1555" s="1"/>
    </row>
    <row r="1556" spans="15:28">
      <c r="O1556" s="1"/>
      <c r="P1556" s="1"/>
      <c r="Q1556" s="1"/>
      <c r="R1556" s="1"/>
      <c r="Z1556" s="103"/>
      <c r="AA1556" s="103"/>
      <c r="AB1556" s="1"/>
    </row>
    <row r="1557" spans="15:28">
      <c r="O1557" s="1"/>
      <c r="P1557" s="1"/>
      <c r="Q1557" s="1"/>
      <c r="R1557" s="1"/>
      <c r="Z1557" s="103"/>
      <c r="AA1557" s="103"/>
      <c r="AB1557" s="1"/>
    </row>
    <row r="1558" spans="15:28">
      <c r="O1558" s="1"/>
      <c r="P1558" s="1"/>
      <c r="Q1558" s="1"/>
      <c r="R1558" s="1"/>
      <c r="Z1558" s="103"/>
      <c r="AA1558" s="103"/>
      <c r="AB1558" s="1"/>
    </row>
    <row r="1559" spans="15:28">
      <c r="O1559" s="1"/>
      <c r="P1559" s="1"/>
      <c r="Q1559" s="1"/>
      <c r="R1559" s="1"/>
      <c r="Z1559" s="103"/>
      <c r="AA1559" s="103"/>
      <c r="AB1559" s="1"/>
    </row>
    <row r="1560" spans="15:28">
      <c r="O1560" s="1"/>
      <c r="P1560" s="1"/>
      <c r="Q1560" s="1"/>
      <c r="R1560" s="1"/>
      <c r="Z1560" s="103"/>
      <c r="AA1560" s="103"/>
      <c r="AB1560" s="1"/>
    </row>
    <row r="1561" spans="15:28">
      <c r="O1561" s="1"/>
      <c r="P1561" s="1"/>
      <c r="Q1561" s="1"/>
      <c r="R1561" s="1"/>
      <c r="Z1561" s="103"/>
      <c r="AA1561" s="103"/>
      <c r="AB1561" s="1"/>
    </row>
    <row r="1562" spans="15:28">
      <c r="O1562" s="1"/>
      <c r="P1562" s="1"/>
      <c r="Q1562" s="1"/>
      <c r="R1562" s="1"/>
      <c r="Z1562" s="103"/>
      <c r="AA1562" s="103"/>
      <c r="AB1562" s="1"/>
    </row>
    <row r="1563" spans="15:28">
      <c r="O1563" s="1"/>
      <c r="P1563" s="1"/>
      <c r="Q1563" s="1"/>
      <c r="R1563" s="1"/>
      <c r="Z1563" s="103"/>
      <c r="AA1563" s="103"/>
      <c r="AB1563" s="1"/>
    </row>
    <row r="1564" spans="15:28">
      <c r="O1564" s="1"/>
      <c r="P1564" s="1"/>
      <c r="Q1564" s="1"/>
      <c r="R1564" s="1"/>
      <c r="Z1564" s="103"/>
      <c r="AA1564" s="103"/>
      <c r="AB1564" s="1"/>
    </row>
    <row r="1565" spans="15:28">
      <c r="O1565" s="1"/>
      <c r="P1565" s="1"/>
      <c r="Q1565" s="1"/>
      <c r="R1565" s="1"/>
      <c r="Z1565" s="103"/>
      <c r="AA1565" s="103"/>
      <c r="AB1565" s="1"/>
    </row>
    <row r="1566" spans="15:28">
      <c r="O1566" s="1"/>
      <c r="P1566" s="1"/>
      <c r="Q1566" s="1"/>
      <c r="R1566" s="1"/>
      <c r="Z1566" s="103"/>
      <c r="AA1566" s="103"/>
      <c r="AB1566" s="1"/>
    </row>
    <row r="1567" spans="15:28">
      <c r="O1567" s="1"/>
      <c r="P1567" s="1"/>
      <c r="Q1567" s="1"/>
      <c r="R1567" s="1"/>
      <c r="Z1567" s="103"/>
      <c r="AA1567" s="103"/>
      <c r="AB1567" s="1"/>
    </row>
    <row r="1568" spans="15:28">
      <c r="O1568" s="1"/>
      <c r="P1568" s="1"/>
      <c r="Q1568" s="1"/>
      <c r="R1568" s="1"/>
      <c r="Z1568" s="103"/>
      <c r="AA1568" s="103"/>
      <c r="AB1568" s="1"/>
    </row>
    <row r="1569" spans="15:28">
      <c r="O1569" s="1"/>
      <c r="P1569" s="1"/>
      <c r="Q1569" s="1"/>
      <c r="R1569" s="1"/>
      <c r="Z1569" s="103"/>
      <c r="AA1569" s="103"/>
      <c r="AB1569" s="1"/>
    </row>
    <row r="1570" spans="15:28">
      <c r="O1570" s="1"/>
      <c r="P1570" s="1"/>
      <c r="Q1570" s="1"/>
      <c r="R1570" s="1"/>
      <c r="Z1570" s="103"/>
      <c r="AA1570" s="103"/>
      <c r="AB1570" s="1"/>
    </row>
    <row r="1571" spans="15:28">
      <c r="O1571" s="1"/>
      <c r="P1571" s="1"/>
      <c r="Q1571" s="1"/>
      <c r="R1571" s="1"/>
      <c r="Z1571" s="103"/>
      <c r="AA1571" s="103"/>
      <c r="AB1571" s="1"/>
    </row>
    <row r="1572" spans="15:28">
      <c r="O1572" s="1"/>
      <c r="P1572" s="1"/>
      <c r="Q1572" s="1"/>
      <c r="R1572" s="1"/>
      <c r="Z1572" s="103"/>
      <c r="AA1572" s="103"/>
      <c r="AB1572" s="1"/>
    </row>
    <row r="1573" spans="15:28">
      <c r="O1573" s="1"/>
      <c r="P1573" s="1"/>
      <c r="Q1573" s="1"/>
      <c r="R1573" s="1"/>
      <c r="Z1573" s="103"/>
      <c r="AA1573" s="103"/>
      <c r="AB1573" s="1"/>
    </row>
    <row r="1574" spans="15:28">
      <c r="O1574" s="1"/>
      <c r="P1574" s="1"/>
      <c r="Q1574" s="1"/>
      <c r="R1574" s="1"/>
      <c r="Z1574" s="103"/>
      <c r="AA1574" s="103"/>
      <c r="AB1574" s="1"/>
    </row>
    <row r="1575" spans="15:28">
      <c r="O1575" s="1"/>
      <c r="P1575" s="1"/>
      <c r="Q1575" s="1"/>
      <c r="R1575" s="1"/>
      <c r="Z1575" s="103"/>
      <c r="AA1575" s="103"/>
      <c r="AB1575" s="1"/>
    </row>
    <row r="1576" spans="15:28">
      <c r="O1576" s="1"/>
      <c r="P1576" s="1"/>
      <c r="Q1576" s="1"/>
      <c r="R1576" s="1"/>
      <c r="Z1576" s="103"/>
      <c r="AA1576" s="103"/>
      <c r="AB1576" s="1"/>
    </row>
    <row r="1577" spans="15:28">
      <c r="O1577" s="1"/>
      <c r="P1577" s="1"/>
      <c r="Q1577" s="1"/>
      <c r="R1577" s="1"/>
      <c r="Z1577" s="103"/>
      <c r="AA1577" s="103"/>
      <c r="AB1577" s="1"/>
    </row>
    <row r="1578" spans="15:28">
      <c r="O1578" s="1"/>
      <c r="P1578" s="1"/>
      <c r="Q1578" s="1"/>
      <c r="R1578" s="1"/>
      <c r="Z1578" s="103"/>
      <c r="AA1578" s="103"/>
      <c r="AB1578" s="1"/>
    </row>
    <row r="1579" spans="15:28">
      <c r="O1579" s="1"/>
      <c r="P1579" s="1"/>
      <c r="Q1579" s="1"/>
      <c r="R1579" s="1"/>
      <c r="Z1579" s="103"/>
      <c r="AA1579" s="103"/>
      <c r="AB1579" s="1"/>
    </row>
    <row r="1580" spans="15:28">
      <c r="O1580" s="1"/>
      <c r="P1580" s="1"/>
      <c r="Q1580" s="1"/>
      <c r="R1580" s="1"/>
      <c r="Z1580" s="103"/>
      <c r="AA1580" s="103"/>
      <c r="AB1580" s="1"/>
    </row>
    <row r="1581" spans="15:28">
      <c r="O1581" s="1"/>
      <c r="P1581" s="1"/>
      <c r="Q1581" s="1"/>
      <c r="R1581" s="1"/>
      <c r="Z1581" s="103"/>
      <c r="AA1581" s="103"/>
      <c r="AB1581" s="1"/>
    </row>
    <row r="1582" spans="15:28">
      <c r="O1582" s="1"/>
      <c r="P1582" s="1"/>
      <c r="Q1582" s="1"/>
      <c r="R1582" s="1"/>
      <c r="Z1582" s="103"/>
      <c r="AA1582" s="103"/>
      <c r="AB1582" s="1"/>
    </row>
    <row r="1583" spans="15:28">
      <c r="O1583" s="1"/>
      <c r="P1583" s="1"/>
      <c r="Q1583" s="1"/>
      <c r="R1583" s="1"/>
      <c r="Z1583" s="103"/>
      <c r="AA1583" s="103"/>
      <c r="AB1583" s="1"/>
    </row>
    <row r="1584" spans="15:28">
      <c r="O1584" s="1"/>
      <c r="P1584" s="1"/>
      <c r="Q1584" s="1"/>
      <c r="R1584" s="1"/>
      <c r="Z1584" s="103"/>
      <c r="AA1584" s="103"/>
      <c r="AB1584" s="1"/>
    </row>
    <row r="1585" spans="15:28">
      <c r="O1585" s="1"/>
      <c r="P1585" s="1"/>
      <c r="Q1585" s="1"/>
      <c r="R1585" s="1"/>
      <c r="Z1585" s="103"/>
      <c r="AA1585" s="103"/>
      <c r="AB1585" s="1"/>
    </row>
    <row r="1586" spans="15:28">
      <c r="O1586" s="1"/>
      <c r="P1586" s="1"/>
      <c r="Q1586" s="1"/>
      <c r="R1586" s="1"/>
      <c r="Z1586" s="103"/>
      <c r="AA1586" s="103"/>
      <c r="AB1586" s="1"/>
    </row>
    <row r="1587" spans="15:28">
      <c r="O1587" s="1"/>
      <c r="P1587" s="1"/>
      <c r="Q1587" s="1"/>
      <c r="R1587" s="1"/>
      <c r="Z1587" s="103"/>
      <c r="AA1587" s="103"/>
      <c r="AB1587" s="1"/>
    </row>
    <row r="1588" spans="15:28">
      <c r="O1588" s="1"/>
      <c r="P1588" s="1"/>
      <c r="Q1588" s="1"/>
      <c r="R1588" s="1"/>
      <c r="Z1588" s="103"/>
      <c r="AA1588" s="103"/>
      <c r="AB1588" s="1"/>
    </row>
    <row r="1589" spans="15:28">
      <c r="O1589" s="1"/>
      <c r="P1589" s="1"/>
      <c r="Q1589" s="1"/>
      <c r="R1589" s="1"/>
      <c r="Z1589" s="103"/>
      <c r="AA1589" s="103"/>
      <c r="AB1589" s="1"/>
    </row>
    <row r="1590" spans="15:28">
      <c r="O1590" s="1"/>
      <c r="P1590" s="1"/>
      <c r="Q1590" s="1"/>
      <c r="R1590" s="1"/>
      <c r="Z1590" s="103"/>
      <c r="AA1590" s="103"/>
      <c r="AB1590" s="1"/>
    </row>
    <row r="1591" spans="15:28">
      <c r="O1591" s="1"/>
      <c r="P1591" s="1"/>
      <c r="Q1591" s="1"/>
      <c r="R1591" s="1"/>
      <c r="Z1591" s="103"/>
      <c r="AA1591" s="103"/>
      <c r="AB1591" s="1"/>
    </row>
    <row r="1592" spans="15:28">
      <c r="O1592" s="1"/>
      <c r="P1592" s="1"/>
      <c r="Q1592" s="1"/>
      <c r="R1592" s="1"/>
      <c r="Z1592" s="103"/>
      <c r="AA1592" s="103"/>
      <c r="AB1592" s="1"/>
    </row>
    <row r="1593" spans="15:28">
      <c r="O1593" s="1"/>
      <c r="P1593" s="1"/>
      <c r="Q1593" s="1"/>
      <c r="R1593" s="1"/>
      <c r="Z1593" s="103"/>
      <c r="AA1593" s="103"/>
      <c r="AB1593" s="1"/>
    </row>
    <row r="1594" spans="15:28">
      <c r="O1594" s="1"/>
      <c r="P1594" s="1"/>
      <c r="Q1594" s="1"/>
      <c r="R1594" s="1"/>
      <c r="Z1594" s="103"/>
      <c r="AA1594" s="103"/>
      <c r="AB1594" s="1"/>
    </row>
    <row r="1595" spans="15:28">
      <c r="O1595" s="1"/>
      <c r="P1595" s="1"/>
      <c r="Q1595" s="1"/>
      <c r="R1595" s="1"/>
      <c r="Z1595" s="103"/>
      <c r="AA1595" s="103"/>
      <c r="AB1595" s="1"/>
    </row>
    <row r="1596" spans="15:28">
      <c r="O1596" s="1"/>
      <c r="P1596" s="1"/>
      <c r="Q1596" s="1"/>
      <c r="R1596" s="1"/>
      <c r="Z1596" s="103"/>
      <c r="AA1596" s="103"/>
      <c r="AB1596" s="1"/>
    </row>
    <row r="1597" spans="15:28">
      <c r="O1597" s="1"/>
      <c r="P1597" s="1"/>
      <c r="Q1597" s="1"/>
      <c r="R1597" s="1"/>
      <c r="Z1597" s="103"/>
      <c r="AA1597" s="103"/>
      <c r="AB1597" s="1"/>
    </row>
    <row r="1598" spans="15:28">
      <c r="O1598" s="1"/>
      <c r="P1598" s="1"/>
      <c r="Q1598" s="1"/>
      <c r="R1598" s="1"/>
      <c r="Z1598" s="103"/>
      <c r="AA1598" s="103"/>
      <c r="AB1598" s="1"/>
    </row>
    <row r="1599" spans="15:28">
      <c r="O1599" s="1"/>
      <c r="P1599" s="1"/>
      <c r="Q1599" s="1"/>
      <c r="R1599" s="1"/>
      <c r="Z1599" s="103"/>
      <c r="AA1599" s="103"/>
      <c r="AB1599" s="1"/>
    </row>
    <row r="1600" spans="15:28">
      <c r="O1600" s="1"/>
      <c r="P1600" s="1"/>
      <c r="Q1600" s="1"/>
      <c r="R1600" s="1"/>
      <c r="Z1600" s="103"/>
      <c r="AA1600" s="103"/>
      <c r="AB1600" s="1"/>
    </row>
    <row r="1601" spans="15:28">
      <c r="O1601" s="1"/>
      <c r="P1601" s="1"/>
      <c r="Q1601" s="1"/>
      <c r="R1601" s="1"/>
      <c r="Z1601" s="103"/>
      <c r="AA1601" s="103"/>
      <c r="AB1601" s="1"/>
    </row>
    <row r="1602" spans="15:28">
      <c r="O1602" s="1"/>
      <c r="P1602" s="1"/>
      <c r="Q1602" s="1"/>
      <c r="R1602" s="1"/>
      <c r="Z1602" s="103"/>
      <c r="AA1602" s="103"/>
      <c r="AB1602" s="1"/>
    </row>
    <row r="1603" spans="15:28">
      <c r="O1603" s="1"/>
      <c r="P1603" s="1"/>
      <c r="Q1603" s="1"/>
      <c r="R1603" s="1"/>
      <c r="Z1603" s="103"/>
      <c r="AA1603" s="103"/>
      <c r="AB1603" s="1"/>
    </row>
    <row r="1604" spans="15:28">
      <c r="O1604" s="1"/>
      <c r="P1604" s="1"/>
      <c r="Q1604" s="1"/>
      <c r="R1604" s="1"/>
      <c r="Z1604" s="103"/>
      <c r="AA1604" s="103"/>
      <c r="AB1604" s="1"/>
    </row>
    <row r="1605" spans="15:28">
      <c r="O1605" s="1"/>
      <c r="P1605" s="1"/>
      <c r="Q1605" s="1"/>
      <c r="R1605" s="1"/>
      <c r="Z1605" s="103"/>
      <c r="AA1605" s="103"/>
      <c r="AB1605" s="1"/>
    </row>
    <row r="1606" spans="15:28">
      <c r="O1606" s="1"/>
      <c r="P1606" s="1"/>
      <c r="Q1606" s="1"/>
      <c r="R1606" s="1"/>
      <c r="Z1606" s="103"/>
      <c r="AA1606" s="103"/>
      <c r="AB1606" s="1"/>
    </row>
    <row r="1607" spans="15:28">
      <c r="O1607" s="1"/>
      <c r="P1607" s="1"/>
      <c r="Q1607" s="1"/>
      <c r="R1607" s="1"/>
      <c r="Z1607" s="103"/>
      <c r="AA1607" s="103"/>
      <c r="AB1607" s="1"/>
    </row>
    <row r="1608" spans="15:28">
      <c r="O1608" s="1"/>
      <c r="P1608" s="1"/>
      <c r="Q1608" s="1"/>
      <c r="R1608" s="1"/>
      <c r="Z1608" s="103"/>
      <c r="AA1608" s="103"/>
      <c r="AB1608" s="1"/>
    </row>
    <row r="1609" spans="15:28">
      <c r="O1609" s="1"/>
      <c r="P1609" s="1"/>
      <c r="Q1609" s="1"/>
      <c r="R1609" s="1"/>
      <c r="Z1609" s="103"/>
      <c r="AA1609" s="103"/>
      <c r="AB1609" s="1"/>
    </row>
    <row r="1610" spans="15:28">
      <c r="O1610" s="1"/>
      <c r="P1610" s="1"/>
      <c r="Q1610" s="1"/>
      <c r="R1610" s="1"/>
      <c r="Z1610" s="103"/>
      <c r="AA1610" s="103"/>
      <c r="AB1610" s="1"/>
    </row>
    <row r="1611" spans="15:28">
      <c r="O1611" s="1"/>
      <c r="P1611" s="1"/>
      <c r="Q1611" s="1"/>
      <c r="R1611" s="1"/>
      <c r="Z1611" s="103"/>
      <c r="AA1611" s="103"/>
      <c r="AB1611" s="1"/>
    </row>
    <row r="1612" spans="15:28">
      <c r="O1612" s="1"/>
      <c r="P1612" s="1"/>
      <c r="Q1612" s="1"/>
      <c r="R1612" s="1"/>
      <c r="Z1612" s="103"/>
      <c r="AA1612" s="103"/>
      <c r="AB1612" s="1"/>
    </row>
    <row r="1613" spans="15:28">
      <c r="O1613" s="1"/>
      <c r="P1613" s="1"/>
      <c r="Q1613" s="1"/>
      <c r="R1613" s="1"/>
      <c r="Z1613" s="103"/>
      <c r="AA1613" s="103"/>
      <c r="AB1613" s="1"/>
    </row>
    <row r="1614" spans="15:28">
      <c r="O1614" s="1"/>
      <c r="P1614" s="1"/>
      <c r="Q1614" s="1"/>
      <c r="R1614" s="1"/>
      <c r="Z1614" s="103"/>
      <c r="AA1614" s="103"/>
      <c r="AB1614" s="1"/>
    </row>
    <row r="1615" spans="15:28">
      <c r="O1615" s="1"/>
      <c r="P1615" s="1"/>
      <c r="Q1615" s="1"/>
      <c r="R1615" s="1"/>
      <c r="Z1615" s="103"/>
      <c r="AA1615" s="103"/>
      <c r="AB1615" s="1"/>
    </row>
    <row r="1616" spans="15:28">
      <c r="O1616" s="1"/>
      <c r="P1616" s="1"/>
      <c r="Q1616" s="1"/>
      <c r="R1616" s="1"/>
      <c r="Z1616" s="103"/>
      <c r="AA1616" s="103"/>
      <c r="AB1616" s="1"/>
    </row>
    <row r="1617" spans="15:28">
      <c r="O1617" s="1"/>
      <c r="P1617" s="1"/>
      <c r="Q1617" s="1"/>
      <c r="R1617" s="1"/>
      <c r="Z1617" s="103"/>
      <c r="AA1617" s="103"/>
      <c r="AB1617" s="1"/>
    </row>
    <row r="1618" spans="15:28">
      <c r="O1618" s="1"/>
      <c r="P1618" s="1"/>
      <c r="Q1618" s="1"/>
      <c r="R1618" s="1"/>
      <c r="Z1618" s="103"/>
      <c r="AA1618" s="103"/>
      <c r="AB1618" s="1"/>
    </row>
    <row r="1619" spans="15:28">
      <c r="O1619" s="1"/>
      <c r="P1619" s="1"/>
      <c r="Q1619" s="1"/>
      <c r="R1619" s="1"/>
      <c r="Z1619" s="103"/>
      <c r="AA1619" s="103"/>
      <c r="AB1619" s="1"/>
    </row>
    <row r="1620" spans="15:28">
      <c r="O1620" s="1"/>
      <c r="P1620" s="1"/>
      <c r="Q1620" s="1"/>
      <c r="R1620" s="1"/>
      <c r="Z1620" s="103"/>
      <c r="AA1620" s="103"/>
      <c r="AB1620" s="1"/>
    </row>
    <row r="1621" spans="15:28">
      <c r="O1621" s="1"/>
      <c r="P1621" s="1"/>
      <c r="Q1621" s="1"/>
      <c r="R1621" s="1"/>
      <c r="Z1621" s="103"/>
      <c r="AA1621" s="103"/>
      <c r="AB1621" s="1"/>
    </row>
    <row r="1622" spans="15:28">
      <c r="O1622" s="1"/>
      <c r="P1622" s="1"/>
      <c r="Q1622" s="1"/>
      <c r="R1622" s="1"/>
      <c r="Z1622" s="103"/>
      <c r="AA1622" s="103"/>
      <c r="AB1622" s="1"/>
    </row>
    <row r="1623" spans="15:28">
      <c r="O1623" s="1"/>
      <c r="P1623" s="1"/>
      <c r="Q1623" s="1"/>
      <c r="R1623" s="1"/>
      <c r="Z1623" s="103"/>
      <c r="AA1623" s="103"/>
      <c r="AB1623" s="1"/>
    </row>
    <row r="1624" spans="15:28">
      <c r="O1624" s="1"/>
      <c r="P1624" s="1"/>
      <c r="Q1624" s="1"/>
      <c r="R1624" s="1"/>
      <c r="Z1624" s="103"/>
      <c r="AA1624" s="103"/>
      <c r="AB1624" s="1"/>
    </row>
    <row r="1625" spans="15:28">
      <c r="O1625" s="1"/>
      <c r="P1625" s="1"/>
      <c r="Q1625" s="1"/>
      <c r="R1625" s="1"/>
      <c r="Z1625" s="103"/>
      <c r="AA1625" s="103"/>
      <c r="AB1625" s="1"/>
    </row>
    <row r="1626" spans="15:28">
      <c r="O1626" s="1"/>
      <c r="P1626" s="1"/>
      <c r="Q1626" s="1"/>
      <c r="R1626" s="1"/>
      <c r="Z1626" s="103"/>
      <c r="AA1626" s="103"/>
      <c r="AB1626" s="1"/>
    </row>
    <row r="1627" spans="15:28">
      <c r="O1627" s="1"/>
      <c r="P1627" s="1"/>
      <c r="Q1627" s="1"/>
      <c r="R1627" s="1"/>
      <c r="Z1627" s="103"/>
      <c r="AA1627" s="103"/>
      <c r="AB1627" s="1"/>
    </row>
    <row r="1628" spans="15:28">
      <c r="O1628" s="1"/>
      <c r="P1628" s="1"/>
      <c r="Q1628" s="1"/>
      <c r="R1628" s="1"/>
      <c r="Z1628" s="103"/>
      <c r="AA1628" s="103"/>
      <c r="AB1628" s="1"/>
    </row>
    <row r="1629" spans="15:28">
      <c r="O1629" s="1"/>
      <c r="P1629" s="1"/>
      <c r="Q1629" s="1"/>
      <c r="R1629" s="1"/>
      <c r="Z1629" s="103"/>
      <c r="AA1629" s="103"/>
      <c r="AB1629" s="1"/>
    </row>
    <row r="1630" spans="15:28">
      <c r="O1630" s="1"/>
      <c r="P1630" s="1"/>
      <c r="Q1630" s="1"/>
      <c r="R1630" s="1"/>
      <c r="Z1630" s="103"/>
      <c r="AA1630" s="103"/>
      <c r="AB1630" s="1"/>
    </row>
    <row r="1631" spans="15:28">
      <c r="O1631" s="1"/>
      <c r="P1631" s="1"/>
      <c r="Q1631" s="1"/>
      <c r="R1631" s="1"/>
      <c r="Z1631" s="103"/>
      <c r="AA1631" s="103"/>
      <c r="AB1631" s="1"/>
    </row>
    <row r="1632" spans="15:28">
      <c r="O1632" s="1"/>
      <c r="P1632" s="1"/>
      <c r="Q1632" s="1"/>
      <c r="R1632" s="1"/>
      <c r="Z1632" s="103"/>
      <c r="AA1632" s="103"/>
      <c r="AB1632" s="1"/>
    </row>
    <row r="1633" spans="15:30">
      <c r="O1633" s="1"/>
      <c r="P1633" s="1"/>
      <c r="Q1633" s="1"/>
      <c r="R1633" s="1"/>
      <c r="Z1633" s="103"/>
      <c r="AA1633" s="103"/>
      <c r="AB1633" s="1"/>
    </row>
    <row r="1634" spans="15:30">
      <c r="O1634" s="1"/>
      <c r="P1634" s="1"/>
      <c r="Q1634" s="1"/>
      <c r="R1634" s="1"/>
      <c r="Z1634" s="103"/>
      <c r="AA1634" s="103"/>
      <c r="AB1634" s="1"/>
    </row>
    <row r="1635" spans="15:30">
      <c r="O1635" s="1"/>
      <c r="P1635" s="1"/>
      <c r="Q1635" s="1"/>
      <c r="R1635" s="1"/>
      <c r="Z1635" s="103"/>
      <c r="AA1635" s="103"/>
      <c r="AB1635" s="1"/>
      <c r="AD1635" s="102"/>
    </row>
    <row r="1636" spans="15:30">
      <c r="O1636" s="1"/>
      <c r="P1636" s="1"/>
      <c r="Q1636" s="1"/>
      <c r="R1636" s="1"/>
      <c r="Z1636" s="103"/>
      <c r="AA1636" s="103"/>
      <c r="AB1636" s="1"/>
    </row>
    <row r="1637" spans="15:30">
      <c r="O1637" s="1"/>
      <c r="P1637" s="1"/>
      <c r="Q1637" s="1"/>
      <c r="R1637" s="1"/>
      <c r="Z1637" s="103"/>
      <c r="AA1637" s="103"/>
      <c r="AB1637" s="1"/>
    </row>
    <row r="1638" spans="15:30">
      <c r="O1638" s="1"/>
      <c r="P1638" s="1"/>
      <c r="Q1638" s="1"/>
      <c r="R1638" s="1"/>
      <c r="Z1638" s="103"/>
      <c r="AA1638" s="103"/>
      <c r="AB1638" s="1"/>
    </row>
    <row r="1639" spans="15:30">
      <c r="O1639" s="1"/>
      <c r="P1639" s="1"/>
      <c r="Q1639" s="1"/>
      <c r="R1639" s="1"/>
      <c r="Z1639" s="103"/>
      <c r="AA1639" s="103"/>
      <c r="AB1639" s="1"/>
    </row>
    <row r="1640" spans="15:30">
      <c r="O1640" s="1"/>
      <c r="P1640" s="1"/>
      <c r="Q1640" s="1"/>
      <c r="R1640" s="1"/>
      <c r="Z1640" s="103"/>
      <c r="AA1640" s="103"/>
      <c r="AB1640" s="1"/>
    </row>
    <row r="1641" spans="15:30">
      <c r="O1641" s="1"/>
      <c r="P1641" s="1"/>
      <c r="Q1641" s="1"/>
      <c r="R1641" s="1"/>
      <c r="Z1641" s="103"/>
      <c r="AA1641" s="103"/>
      <c r="AB1641" s="1"/>
    </row>
    <row r="1642" spans="15:30">
      <c r="O1642" s="1"/>
      <c r="P1642" s="1"/>
      <c r="Q1642" s="1"/>
      <c r="R1642" s="1"/>
      <c r="Z1642" s="103"/>
      <c r="AA1642" s="103"/>
      <c r="AB1642" s="1"/>
    </row>
    <row r="1643" spans="15:30">
      <c r="O1643" s="1"/>
      <c r="P1643" s="1"/>
      <c r="Q1643" s="1"/>
      <c r="R1643" s="1"/>
      <c r="Z1643" s="103"/>
      <c r="AA1643" s="103"/>
      <c r="AB1643" s="1"/>
    </row>
    <row r="1644" spans="15:30">
      <c r="O1644" s="1"/>
      <c r="P1644" s="1"/>
      <c r="Q1644" s="1"/>
      <c r="R1644" s="1"/>
      <c r="Z1644" s="103"/>
      <c r="AA1644" s="103"/>
      <c r="AB1644" s="1"/>
    </row>
    <row r="1645" spans="15:30">
      <c r="O1645" s="1"/>
      <c r="P1645" s="1"/>
      <c r="Q1645" s="1"/>
      <c r="R1645" s="1"/>
      <c r="Z1645" s="103"/>
      <c r="AA1645" s="103"/>
      <c r="AB1645" s="1"/>
    </row>
    <row r="1646" spans="15:30">
      <c r="O1646" s="1"/>
      <c r="P1646" s="1"/>
      <c r="Q1646" s="1"/>
      <c r="R1646" s="1"/>
      <c r="Z1646" s="103"/>
      <c r="AA1646" s="103"/>
      <c r="AB1646" s="1"/>
    </row>
    <row r="1647" spans="15:30">
      <c r="O1647" s="1"/>
      <c r="P1647" s="1"/>
      <c r="Q1647" s="1"/>
      <c r="R1647" s="1"/>
      <c r="Z1647" s="103"/>
      <c r="AA1647" s="103"/>
      <c r="AB1647" s="1"/>
    </row>
    <row r="1648" spans="15:30">
      <c r="O1648" s="1"/>
      <c r="P1648" s="1"/>
      <c r="Q1648" s="1"/>
      <c r="R1648" s="1"/>
      <c r="Z1648" s="103"/>
      <c r="AA1648" s="103"/>
      <c r="AB1648" s="1"/>
    </row>
    <row r="1649" spans="15:28">
      <c r="O1649" s="1"/>
      <c r="P1649" s="1"/>
      <c r="Q1649" s="1"/>
      <c r="R1649" s="1"/>
      <c r="Z1649" s="103"/>
      <c r="AA1649" s="103"/>
      <c r="AB1649" s="1"/>
    </row>
    <row r="1650" spans="15:28">
      <c r="O1650" s="1"/>
      <c r="P1650" s="1"/>
      <c r="Q1650" s="1"/>
      <c r="R1650" s="1"/>
      <c r="Z1650" s="103"/>
      <c r="AA1650" s="103"/>
      <c r="AB1650" s="1"/>
    </row>
    <row r="1651" spans="15:28">
      <c r="O1651" s="1"/>
      <c r="P1651" s="1"/>
      <c r="Q1651" s="1"/>
      <c r="R1651" s="1"/>
      <c r="Z1651" s="103"/>
      <c r="AA1651" s="103"/>
      <c r="AB1651" s="1"/>
    </row>
    <row r="1652" spans="15:28">
      <c r="O1652" s="1"/>
      <c r="P1652" s="1"/>
      <c r="Q1652" s="1"/>
      <c r="R1652" s="1"/>
      <c r="Z1652" s="103"/>
      <c r="AA1652" s="103"/>
      <c r="AB1652" s="1"/>
    </row>
    <row r="1653" spans="15:28">
      <c r="O1653" s="1"/>
      <c r="P1653" s="1"/>
      <c r="Q1653" s="1"/>
      <c r="R1653" s="1"/>
      <c r="Z1653" s="103"/>
      <c r="AA1653" s="103"/>
      <c r="AB1653" s="1"/>
    </row>
    <row r="1654" spans="15:28">
      <c r="O1654" s="1"/>
      <c r="P1654" s="1"/>
      <c r="Q1654" s="1"/>
      <c r="R1654" s="1"/>
      <c r="Z1654" s="103"/>
      <c r="AA1654" s="103"/>
      <c r="AB1654" s="1"/>
    </row>
    <row r="1655" spans="15:28">
      <c r="O1655" s="1"/>
      <c r="P1655" s="1"/>
      <c r="Q1655" s="1"/>
      <c r="R1655" s="1"/>
      <c r="Z1655" s="103"/>
      <c r="AA1655" s="103"/>
      <c r="AB1655" s="1"/>
    </row>
    <row r="1656" spans="15:28">
      <c r="O1656" s="1"/>
      <c r="P1656" s="1"/>
      <c r="Q1656" s="1"/>
      <c r="R1656" s="1"/>
      <c r="Z1656" s="103"/>
      <c r="AA1656" s="103"/>
      <c r="AB1656" s="1"/>
    </row>
    <row r="1657" spans="15:28">
      <c r="O1657" s="1"/>
      <c r="P1657" s="1"/>
      <c r="Q1657" s="1"/>
      <c r="R1657" s="1"/>
      <c r="Z1657" s="103"/>
      <c r="AA1657" s="103"/>
      <c r="AB1657" s="1"/>
    </row>
    <row r="1658" spans="15:28">
      <c r="O1658" s="1"/>
      <c r="P1658" s="1"/>
      <c r="Q1658" s="1"/>
      <c r="R1658" s="1"/>
      <c r="Z1658" s="103"/>
      <c r="AA1658" s="103"/>
      <c r="AB1658" s="1"/>
    </row>
    <row r="1659" spans="15:28">
      <c r="O1659" s="1"/>
      <c r="P1659" s="1"/>
      <c r="Q1659" s="1"/>
      <c r="R1659" s="1"/>
      <c r="Z1659" s="103"/>
      <c r="AA1659" s="103"/>
      <c r="AB1659" s="1"/>
    </row>
    <row r="1660" spans="15:28">
      <c r="O1660" s="1"/>
      <c r="P1660" s="1"/>
      <c r="Q1660" s="1"/>
      <c r="R1660" s="1"/>
      <c r="Z1660" s="103"/>
      <c r="AA1660" s="103"/>
      <c r="AB1660" s="1"/>
    </row>
    <row r="1661" spans="15:28">
      <c r="O1661" s="1"/>
      <c r="P1661" s="1"/>
      <c r="Q1661" s="1"/>
      <c r="R1661" s="1"/>
      <c r="Z1661" s="103"/>
      <c r="AA1661" s="103"/>
      <c r="AB1661" s="1"/>
    </row>
    <row r="1662" spans="15:28">
      <c r="O1662" s="1"/>
      <c r="P1662" s="1"/>
      <c r="Q1662" s="1"/>
      <c r="R1662" s="1"/>
      <c r="Z1662" s="103"/>
      <c r="AA1662" s="103"/>
      <c r="AB1662" s="1"/>
    </row>
    <row r="1663" spans="15:28">
      <c r="O1663" s="1"/>
      <c r="P1663" s="1"/>
      <c r="Q1663" s="1"/>
      <c r="R1663" s="1"/>
      <c r="Z1663" s="103"/>
      <c r="AA1663" s="103"/>
      <c r="AB1663" s="1"/>
    </row>
    <row r="1664" spans="15:28">
      <c r="O1664" s="1"/>
      <c r="P1664" s="1"/>
      <c r="Q1664" s="1"/>
      <c r="R1664" s="1"/>
      <c r="Z1664" s="103"/>
      <c r="AA1664" s="103"/>
      <c r="AB1664" s="1"/>
    </row>
    <row r="1665" spans="15:30">
      <c r="O1665" s="1"/>
      <c r="P1665" s="1"/>
      <c r="Q1665" s="1"/>
      <c r="R1665" s="1"/>
      <c r="Z1665" s="103"/>
      <c r="AA1665" s="103"/>
      <c r="AB1665" s="1"/>
    </row>
    <row r="1666" spans="15:30">
      <c r="O1666" s="1"/>
      <c r="P1666" s="1"/>
      <c r="Q1666" s="1"/>
      <c r="R1666" s="1"/>
      <c r="Z1666" s="103"/>
      <c r="AA1666" s="103"/>
      <c r="AB1666" s="1"/>
    </row>
    <row r="1667" spans="15:30">
      <c r="O1667" s="1"/>
      <c r="P1667" s="1"/>
      <c r="Q1667" s="1"/>
      <c r="R1667" s="1"/>
      <c r="Z1667" s="103"/>
      <c r="AA1667" s="103"/>
      <c r="AB1667" s="1"/>
    </row>
    <row r="1668" spans="15:30">
      <c r="O1668" s="1"/>
      <c r="P1668" s="1"/>
      <c r="Q1668" s="1"/>
      <c r="R1668" s="1"/>
      <c r="Z1668" s="103"/>
      <c r="AA1668" s="103"/>
      <c r="AB1668" s="1"/>
    </row>
    <row r="1669" spans="15:30">
      <c r="O1669" s="1"/>
      <c r="P1669" s="1"/>
      <c r="Q1669" s="1"/>
      <c r="R1669" s="1"/>
      <c r="Z1669" s="103"/>
      <c r="AA1669" s="103"/>
      <c r="AB1669" s="1"/>
    </row>
    <row r="1670" spans="15:30">
      <c r="O1670" s="1"/>
      <c r="P1670" s="1"/>
      <c r="Q1670" s="1"/>
      <c r="R1670" s="1"/>
      <c r="Z1670" s="103"/>
      <c r="AA1670" s="103"/>
      <c r="AB1670" s="1"/>
    </row>
    <row r="1671" spans="15:30">
      <c r="O1671" s="1"/>
      <c r="P1671" s="1"/>
      <c r="Q1671" s="1"/>
      <c r="R1671" s="1"/>
      <c r="Z1671" s="103"/>
      <c r="AA1671" s="103"/>
      <c r="AB1671" s="1"/>
    </row>
    <row r="1672" spans="15:30">
      <c r="O1672" s="1"/>
      <c r="P1672" s="1"/>
      <c r="Q1672" s="1"/>
      <c r="R1672" s="1"/>
      <c r="Z1672" s="103"/>
      <c r="AA1672" s="103"/>
      <c r="AB1672" s="1"/>
    </row>
    <row r="1673" spans="15:30">
      <c r="O1673" s="1"/>
      <c r="P1673" s="1"/>
      <c r="Q1673" s="1"/>
      <c r="R1673" s="1"/>
      <c r="Z1673" s="103"/>
      <c r="AA1673" s="103"/>
      <c r="AB1673" s="1"/>
    </row>
    <row r="1674" spans="15:30">
      <c r="O1674" s="1"/>
      <c r="P1674" s="1"/>
      <c r="Q1674" s="1"/>
      <c r="R1674" s="1"/>
      <c r="Z1674" s="103"/>
      <c r="AA1674" s="103"/>
      <c r="AB1674" s="1"/>
    </row>
    <row r="1675" spans="15:30">
      <c r="O1675" s="1"/>
      <c r="P1675" s="1"/>
      <c r="Q1675" s="1"/>
      <c r="R1675" s="1"/>
      <c r="Z1675" s="103"/>
      <c r="AA1675" s="103"/>
      <c r="AB1675" s="1"/>
    </row>
    <row r="1676" spans="15:30">
      <c r="O1676" s="1"/>
      <c r="P1676" s="1"/>
      <c r="Q1676" s="1"/>
      <c r="R1676" s="1"/>
      <c r="Z1676" s="103"/>
      <c r="AA1676" s="103"/>
      <c r="AB1676" s="1"/>
    </row>
    <row r="1677" spans="15:30">
      <c r="O1677" s="1"/>
      <c r="P1677" s="1"/>
      <c r="Q1677" s="1"/>
      <c r="R1677" s="1"/>
      <c r="Z1677" s="103"/>
      <c r="AA1677" s="103"/>
      <c r="AB1677" s="1"/>
    </row>
    <row r="1678" spans="15:30">
      <c r="O1678" s="1"/>
      <c r="P1678" s="1"/>
      <c r="Q1678" s="1"/>
      <c r="R1678" s="1"/>
      <c r="Z1678" s="103"/>
      <c r="AA1678" s="103"/>
      <c r="AB1678" s="1"/>
      <c r="AD1678" s="102"/>
    </row>
    <row r="1679" spans="15:30">
      <c r="O1679" s="1"/>
      <c r="P1679" s="1"/>
      <c r="Q1679" s="1"/>
      <c r="R1679" s="1"/>
      <c r="Z1679" s="103"/>
      <c r="AA1679" s="103"/>
      <c r="AB1679" s="1"/>
    </row>
    <row r="1680" spans="15:30">
      <c r="O1680" s="1"/>
      <c r="P1680" s="1"/>
      <c r="Q1680" s="1"/>
      <c r="R1680" s="1"/>
      <c r="Z1680" s="103"/>
      <c r="AA1680" s="103"/>
      <c r="AB1680" s="1"/>
    </row>
    <row r="1681" spans="15:28">
      <c r="O1681" s="1"/>
      <c r="P1681" s="1"/>
      <c r="Q1681" s="1"/>
      <c r="R1681" s="1"/>
      <c r="Z1681" s="103"/>
      <c r="AA1681" s="103"/>
      <c r="AB1681" s="1"/>
    </row>
    <row r="1682" spans="15:28">
      <c r="O1682" s="1"/>
      <c r="P1682" s="1"/>
      <c r="Q1682" s="1"/>
      <c r="R1682" s="1"/>
      <c r="Z1682" s="103"/>
      <c r="AA1682" s="103"/>
      <c r="AB1682" s="1"/>
    </row>
    <row r="1683" spans="15:28">
      <c r="O1683" s="1"/>
      <c r="P1683" s="1"/>
      <c r="Q1683" s="1"/>
      <c r="R1683" s="1"/>
      <c r="Z1683" s="103"/>
      <c r="AA1683" s="103"/>
      <c r="AB1683" s="1"/>
    </row>
    <row r="1684" spans="15:28">
      <c r="O1684" s="1"/>
      <c r="P1684" s="1"/>
      <c r="Q1684" s="1"/>
      <c r="R1684" s="1"/>
      <c r="Z1684" s="103"/>
      <c r="AA1684" s="103"/>
      <c r="AB1684" s="1"/>
    </row>
    <row r="1685" spans="15:28">
      <c r="O1685" s="1"/>
      <c r="P1685" s="1"/>
      <c r="Q1685" s="1"/>
      <c r="R1685" s="1"/>
      <c r="Z1685" s="103"/>
      <c r="AA1685" s="103"/>
      <c r="AB1685" s="1"/>
    </row>
    <row r="1686" spans="15:28">
      <c r="O1686" s="1"/>
      <c r="P1686" s="1"/>
      <c r="Q1686" s="1"/>
      <c r="R1686" s="1"/>
      <c r="Z1686" s="103"/>
      <c r="AA1686" s="103"/>
      <c r="AB1686" s="1"/>
    </row>
    <row r="1687" spans="15:28">
      <c r="O1687" s="1"/>
      <c r="P1687" s="1"/>
      <c r="Q1687" s="1"/>
      <c r="R1687" s="1"/>
      <c r="Z1687" s="103"/>
      <c r="AA1687" s="103"/>
      <c r="AB1687" s="1"/>
    </row>
    <row r="1688" spans="15:28">
      <c r="O1688" s="1"/>
      <c r="P1688" s="1"/>
      <c r="Q1688" s="1"/>
      <c r="R1688" s="1"/>
      <c r="Z1688" s="103"/>
      <c r="AA1688" s="103"/>
      <c r="AB1688" s="1"/>
    </row>
    <row r="1689" spans="15:28">
      <c r="O1689" s="1"/>
      <c r="P1689" s="1"/>
      <c r="Q1689" s="1"/>
      <c r="R1689" s="1"/>
      <c r="Z1689" s="103"/>
      <c r="AA1689" s="103"/>
      <c r="AB1689" s="1"/>
    </row>
    <row r="1690" spans="15:28">
      <c r="O1690" s="1"/>
      <c r="P1690" s="1"/>
      <c r="Q1690" s="1"/>
      <c r="R1690" s="1"/>
      <c r="Z1690" s="103"/>
      <c r="AA1690" s="103"/>
      <c r="AB1690" s="1"/>
    </row>
    <row r="1691" spans="15:28">
      <c r="O1691" s="1"/>
      <c r="P1691" s="1"/>
      <c r="Q1691" s="1"/>
      <c r="R1691" s="1"/>
      <c r="Z1691" s="103"/>
      <c r="AA1691" s="103"/>
      <c r="AB1691" s="1"/>
    </row>
    <row r="1692" spans="15:28">
      <c r="O1692" s="1"/>
      <c r="P1692" s="1"/>
      <c r="Q1692" s="1"/>
      <c r="R1692" s="1"/>
      <c r="Z1692" s="103"/>
      <c r="AA1692" s="103"/>
      <c r="AB1692" s="1"/>
    </row>
    <row r="1693" spans="15:28">
      <c r="O1693" s="1"/>
      <c r="P1693" s="1"/>
      <c r="Q1693" s="1"/>
      <c r="R1693" s="1"/>
      <c r="Z1693" s="103"/>
      <c r="AA1693" s="103"/>
      <c r="AB1693" s="1"/>
    </row>
    <row r="1694" spans="15:28">
      <c r="O1694" s="1"/>
      <c r="P1694" s="1"/>
      <c r="Q1694" s="1"/>
      <c r="R1694" s="1"/>
      <c r="Z1694" s="103"/>
      <c r="AA1694" s="103"/>
      <c r="AB1694" s="1"/>
    </row>
    <row r="1695" spans="15:28">
      <c r="O1695" s="1"/>
      <c r="P1695" s="1"/>
      <c r="Q1695" s="1"/>
      <c r="R1695" s="1"/>
      <c r="Z1695" s="103"/>
      <c r="AA1695" s="103"/>
      <c r="AB1695" s="1"/>
    </row>
    <row r="1696" spans="15:28">
      <c r="O1696" s="1"/>
      <c r="P1696" s="1"/>
      <c r="Q1696" s="1"/>
      <c r="R1696" s="1"/>
      <c r="Z1696" s="103"/>
      <c r="AA1696" s="103"/>
      <c r="AB1696" s="1"/>
    </row>
    <row r="1697" spans="15:30">
      <c r="O1697" s="1"/>
      <c r="P1697" s="1"/>
      <c r="Q1697" s="1"/>
      <c r="R1697" s="1"/>
      <c r="Z1697" s="103"/>
      <c r="AA1697" s="103"/>
      <c r="AB1697" s="1"/>
    </row>
    <row r="1698" spans="15:30">
      <c r="O1698" s="1"/>
      <c r="P1698" s="1"/>
      <c r="Q1698" s="1"/>
      <c r="R1698" s="1"/>
      <c r="Z1698" s="103"/>
      <c r="AA1698" s="103"/>
      <c r="AB1698" s="1"/>
    </row>
    <row r="1699" spans="15:30">
      <c r="O1699" s="1"/>
      <c r="P1699" s="1"/>
      <c r="Q1699" s="1"/>
      <c r="R1699" s="1"/>
      <c r="Z1699" s="103"/>
      <c r="AA1699" s="103"/>
      <c r="AB1699" s="1"/>
    </row>
    <row r="1700" spans="15:30">
      <c r="O1700" s="1"/>
      <c r="P1700" s="1"/>
      <c r="Q1700" s="1"/>
      <c r="R1700" s="1"/>
      <c r="Z1700" s="103"/>
      <c r="AA1700" s="103"/>
      <c r="AB1700" s="1"/>
    </row>
    <row r="1701" spans="15:30">
      <c r="O1701" s="1"/>
      <c r="P1701" s="1"/>
      <c r="Q1701" s="1"/>
      <c r="R1701" s="1"/>
      <c r="Z1701" s="103"/>
      <c r="AA1701" s="103"/>
      <c r="AB1701" s="1"/>
    </row>
    <row r="1702" spans="15:30">
      <c r="O1702" s="1"/>
      <c r="P1702" s="1"/>
      <c r="Q1702" s="1"/>
      <c r="R1702" s="1"/>
      <c r="Z1702" s="103"/>
      <c r="AA1702" s="103"/>
      <c r="AB1702" s="1"/>
    </row>
    <row r="1703" spans="15:30">
      <c r="O1703" s="1"/>
      <c r="P1703" s="1"/>
      <c r="Q1703" s="1"/>
      <c r="R1703" s="1"/>
      <c r="Z1703" s="103"/>
      <c r="AA1703" s="103"/>
      <c r="AB1703" s="1"/>
    </row>
    <row r="1704" spans="15:30">
      <c r="O1704" s="1"/>
      <c r="P1704" s="1"/>
      <c r="Q1704" s="1"/>
      <c r="R1704" s="1"/>
      <c r="Z1704" s="103"/>
      <c r="AA1704" s="103"/>
      <c r="AB1704" s="1"/>
    </row>
    <row r="1705" spans="15:30">
      <c r="O1705" s="1"/>
      <c r="P1705" s="1"/>
      <c r="Q1705" s="1"/>
      <c r="R1705" s="1"/>
      <c r="Z1705" s="103"/>
      <c r="AA1705" s="103"/>
      <c r="AB1705" s="1"/>
    </row>
    <row r="1706" spans="15:30">
      <c r="O1706" s="1"/>
      <c r="P1706" s="1"/>
      <c r="Q1706" s="1"/>
      <c r="R1706" s="1"/>
      <c r="Z1706" s="103"/>
      <c r="AA1706" s="103"/>
      <c r="AB1706" s="1"/>
      <c r="AD1706" s="102"/>
    </row>
    <row r="1707" spans="15:30">
      <c r="O1707" s="1"/>
      <c r="P1707" s="1"/>
      <c r="Q1707" s="1"/>
      <c r="R1707" s="1"/>
      <c r="Z1707" s="103"/>
      <c r="AA1707" s="103"/>
      <c r="AB1707" s="1"/>
    </row>
    <row r="1708" spans="15:30">
      <c r="O1708" s="1"/>
      <c r="P1708" s="1"/>
      <c r="Q1708" s="1"/>
      <c r="R1708" s="1"/>
      <c r="Z1708" s="103"/>
      <c r="AA1708" s="103"/>
      <c r="AB1708" s="1"/>
    </row>
    <row r="1709" spans="15:30">
      <c r="O1709" s="1"/>
      <c r="P1709" s="1"/>
      <c r="Q1709" s="1"/>
      <c r="R1709" s="1"/>
      <c r="Z1709" s="103"/>
      <c r="AA1709" s="103"/>
      <c r="AB1709" s="1"/>
    </row>
    <row r="1710" spans="15:30">
      <c r="O1710" s="1"/>
      <c r="P1710" s="1"/>
      <c r="Q1710" s="1"/>
      <c r="R1710" s="1"/>
      <c r="Z1710" s="103"/>
      <c r="AA1710" s="103"/>
      <c r="AB1710" s="1"/>
    </row>
    <row r="1711" spans="15:30">
      <c r="O1711" s="1"/>
      <c r="P1711" s="1"/>
      <c r="Q1711" s="1"/>
      <c r="R1711" s="1"/>
      <c r="Z1711" s="103"/>
      <c r="AA1711" s="103"/>
      <c r="AB1711" s="1"/>
    </row>
    <row r="1712" spans="15:30">
      <c r="O1712" s="1"/>
      <c r="P1712" s="1"/>
      <c r="Q1712" s="1"/>
      <c r="R1712" s="1"/>
      <c r="Z1712" s="103"/>
      <c r="AA1712" s="103"/>
      <c r="AB1712" s="1"/>
    </row>
    <row r="1713" spans="15:28">
      <c r="O1713" s="1"/>
      <c r="P1713" s="1"/>
      <c r="Q1713" s="1"/>
      <c r="R1713" s="1"/>
      <c r="Z1713" s="103"/>
      <c r="AA1713" s="103"/>
      <c r="AB1713" s="1"/>
    </row>
    <row r="1714" spans="15:28">
      <c r="O1714" s="1"/>
      <c r="P1714" s="1"/>
      <c r="Q1714" s="1"/>
      <c r="R1714" s="1"/>
      <c r="Z1714" s="103"/>
      <c r="AA1714" s="103"/>
      <c r="AB1714" s="1"/>
    </row>
    <row r="1715" spans="15:28">
      <c r="O1715" s="1"/>
      <c r="P1715" s="1"/>
      <c r="Q1715" s="1"/>
      <c r="R1715" s="1"/>
      <c r="Z1715" s="103"/>
      <c r="AA1715" s="103"/>
      <c r="AB1715" s="1"/>
    </row>
    <row r="1716" spans="15:28">
      <c r="O1716" s="1"/>
      <c r="P1716" s="1"/>
      <c r="Q1716" s="1"/>
      <c r="R1716" s="1"/>
      <c r="Z1716" s="103"/>
      <c r="AA1716" s="103"/>
      <c r="AB1716" s="1"/>
    </row>
    <row r="1717" spans="15:28">
      <c r="O1717" s="1"/>
      <c r="P1717" s="1"/>
      <c r="Q1717" s="1"/>
      <c r="R1717" s="1"/>
      <c r="Z1717" s="103"/>
      <c r="AA1717" s="103"/>
      <c r="AB1717" s="1"/>
    </row>
    <row r="1718" spans="15:28">
      <c r="O1718" s="1"/>
      <c r="P1718" s="1"/>
      <c r="Q1718" s="1"/>
      <c r="R1718" s="1"/>
      <c r="Z1718" s="103"/>
      <c r="AA1718" s="103"/>
      <c r="AB1718" s="1"/>
    </row>
    <row r="1719" spans="15:28">
      <c r="O1719" s="1"/>
      <c r="P1719" s="1"/>
      <c r="Q1719" s="1"/>
      <c r="R1719" s="1"/>
      <c r="Z1719" s="103"/>
      <c r="AA1719" s="103"/>
      <c r="AB1719" s="1"/>
    </row>
    <row r="1720" spans="15:28">
      <c r="O1720" s="1"/>
      <c r="P1720" s="1"/>
      <c r="Q1720" s="1"/>
      <c r="R1720" s="1"/>
      <c r="Z1720" s="103"/>
      <c r="AA1720" s="103"/>
      <c r="AB1720" s="1"/>
    </row>
    <row r="1721" spans="15:28">
      <c r="O1721" s="1"/>
      <c r="P1721" s="1"/>
      <c r="Q1721" s="1"/>
      <c r="R1721" s="1"/>
      <c r="Z1721" s="103"/>
      <c r="AA1721" s="103"/>
      <c r="AB1721" s="1"/>
    </row>
    <row r="1722" spans="15:28">
      <c r="O1722" s="1"/>
      <c r="P1722" s="1"/>
      <c r="Q1722" s="1"/>
      <c r="R1722" s="1"/>
      <c r="Z1722" s="103"/>
      <c r="AA1722" s="103"/>
      <c r="AB1722" s="1"/>
    </row>
    <row r="1723" spans="15:28">
      <c r="O1723" s="1"/>
      <c r="P1723" s="1"/>
      <c r="Q1723" s="1"/>
      <c r="R1723" s="1"/>
      <c r="Z1723" s="103"/>
      <c r="AA1723" s="103"/>
      <c r="AB1723" s="1"/>
    </row>
    <row r="1724" spans="15:28">
      <c r="O1724" s="1"/>
      <c r="P1724" s="1"/>
      <c r="Q1724" s="1"/>
      <c r="R1724" s="1"/>
      <c r="Z1724" s="103"/>
      <c r="AA1724" s="103"/>
      <c r="AB1724" s="1"/>
    </row>
    <row r="1725" spans="15:28">
      <c r="O1725" s="1"/>
      <c r="P1725" s="1"/>
      <c r="Q1725" s="1"/>
      <c r="R1725" s="1"/>
      <c r="Z1725" s="103"/>
      <c r="AA1725" s="103"/>
      <c r="AB1725" s="1"/>
    </row>
    <row r="1726" spans="15:28">
      <c r="O1726" s="1"/>
      <c r="P1726" s="1"/>
      <c r="Q1726" s="1"/>
      <c r="R1726" s="1"/>
      <c r="Z1726" s="103"/>
      <c r="AA1726" s="103"/>
      <c r="AB1726" s="1"/>
    </row>
    <row r="1727" spans="15:28">
      <c r="O1727" s="1"/>
      <c r="P1727" s="1"/>
      <c r="Q1727" s="1"/>
      <c r="R1727" s="1"/>
      <c r="Z1727" s="103"/>
      <c r="AA1727" s="103"/>
      <c r="AB1727" s="1"/>
    </row>
    <row r="1728" spans="15:28">
      <c r="O1728" s="1"/>
      <c r="P1728" s="1"/>
      <c r="Q1728" s="1"/>
      <c r="R1728" s="1"/>
      <c r="Z1728" s="103"/>
      <c r="AA1728" s="103"/>
      <c r="AB1728" s="1"/>
    </row>
    <row r="1729" spans="15:28">
      <c r="O1729" s="1"/>
      <c r="P1729" s="1"/>
      <c r="Q1729" s="1"/>
      <c r="R1729" s="1"/>
      <c r="Z1729" s="103"/>
      <c r="AA1729" s="103"/>
      <c r="AB1729" s="1"/>
    </row>
    <row r="1730" spans="15:28">
      <c r="O1730" s="1"/>
      <c r="P1730" s="1"/>
      <c r="Q1730" s="1"/>
      <c r="R1730" s="1"/>
      <c r="Z1730" s="103"/>
      <c r="AA1730" s="103"/>
      <c r="AB1730" s="1"/>
    </row>
    <row r="1731" spans="15:28">
      <c r="O1731" s="1"/>
      <c r="P1731" s="1"/>
      <c r="Q1731" s="1"/>
      <c r="R1731" s="1"/>
      <c r="Z1731" s="103"/>
      <c r="AA1731" s="103"/>
      <c r="AB1731" s="1"/>
    </row>
    <row r="1732" spans="15:28">
      <c r="O1732" s="1"/>
      <c r="P1732" s="1"/>
      <c r="Q1732" s="1"/>
      <c r="R1732" s="1"/>
      <c r="Z1732" s="103"/>
      <c r="AA1732" s="103"/>
      <c r="AB1732" s="1"/>
    </row>
    <row r="1733" spans="15:28">
      <c r="O1733" s="1"/>
      <c r="P1733" s="1"/>
      <c r="Q1733" s="1"/>
      <c r="R1733" s="1"/>
      <c r="Z1733" s="103"/>
      <c r="AA1733" s="103"/>
      <c r="AB1733" s="1"/>
    </row>
    <row r="1734" spans="15:28">
      <c r="O1734" s="1"/>
      <c r="P1734" s="1"/>
      <c r="Q1734" s="1"/>
      <c r="R1734" s="1"/>
      <c r="Z1734" s="103"/>
      <c r="AA1734" s="103"/>
      <c r="AB1734" s="1"/>
    </row>
    <row r="1735" spans="15:28">
      <c r="O1735" s="1"/>
      <c r="P1735" s="1"/>
      <c r="Q1735" s="1"/>
      <c r="R1735" s="1"/>
      <c r="Z1735" s="103"/>
      <c r="AA1735" s="103"/>
      <c r="AB1735" s="1"/>
    </row>
    <row r="1736" spans="15:28">
      <c r="O1736" s="1"/>
      <c r="P1736" s="1"/>
      <c r="Q1736" s="1"/>
      <c r="R1736" s="1"/>
      <c r="Z1736" s="103"/>
      <c r="AA1736" s="103"/>
      <c r="AB1736" s="1"/>
    </row>
    <row r="1737" spans="15:28">
      <c r="O1737" s="1"/>
      <c r="P1737" s="1"/>
      <c r="Q1737" s="1"/>
      <c r="R1737" s="1"/>
      <c r="Z1737" s="103"/>
      <c r="AA1737" s="103"/>
      <c r="AB1737" s="1"/>
    </row>
    <row r="1738" spans="15:28">
      <c r="O1738" s="1"/>
      <c r="P1738" s="1"/>
      <c r="Q1738" s="1"/>
      <c r="R1738" s="1"/>
      <c r="Z1738" s="103"/>
      <c r="AA1738" s="103"/>
      <c r="AB1738" s="1"/>
    </row>
    <row r="1739" spans="15:28">
      <c r="O1739" s="1"/>
      <c r="P1739" s="1"/>
      <c r="Q1739" s="1"/>
      <c r="R1739" s="1"/>
      <c r="Z1739" s="103"/>
      <c r="AA1739" s="103"/>
      <c r="AB1739" s="1"/>
    </row>
    <row r="1740" spans="15:28">
      <c r="O1740" s="1"/>
      <c r="P1740" s="1"/>
      <c r="Q1740" s="1"/>
      <c r="R1740" s="1"/>
      <c r="Z1740" s="103"/>
      <c r="AA1740" s="103"/>
      <c r="AB1740" s="1"/>
    </row>
    <row r="1741" spans="15:28">
      <c r="O1741" s="1"/>
      <c r="P1741" s="1"/>
      <c r="Q1741" s="1"/>
      <c r="R1741" s="1"/>
      <c r="Z1741" s="103"/>
      <c r="AA1741" s="103"/>
      <c r="AB1741" s="1"/>
    </row>
    <row r="1742" spans="15:28">
      <c r="O1742" s="1"/>
      <c r="P1742" s="1"/>
      <c r="Q1742" s="1"/>
      <c r="R1742" s="1"/>
      <c r="Z1742" s="103"/>
      <c r="AA1742" s="103"/>
      <c r="AB1742" s="1"/>
    </row>
    <row r="1743" spans="15:28">
      <c r="O1743" s="1"/>
      <c r="P1743" s="1"/>
      <c r="Q1743" s="1"/>
      <c r="R1743" s="1"/>
      <c r="Z1743" s="103"/>
      <c r="AA1743" s="103"/>
      <c r="AB1743" s="1"/>
    </row>
    <row r="1744" spans="15:28">
      <c r="O1744" s="1"/>
      <c r="P1744" s="1"/>
      <c r="Q1744" s="1"/>
      <c r="R1744" s="1"/>
      <c r="Z1744" s="103"/>
      <c r="AA1744" s="103"/>
      <c r="AB1744" s="1"/>
    </row>
    <row r="1745" spans="15:28">
      <c r="O1745" s="1"/>
      <c r="P1745" s="1"/>
      <c r="Q1745" s="1"/>
      <c r="R1745" s="1"/>
      <c r="Z1745" s="103"/>
      <c r="AA1745" s="103"/>
      <c r="AB1745" s="1"/>
    </row>
    <row r="1746" spans="15:28">
      <c r="O1746" s="1"/>
      <c r="P1746" s="1"/>
      <c r="Q1746" s="1"/>
      <c r="R1746" s="1"/>
      <c r="Z1746" s="103"/>
      <c r="AA1746" s="103"/>
      <c r="AB1746" s="1"/>
    </row>
    <row r="1747" spans="15:28">
      <c r="O1747" s="1"/>
      <c r="P1747" s="1"/>
      <c r="Q1747" s="1"/>
      <c r="R1747" s="1"/>
      <c r="Z1747" s="103"/>
      <c r="AA1747" s="103"/>
      <c r="AB1747" s="1"/>
    </row>
    <row r="1748" spans="15:28">
      <c r="O1748" s="1"/>
      <c r="P1748" s="1"/>
      <c r="Q1748" s="1"/>
      <c r="R1748" s="1"/>
      <c r="Z1748" s="103"/>
      <c r="AA1748" s="103"/>
      <c r="AB1748" s="1"/>
    </row>
    <row r="1749" spans="15:28">
      <c r="O1749" s="1"/>
      <c r="P1749" s="1"/>
      <c r="Q1749" s="1"/>
      <c r="R1749" s="1"/>
      <c r="Z1749" s="103"/>
      <c r="AA1749" s="103"/>
      <c r="AB1749" s="1"/>
    </row>
    <row r="1750" spans="15:28">
      <c r="O1750" s="1"/>
      <c r="P1750" s="1"/>
      <c r="Q1750" s="1"/>
      <c r="R1750" s="1"/>
      <c r="Z1750" s="103"/>
      <c r="AA1750" s="103"/>
      <c r="AB1750" s="1"/>
    </row>
    <row r="1751" spans="15:28">
      <c r="O1751" s="1"/>
      <c r="P1751" s="1"/>
      <c r="Q1751" s="1"/>
      <c r="R1751" s="1"/>
      <c r="Z1751" s="103"/>
      <c r="AA1751" s="103"/>
      <c r="AB1751" s="1"/>
    </row>
    <row r="1752" spans="15:28">
      <c r="O1752" s="1"/>
      <c r="P1752" s="1"/>
      <c r="Q1752" s="1"/>
      <c r="R1752" s="1"/>
      <c r="Z1752" s="103"/>
      <c r="AA1752" s="103"/>
      <c r="AB1752" s="1"/>
    </row>
    <row r="1753" spans="15:28">
      <c r="O1753" s="1"/>
      <c r="P1753" s="1"/>
      <c r="Q1753" s="1"/>
      <c r="R1753" s="1"/>
      <c r="Z1753" s="103"/>
      <c r="AA1753" s="103"/>
      <c r="AB1753" s="1"/>
    </row>
    <row r="1754" spans="15:28">
      <c r="O1754" s="1"/>
      <c r="P1754" s="1"/>
      <c r="Q1754" s="1"/>
      <c r="R1754" s="1"/>
      <c r="Z1754" s="103"/>
      <c r="AA1754" s="103"/>
      <c r="AB1754" s="1"/>
    </row>
    <row r="1755" spans="15:28">
      <c r="O1755" s="1"/>
      <c r="P1755" s="1"/>
      <c r="Q1755" s="1"/>
      <c r="R1755" s="1"/>
      <c r="Z1755" s="103"/>
      <c r="AA1755" s="103"/>
      <c r="AB1755" s="1"/>
    </row>
    <row r="1756" spans="15:28">
      <c r="O1756" s="1"/>
      <c r="P1756" s="1"/>
      <c r="Q1756" s="1"/>
      <c r="R1756" s="1"/>
      <c r="Z1756" s="103"/>
      <c r="AA1756" s="103"/>
      <c r="AB1756" s="1"/>
    </row>
    <row r="1757" spans="15:28">
      <c r="O1757" s="1"/>
      <c r="P1757" s="1"/>
      <c r="Q1757" s="1"/>
      <c r="R1757" s="1"/>
      <c r="Z1757" s="103"/>
      <c r="AA1757" s="103"/>
      <c r="AB1757" s="1"/>
    </row>
    <row r="1758" spans="15:28">
      <c r="O1758" s="1"/>
      <c r="P1758" s="1"/>
      <c r="Q1758" s="1"/>
      <c r="R1758" s="1"/>
      <c r="Z1758" s="103"/>
      <c r="AA1758" s="103"/>
      <c r="AB1758" s="1"/>
    </row>
    <row r="1759" spans="15:28">
      <c r="O1759" s="1"/>
      <c r="P1759" s="1"/>
      <c r="Q1759" s="1"/>
      <c r="R1759" s="1"/>
      <c r="Z1759" s="103"/>
      <c r="AA1759" s="103"/>
      <c r="AB1759" s="1"/>
    </row>
    <row r="1760" spans="15:28">
      <c r="O1760" s="1"/>
      <c r="P1760" s="1"/>
      <c r="Q1760" s="1"/>
      <c r="R1760" s="1"/>
      <c r="Z1760" s="103"/>
      <c r="AA1760" s="103"/>
      <c r="AB1760" s="1"/>
    </row>
    <row r="1761" spans="15:30">
      <c r="O1761" s="1"/>
      <c r="P1761" s="1"/>
      <c r="Q1761" s="1"/>
      <c r="R1761" s="1"/>
      <c r="Z1761" s="103"/>
      <c r="AA1761" s="103"/>
      <c r="AB1761" s="1"/>
    </row>
    <row r="1762" spans="15:30">
      <c r="O1762" s="1"/>
      <c r="P1762" s="1"/>
      <c r="Q1762" s="1"/>
      <c r="R1762" s="1"/>
      <c r="Z1762" s="103"/>
      <c r="AA1762" s="103"/>
      <c r="AB1762" s="1"/>
    </row>
    <row r="1763" spans="15:30">
      <c r="O1763" s="1"/>
      <c r="P1763" s="1"/>
      <c r="Q1763" s="1"/>
      <c r="R1763" s="1"/>
      <c r="Z1763" s="103"/>
      <c r="AA1763" s="103"/>
      <c r="AB1763" s="1"/>
    </row>
    <row r="1764" spans="15:30">
      <c r="O1764" s="1"/>
      <c r="P1764" s="1"/>
      <c r="Q1764" s="1"/>
      <c r="R1764" s="1"/>
      <c r="Z1764" s="103"/>
      <c r="AA1764" s="103"/>
      <c r="AB1764" s="1"/>
    </row>
    <row r="1765" spans="15:30">
      <c r="O1765" s="1"/>
      <c r="P1765" s="1"/>
      <c r="Q1765" s="1"/>
      <c r="R1765" s="1"/>
      <c r="Z1765" s="103"/>
      <c r="AA1765" s="103"/>
      <c r="AB1765" s="1"/>
    </row>
    <row r="1766" spans="15:30">
      <c r="O1766" s="1"/>
      <c r="P1766" s="1"/>
      <c r="Q1766" s="1"/>
      <c r="R1766" s="1"/>
      <c r="Z1766" s="103"/>
      <c r="AA1766" s="103"/>
      <c r="AB1766" s="1"/>
    </row>
    <row r="1767" spans="15:30">
      <c r="O1767" s="1"/>
      <c r="P1767" s="1"/>
      <c r="Q1767" s="1"/>
      <c r="R1767" s="1"/>
      <c r="Z1767" s="103"/>
      <c r="AA1767" s="103"/>
      <c r="AB1767" s="1"/>
    </row>
    <row r="1768" spans="15:30">
      <c r="O1768" s="1"/>
      <c r="P1768" s="1"/>
      <c r="Q1768" s="1"/>
      <c r="R1768" s="1"/>
      <c r="Z1768" s="103"/>
      <c r="AA1768" s="103"/>
      <c r="AB1768" s="1"/>
    </row>
    <row r="1769" spans="15:30">
      <c r="O1769" s="1"/>
      <c r="P1769" s="1"/>
      <c r="Q1769" s="1"/>
      <c r="R1769" s="1"/>
      <c r="Z1769" s="103"/>
      <c r="AA1769" s="103"/>
      <c r="AB1769" s="1"/>
    </row>
    <row r="1770" spans="15:30">
      <c r="O1770" s="1"/>
      <c r="P1770" s="1"/>
      <c r="Q1770" s="1"/>
      <c r="R1770" s="1"/>
      <c r="Z1770" s="103"/>
      <c r="AA1770" s="103"/>
      <c r="AB1770" s="1"/>
    </row>
    <row r="1771" spans="15:30">
      <c r="O1771" s="1"/>
      <c r="P1771" s="1"/>
      <c r="Q1771" s="1"/>
      <c r="R1771" s="1"/>
      <c r="Z1771" s="103"/>
      <c r="AA1771" s="103"/>
      <c r="AB1771" s="1"/>
    </row>
    <row r="1772" spans="15:30">
      <c r="O1772" s="1"/>
      <c r="P1772" s="1"/>
      <c r="Q1772" s="1"/>
      <c r="R1772" s="1"/>
      <c r="Z1772" s="103"/>
      <c r="AA1772" s="103"/>
      <c r="AB1772" s="1"/>
    </row>
    <row r="1773" spans="15:30">
      <c r="O1773" s="1"/>
      <c r="P1773" s="1"/>
      <c r="Q1773" s="1"/>
      <c r="R1773" s="1"/>
      <c r="Z1773" s="103"/>
      <c r="AA1773" s="103"/>
      <c r="AB1773" s="1"/>
    </row>
    <row r="1774" spans="15:30">
      <c r="O1774" s="1"/>
      <c r="P1774" s="1"/>
      <c r="Q1774" s="1"/>
      <c r="R1774" s="1"/>
      <c r="Z1774" s="103"/>
      <c r="AA1774" s="103"/>
      <c r="AB1774" s="1"/>
    </row>
    <row r="1775" spans="15:30">
      <c r="O1775" s="1"/>
      <c r="P1775" s="1"/>
      <c r="Q1775" s="1"/>
      <c r="R1775" s="1"/>
      <c r="Z1775" s="103"/>
      <c r="AA1775" s="103"/>
      <c r="AB1775" s="1"/>
      <c r="AD1775" s="102"/>
    </row>
    <row r="1776" spans="15:30">
      <c r="O1776" s="1"/>
      <c r="P1776" s="1"/>
      <c r="Q1776" s="1"/>
      <c r="R1776" s="1"/>
      <c r="Z1776" s="103"/>
      <c r="AA1776" s="103"/>
      <c r="AB1776" s="1"/>
      <c r="AD1776" s="102"/>
    </row>
    <row r="1777" spans="15:30">
      <c r="O1777" s="1"/>
      <c r="P1777" s="1"/>
      <c r="Q1777" s="1"/>
      <c r="R1777" s="1"/>
      <c r="Z1777" s="103"/>
      <c r="AA1777" s="103"/>
      <c r="AB1777" s="1"/>
    </row>
    <row r="1778" spans="15:30">
      <c r="O1778" s="1"/>
      <c r="P1778" s="1"/>
      <c r="Q1778" s="1"/>
      <c r="R1778" s="1"/>
      <c r="Z1778" s="103"/>
      <c r="AA1778" s="103"/>
      <c r="AB1778" s="1"/>
    </row>
    <row r="1779" spans="15:30">
      <c r="O1779" s="1"/>
      <c r="P1779" s="1"/>
      <c r="Q1779" s="1"/>
      <c r="R1779" s="1"/>
      <c r="Z1779" s="103"/>
      <c r="AA1779" s="103"/>
      <c r="AB1779" s="1"/>
    </row>
    <row r="1780" spans="15:30">
      <c r="O1780" s="1"/>
      <c r="P1780" s="1"/>
      <c r="Q1780" s="1"/>
      <c r="R1780" s="1"/>
      <c r="Z1780" s="103"/>
      <c r="AA1780" s="103"/>
      <c r="AB1780" s="1"/>
    </row>
    <row r="1781" spans="15:30">
      <c r="O1781" s="1"/>
      <c r="P1781" s="1"/>
      <c r="Q1781" s="1"/>
      <c r="R1781" s="1"/>
      <c r="Z1781" s="103"/>
      <c r="AA1781" s="103"/>
      <c r="AB1781" s="1"/>
    </row>
    <row r="1782" spans="15:30">
      <c r="O1782" s="1"/>
      <c r="P1782" s="1"/>
      <c r="Q1782" s="1"/>
      <c r="R1782" s="1"/>
      <c r="Z1782" s="103"/>
      <c r="AA1782" s="103"/>
      <c r="AB1782" s="1"/>
    </row>
    <row r="1783" spans="15:30">
      <c r="O1783" s="1"/>
      <c r="P1783" s="1"/>
      <c r="Q1783" s="1"/>
      <c r="R1783" s="1"/>
      <c r="Z1783" s="103"/>
      <c r="AA1783" s="103"/>
      <c r="AB1783" s="1"/>
    </row>
    <row r="1784" spans="15:30">
      <c r="O1784" s="1"/>
      <c r="P1784" s="1"/>
      <c r="Q1784" s="1"/>
      <c r="R1784" s="1"/>
      <c r="Z1784" s="103"/>
      <c r="AA1784" s="103"/>
      <c r="AB1784" s="1"/>
    </row>
    <row r="1785" spans="15:30">
      <c r="O1785" s="1"/>
      <c r="P1785" s="1"/>
      <c r="Q1785" s="1"/>
      <c r="R1785" s="1"/>
      <c r="Z1785" s="103"/>
      <c r="AA1785" s="103"/>
      <c r="AB1785" s="1"/>
    </row>
    <row r="1786" spans="15:30">
      <c r="O1786" s="1"/>
      <c r="P1786" s="1"/>
      <c r="Q1786" s="1"/>
      <c r="R1786" s="1"/>
      <c r="Z1786" s="103"/>
      <c r="AA1786" s="103"/>
      <c r="AB1786" s="1"/>
    </row>
    <row r="1787" spans="15:30">
      <c r="O1787" s="1"/>
      <c r="P1787" s="1"/>
      <c r="Q1787" s="1"/>
      <c r="R1787" s="1"/>
      <c r="Z1787" s="103"/>
      <c r="AA1787" s="103"/>
      <c r="AB1787" s="1"/>
    </row>
    <row r="1788" spans="15:30">
      <c r="O1788" s="1"/>
      <c r="P1788" s="1"/>
      <c r="Q1788" s="1"/>
      <c r="R1788" s="1"/>
      <c r="Z1788" s="103"/>
      <c r="AA1788" s="103"/>
      <c r="AB1788" s="1"/>
    </row>
    <row r="1789" spans="15:30">
      <c r="O1789" s="1"/>
      <c r="P1789" s="1"/>
      <c r="Q1789" s="1"/>
      <c r="R1789" s="1"/>
      <c r="Z1789" s="103"/>
      <c r="AA1789" s="103"/>
      <c r="AB1789" s="1"/>
    </row>
    <row r="1790" spans="15:30">
      <c r="O1790" s="1"/>
      <c r="P1790" s="1"/>
      <c r="Q1790" s="1"/>
      <c r="R1790" s="1"/>
      <c r="Z1790" s="103"/>
      <c r="AA1790" s="103"/>
      <c r="AB1790" s="1"/>
      <c r="AD1790" s="102"/>
    </row>
    <row r="1791" spans="15:30">
      <c r="O1791" s="1"/>
      <c r="P1791" s="1"/>
      <c r="Q1791" s="1"/>
      <c r="R1791" s="1"/>
      <c r="Z1791" s="103"/>
      <c r="AA1791" s="103"/>
      <c r="AB1791" s="1"/>
    </row>
    <row r="1792" spans="15:30">
      <c r="O1792" s="1"/>
      <c r="P1792" s="1"/>
      <c r="Q1792" s="1"/>
      <c r="R1792" s="1"/>
      <c r="Z1792" s="103"/>
      <c r="AA1792" s="103"/>
      <c r="AB1792" s="1"/>
    </row>
    <row r="1793" spans="15:30">
      <c r="O1793" s="1"/>
      <c r="P1793" s="1"/>
      <c r="Q1793" s="1"/>
      <c r="R1793" s="1"/>
      <c r="Z1793" s="103"/>
      <c r="AA1793" s="103"/>
      <c r="AB1793" s="1"/>
    </row>
    <row r="1794" spans="15:30">
      <c r="O1794" s="1"/>
      <c r="P1794" s="1"/>
      <c r="Q1794" s="1"/>
      <c r="R1794" s="1"/>
      <c r="Z1794" s="103"/>
      <c r="AA1794" s="103"/>
      <c r="AB1794" s="1"/>
    </row>
    <row r="1795" spans="15:30">
      <c r="O1795" s="1"/>
      <c r="P1795" s="1"/>
      <c r="Q1795" s="1"/>
      <c r="R1795" s="1"/>
      <c r="Z1795" s="103"/>
      <c r="AA1795" s="103"/>
      <c r="AB1795" s="1"/>
      <c r="AD1795" s="102"/>
    </row>
    <row r="1796" spans="15:30">
      <c r="O1796" s="1"/>
      <c r="P1796" s="1"/>
      <c r="Q1796" s="1"/>
      <c r="R1796" s="1"/>
      <c r="Z1796" s="103"/>
      <c r="AA1796" s="103"/>
      <c r="AB1796" s="1"/>
    </row>
    <row r="1797" spans="15:30">
      <c r="O1797" s="1"/>
      <c r="P1797" s="1"/>
      <c r="Q1797" s="1"/>
      <c r="R1797" s="1"/>
      <c r="Z1797" s="103"/>
      <c r="AA1797" s="103"/>
      <c r="AB1797" s="1"/>
      <c r="AD1797" s="102"/>
    </row>
    <row r="1798" spans="15:30">
      <c r="O1798" s="1"/>
      <c r="P1798" s="1"/>
      <c r="Q1798" s="1"/>
      <c r="R1798" s="1"/>
      <c r="Z1798" s="103"/>
      <c r="AA1798" s="103"/>
      <c r="AB1798" s="1"/>
    </row>
    <row r="1799" spans="15:30">
      <c r="O1799" s="1"/>
      <c r="P1799" s="1"/>
      <c r="Q1799" s="1"/>
      <c r="R1799" s="1"/>
      <c r="Z1799" s="103"/>
      <c r="AA1799" s="103"/>
      <c r="AB1799" s="1"/>
    </row>
    <row r="1800" spans="15:30">
      <c r="O1800" s="1"/>
      <c r="P1800" s="1"/>
      <c r="Q1800" s="1"/>
      <c r="R1800" s="1"/>
      <c r="Z1800" s="103"/>
      <c r="AA1800" s="103"/>
      <c r="AB1800" s="1"/>
    </row>
    <row r="1801" spans="15:30">
      <c r="O1801" s="1"/>
      <c r="P1801" s="1"/>
      <c r="Q1801" s="1"/>
      <c r="R1801" s="1"/>
      <c r="Z1801" s="103"/>
      <c r="AA1801" s="103"/>
      <c r="AB1801" s="1"/>
    </row>
    <row r="1802" spans="15:30">
      <c r="O1802" s="1"/>
      <c r="P1802" s="1"/>
      <c r="Q1802" s="1"/>
      <c r="R1802" s="1"/>
      <c r="Z1802" s="103"/>
      <c r="AA1802" s="103"/>
      <c r="AB1802" s="1"/>
    </row>
    <row r="1803" spans="15:30">
      <c r="O1803" s="1"/>
      <c r="P1803" s="1"/>
      <c r="Q1803" s="1"/>
      <c r="R1803" s="1"/>
      <c r="Z1803" s="103"/>
      <c r="AA1803" s="103"/>
      <c r="AB1803" s="1"/>
    </row>
    <row r="1804" spans="15:30">
      <c r="O1804" s="1"/>
      <c r="P1804" s="1"/>
      <c r="Q1804" s="1"/>
      <c r="R1804" s="1"/>
      <c r="Z1804" s="103"/>
      <c r="AA1804" s="103"/>
      <c r="AB1804" s="1"/>
    </row>
    <row r="1805" spans="15:30">
      <c r="O1805" s="1"/>
      <c r="P1805" s="1"/>
      <c r="Q1805" s="1"/>
      <c r="R1805" s="1"/>
      <c r="Z1805" s="103"/>
      <c r="AA1805" s="103"/>
      <c r="AB1805" s="1"/>
    </row>
    <row r="1806" spans="15:30">
      <c r="O1806" s="1"/>
      <c r="P1806" s="1"/>
      <c r="Q1806" s="1"/>
      <c r="R1806" s="1"/>
      <c r="Z1806" s="103"/>
      <c r="AA1806" s="103"/>
      <c r="AB1806" s="1"/>
    </row>
    <row r="1807" spans="15:30">
      <c r="O1807" s="1"/>
      <c r="P1807" s="1"/>
      <c r="Q1807" s="1"/>
      <c r="R1807" s="1"/>
      <c r="Z1807" s="103"/>
      <c r="AA1807" s="103"/>
      <c r="AB1807" s="1"/>
    </row>
    <row r="1808" spans="15:30">
      <c r="O1808" s="1"/>
      <c r="P1808" s="1"/>
      <c r="Q1808" s="1"/>
      <c r="R1808" s="1"/>
      <c r="Z1808" s="103"/>
      <c r="AA1808" s="103"/>
      <c r="AB1808" s="1"/>
      <c r="AD1808" s="102"/>
    </row>
    <row r="1809" spans="15:30">
      <c r="O1809" s="1"/>
      <c r="P1809" s="1"/>
      <c r="Q1809" s="1"/>
      <c r="R1809" s="1"/>
      <c r="Z1809" s="103"/>
      <c r="AA1809" s="103"/>
      <c r="AB1809" s="1"/>
    </row>
    <row r="1810" spans="15:30">
      <c r="O1810" s="1"/>
      <c r="P1810" s="1"/>
      <c r="Q1810" s="1"/>
      <c r="R1810" s="1"/>
      <c r="Z1810" s="103"/>
      <c r="AA1810" s="103"/>
      <c r="AB1810" s="1"/>
    </row>
    <row r="1811" spans="15:30">
      <c r="O1811" s="1"/>
      <c r="P1811" s="1"/>
      <c r="Q1811" s="1"/>
      <c r="R1811" s="1"/>
      <c r="Z1811" s="103"/>
      <c r="AA1811" s="103"/>
      <c r="AB1811" s="1"/>
    </row>
    <row r="1812" spans="15:30">
      <c r="O1812" s="1"/>
      <c r="P1812" s="1"/>
      <c r="Q1812" s="1"/>
      <c r="R1812" s="1"/>
      <c r="Z1812" s="103"/>
      <c r="AA1812" s="103"/>
      <c r="AB1812" s="1"/>
    </row>
    <row r="1813" spans="15:30">
      <c r="O1813" s="1"/>
      <c r="P1813" s="1"/>
      <c r="Q1813" s="1"/>
      <c r="R1813" s="1"/>
      <c r="Z1813" s="103"/>
      <c r="AA1813" s="103"/>
      <c r="AB1813" s="1"/>
    </row>
    <row r="1814" spans="15:30">
      <c r="O1814" s="1"/>
      <c r="P1814" s="1"/>
      <c r="Q1814" s="1"/>
      <c r="R1814" s="1"/>
      <c r="Z1814" s="103"/>
      <c r="AA1814" s="103"/>
      <c r="AB1814" s="1"/>
      <c r="AD1814" s="102"/>
    </row>
    <row r="1815" spans="15:30">
      <c r="O1815" s="1"/>
      <c r="P1815" s="1"/>
      <c r="Q1815" s="1"/>
      <c r="R1815" s="1"/>
      <c r="Z1815" s="103"/>
      <c r="AA1815" s="103"/>
      <c r="AB1815" s="1"/>
    </row>
    <row r="1816" spans="15:30">
      <c r="O1816" s="1"/>
      <c r="P1816" s="1"/>
      <c r="Q1816" s="1"/>
      <c r="R1816" s="1"/>
      <c r="Z1816" s="103"/>
      <c r="AA1816" s="103"/>
      <c r="AB1816" s="1"/>
    </row>
    <row r="1817" spans="15:30">
      <c r="O1817" s="1"/>
      <c r="P1817" s="1"/>
      <c r="Q1817" s="1"/>
      <c r="R1817" s="1"/>
      <c r="Z1817" s="103"/>
      <c r="AA1817" s="103"/>
      <c r="AB1817" s="1"/>
      <c r="AD1817" s="102"/>
    </row>
    <row r="1818" spans="15:30">
      <c r="O1818" s="1"/>
      <c r="P1818" s="1"/>
      <c r="Q1818" s="1"/>
      <c r="R1818" s="1"/>
      <c r="Z1818" s="103"/>
      <c r="AA1818" s="103"/>
      <c r="AB1818" s="1"/>
    </row>
    <row r="1819" spans="15:30">
      <c r="O1819" s="1"/>
      <c r="P1819" s="1"/>
      <c r="Q1819" s="1"/>
      <c r="R1819" s="1"/>
      <c r="Z1819" s="103"/>
      <c r="AA1819" s="103"/>
      <c r="AB1819" s="1"/>
    </row>
    <row r="1820" spans="15:30">
      <c r="O1820" s="1"/>
      <c r="P1820" s="1"/>
      <c r="Q1820" s="1"/>
      <c r="R1820" s="1"/>
      <c r="Z1820" s="103"/>
      <c r="AA1820" s="103"/>
      <c r="AB1820" s="1"/>
    </row>
    <row r="1821" spans="15:30">
      <c r="O1821" s="1"/>
      <c r="P1821" s="1"/>
      <c r="Q1821" s="1"/>
      <c r="R1821" s="1"/>
      <c r="Z1821" s="103"/>
      <c r="AA1821" s="103"/>
      <c r="AB1821" s="1"/>
    </row>
    <row r="1822" spans="15:30">
      <c r="O1822" s="1"/>
      <c r="P1822" s="1"/>
      <c r="Q1822" s="1"/>
      <c r="R1822" s="1"/>
      <c r="Z1822" s="103"/>
      <c r="AA1822" s="103"/>
      <c r="AB1822" s="1"/>
    </row>
    <row r="1823" spans="15:30">
      <c r="O1823" s="1"/>
      <c r="P1823" s="1"/>
      <c r="Q1823" s="1"/>
      <c r="R1823" s="1"/>
      <c r="Z1823" s="103"/>
      <c r="AA1823" s="103"/>
      <c r="AB1823" s="1"/>
    </row>
    <row r="1824" spans="15:30">
      <c r="O1824" s="1"/>
      <c r="P1824" s="1"/>
      <c r="Q1824" s="1"/>
      <c r="R1824" s="1"/>
      <c r="Z1824" s="103"/>
      <c r="AA1824" s="103"/>
      <c r="AB1824" s="1"/>
    </row>
    <row r="1825" spans="15:30">
      <c r="O1825" s="1"/>
      <c r="P1825" s="1"/>
      <c r="Q1825" s="1"/>
      <c r="R1825" s="1"/>
      <c r="Z1825" s="103"/>
      <c r="AA1825" s="103"/>
      <c r="AB1825" s="1"/>
    </row>
    <row r="1826" spans="15:30">
      <c r="O1826" s="1"/>
      <c r="P1826" s="1"/>
      <c r="Q1826" s="1"/>
      <c r="R1826" s="1"/>
      <c r="Z1826" s="103"/>
      <c r="AA1826" s="103"/>
      <c r="AB1826" s="1"/>
    </row>
    <row r="1827" spans="15:30">
      <c r="O1827" s="1"/>
      <c r="P1827" s="1"/>
      <c r="Q1827" s="1"/>
      <c r="R1827" s="1"/>
      <c r="Z1827" s="103"/>
      <c r="AA1827" s="103"/>
      <c r="AB1827" s="1"/>
    </row>
    <row r="1828" spans="15:30">
      <c r="O1828" s="1"/>
      <c r="P1828" s="1"/>
      <c r="Q1828" s="1"/>
      <c r="R1828" s="1"/>
      <c r="Z1828" s="103"/>
      <c r="AA1828" s="103"/>
      <c r="AB1828" s="1"/>
    </row>
    <row r="1829" spans="15:30">
      <c r="O1829" s="1"/>
      <c r="P1829" s="1"/>
      <c r="Q1829" s="1"/>
      <c r="R1829" s="1"/>
      <c r="Z1829" s="103"/>
      <c r="AA1829" s="103"/>
      <c r="AB1829" s="1"/>
    </row>
    <row r="1830" spans="15:30">
      <c r="O1830" s="1"/>
      <c r="P1830" s="1"/>
      <c r="Q1830" s="1"/>
      <c r="R1830" s="1"/>
      <c r="Z1830" s="103"/>
      <c r="AA1830" s="103"/>
      <c r="AB1830" s="1"/>
    </row>
    <row r="1831" spans="15:30">
      <c r="O1831" s="1"/>
      <c r="P1831" s="1"/>
      <c r="Q1831" s="1"/>
      <c r="R1831" s="1"/>
      <c r="Z1831" s="103"/>
      <c r="AA1831" s="103"/>
      <c r="AB1831" s="1"/>
    </row>
    <row r="1832" spans="15:30">
      <c r="O1832" s="1"/>
      <c r="P1832" s="1"/>
      <c r="Q1832" s="1"/>
      <c r="R1832" s="1"/>
      <c r="Z1832" s="103"/>
      <c r="AA1832" s="103"/>
      <c r="AB1832" s="1"/>
    </row>
    <row r="1833" spans="15:30">
      <c r="O1833" s="1"/>
      <c r="P1833" s="1"/>
      <c r="Q1833" s="1"/>
      <c r="R1833" s="1"/>
      <c r="Z1833" s="103"/>
      <c r="AA1833" s="103"/>
      <c r="AB1833" s="1"/>
      <c r="AD1833" s="102"/>
    </row>
    <row r="1834" spans="15:30">
      <c r="O1834" s="1"/>
      <c r="P1834" s="1"/>
      <c r="Q1834" s="1"/>
      <c r="R1834" s="1"/>
      <c r="Z1834" s="103"/>
      <c r="AA1834" s="103"/>
      <c r="AB1834" s="1"/>
    </row>
    <row r="1835" spans="15:30">
      <c r="O1835" s="1"/>
      <c r="P1835" s="1"/>
      <c r="Q1835" s="1"/>
      <c r="R1835" s="1"/>
      <c r="Z1835" s="103"/>
      <c r="AA1835" s="103"/>
      <c r="AB1835" s="1"/>
    </row>
    <row r="1836" spans="15:30">
      <c r="O1836" s="1"/>
      <c r="P1836" s="1"/>
      <c r="Q1836" s="1"/>
      <c r="R1836" s="1"/>
      <c r="Z1836" s="103"/>
      <c r="AA1836" s="103"/>
      <c r="AB1836" s="1"/>
    </row>
    <row r="1837" spans="15:30">
      <c r="O1837" s="1"/>
      <c r="P1837" s="1"/>
      <c r="Q1837" s="1"/>
      <c r="R1837" s="1"/>
      <c r="Z1837" s="103"/>
      <c r="AA1837" s="103"/>
      <c r="AB1837" s="1"/>
    </row>
    <row r="1838" spans="15:30">
      <c r="O1838" s="1"/>
      <c r="P1838" s="1"/>
      <c r="Q1838" s="1"/>
      <c r="R1838" s="1"/>
      <c r="Z1838" s="103"/>
      <c r="AA1838" s="103"/>
      <c r="AB1838" s="1"/>
    </row>
    <row r="1839" spans="15:30">
      <c r="O1839" s="1"/>
      <c r="P1839" s="1"/>
      <c r="Q1839" s="1"/>
      <c r="R1839" s="1"/>
      <c r="Z1839" s="103"/>
      <c r="AA1839" s="103"/>
      <c r="AB1839" s="1"/>
    </row>
    <row r="1840" spans="15:30">
      <c r="O1840" s="1"/>
      <c r="P1840" s="1"/>
      <c r="Q1840" s="1"/>
      <c r="R1840" s="1"/>
      <c r="Z1840" s="103"/>
      <c r="AA1840" s="103"/>
      <c r="AB1840" s="1"/>
    </row>
    <row r="1841" spans="15:30">
      <c r="O1841" s="1"/>
      <c r="P1841" s="1"/>
      <c r="Q1841" s="1"/>
      <c r="R1841" s="1"/>
      <c r="Z1841" s="103"/>
      <c r="AA1841" s="103"/>
      <c r="AB1841" s="1"/>
    </row>
    <row r="1842" spans="15:30">
      <c r="O1842" s="1"/>
      <c r="P1842" s="1"/>
      <c r="Q1842" s="1"/>
      <c r="R1842" s="1"/>
      <c r="Z1842" s="103"/>
      <c r="AA1842" s="103"/>
      <c r="AB1842" s="1"/>
    </row>
    <row r="1843" spans="15:30">
      <c r="O1843" s="1"/>
      <c r="P1843" s="1"/>
      <c r="Q1843" s="1"/>
      <c r="R1843" s="1"/>
      <c r="Z1843" s="103"/>
      <c r="AA1843" s="103"/>
      <c r="AB1843" s="1"/>
    </row>
    <row r="1844" spans="15:30">
      <c r="O1844" s="1"/>
      <c r="P1844" s="1"/>
      <c r="Q1844" s="1"/>
      <c r="R1844" s="1"/>
      <c r="Z1844" s="103"/>
      <c r="AA1844" s="103"/>
      <c r="AB1844" s="1"/>
    </row>
    <row r="1845" spans="15:30">
      <c r="O1845" s="1"/>
      <c r="P1845" s="1"/>
      <c r="Q1845" s="1"/>
      <c r="R1845" s="1"/>
      <c r="Z1845" s="103"/>
      <c r="AA1845" s="103"/>
      <c r="AB1845" s="1"/>
    </row>
    <row r="1846" spans="15:30">
      <c r="O1846" s="1"/>
      <c r="P1846" s="1"/>
      <c r="Q1846" s="1"/>
      <c r="R1846" s="1"/>
      <c r="Z1846" s="103"/>
      <c r="AA1846" s="103"/>
      <c r="AB1846" s="1"/>
    </row>
    <row r="1847" spans="15:30">
      <c r="O1847" s="1"/>
      <c r="P1847" s="1"/>
      <c r="Q1847" s="1"/>
      <c r="R1847" s="1"/>
      <c r="Z1847" s="103"/>
      <c r="AA1847" s="103"/>
      <c r="AB1847" s="1"/>
    </row>
    <row r="1848" spans="15:30">
      <c r="O1848" s="1"/>
      <c r="P1848" s="1"/>
      <c r="Q1848" s="1"/>
      <c r="R1848" s="1"/>
      <c r="Z1848" s="103"/>
      <c r="AA1848" s="103"/>
      <c r="AB1848" s="1"/>
      <c r="AD1848" s="102"/>
    </row>
    <row r="1849" spans="15:30">
      <c r="O1849" s="1"/>
      <c r="P1849" s="1"/>
      <c r="Q1849" s="1"/>
      <c r="R1849" s="1"/>
      <c r="Z1849" s="103"/>
      <c r="AA1849" s="103"/>
      <c r="AB1849" s="1"/>
    </row>
    <row r="1850" spans="15:30">
      <c r="O1850" s="1"/>
      <c r="P1850" s="1"/>
      <c r="Q1850" s="1"/>
      <c r="R1850" s="1"/>
      <c r="Z1850" s="103"/>
      <c r="AA1850" s="103"/>
      <c r="AB1850" s="1"/>
    </row>
    <row r="1851" spans="15:30">
      <c r="O1851" s="1"/>
      <c r="P1851" s="1"/>
      <c r="Q1851" s="1"/>
      <c r="R1851" s="1"/>
      <c r="Z1851" s="103"/>
      <c r="AA1851" s="103"/>
      <c r="AB1851" s="1"/>
    </row>
    <row r="1852" spans="15:30">
      <c r="O1852" s="1"/>
      <c r="P1852" s="1"/>
      <c r="Q1852" s="1"/>
      <c r="R1852" s="1"/>
      <c r="Z1852" s="103"/>
      <c r="AA1852" s="103"/>
      <c r="AB1852" s="1"/>
    </row>
    <row r="1853" spans="15:30">
      <c r="O1853" s="1"/>
      <c r="P1853" s="1"/>
      <c r="Q1853" s="1"/>
      <c r="R1853" s="1"/>
      <c r="Z1853" s="103"/>
      <c r="AA1853" s="103"/>
      <c r="AB1853" s="1"/>
    </row>
    <row r="1854" spans="15:30">
      <c r="O1854" s="1"/>
      <c r="P1854" s="1"/>
      <c r="Q1854" s="1"/>
      <c r="R1854" s="1"/>
      <c r="Z1854" s="103"/>
      <c r="AA1854" s="103"/>
      <c r="AB1854" s="1"/>
    </row>
    <row r="1855" spans="15:30">
      <c r="O1855" s="1"/>
      <c r="P1855" s="1"/>
      <c r="Q1855" s="1"/>
      <c r="R1855" s="1"/>
      <c r="Z1855" s="103"/>
      <c r="AA1855" s="103"/>
      <c r="AB1855" s="1"/>
    </row>
    <row r="1856" spans="15:30">
      <c r="O1856" s="1"/>
      <c r="P1856" s="1"/>
      <c r="Q1856" s="1"/>
      <c r="R1856" s="1"/>
      <c r="Z1856" s="103"/>
      <c r="AA1856" s="103"/>
      <c r="AB1856" s="1"/>
    </row>
    <row r="1857" spans="15:30">
      <c r="O1857" s="1"/>
      <c r="P1857" s="1"/>
      <c r="Q1857" s="1"/>
      <c r="R1857" s="1"/>
      <c r="Z1857" s="103"/>
      <c r="AA1857" s="103"/>
      <c r="AB1857" s="1"/>
    </row>
    <row r="1858" spans="15:30">
      <c r="O1858" s="1"/>
      <c r="P1858" s="1"/>
      <c r="Q1858" s="1"/>
      <c r="R1858" s="1"/>
      <c r="Z1858" s="103"/>
      <c r="AA1858" s="103"/>
      <c r="AB1858" s="1"/>
    </row>
    <row r="1859" spans="15:30">
      <c r="O1859" s="1"/>
      <c r="P1859" s="1"/>
      <c r="Q1859" s="1"/>
      <c r="R1859" s="1"/>
      <c r="Z1859" s="103"/>
      <c r="AA1859" s="103"/>
      <c r="AB1859" s="1"/>
    </row>
    <row r="1860" spans="15:30">
      <c r="O1860" s="1"/>
      <c r="P1860" s="1"/>
      <c r="Q1860" s="1"/>
      <c r="R1860" s="1"/>
      <c r="Z1860" s="103"/>
      <c r="AA1860" s="103"/>
      <c r="AB1860" s="1"/>
    </row>
    <row r="1861" spans="15:30">
      <c r="O1861" s="1"/>
      <c r="P1861" s="1"/>
      <c r="Q1861" s="1"/>
      <c r="R1861" s="1"/>
      <c r="Z1861" s="103"/>
      <c r="AA1861" s="103"/>
      <c r="AB1861" s="1"/>
    </row>
    <row r="1862" spans="15:30">
      <c r="O1862" s="1"/>
      <c r="P1862" s="1"/>
      <c r="Q1862" s="1"/>
      <c r="R1862" s="1"/>
      <c r="Z1862" s="103"/>
      <c r="AA1862" s="103"/>
      <c r="AB1862" s="1"/>
    </row>
    <row r="1863" spans="15:30">
      <c r="O1863" s="1"/>
      <c r="P1863" s="1"/>
      <c r="Q1863" s="1"/>
      <c r="R1863" s="1"/>
      <c r="Z1863" s="103"/>
      <c r="AA1863" s="103"/>
      <c r="AB1863" s="1"/>
    </row>
    <row r="1864" spans="15:30">
      <c r="O1864" s="1"/>
      <c r="P1864" s="1"/>
      <c r="Q1864" s="1"/>
      <c r="R1864" s="1"/>
      <c r="Z1864" s="103"/>
      <c r="AA1864" s="103"/>
      <c r="AB1864" s="1"/>
    </row>
    <row r="1865" spans="15:30">
      <c r="O1865" s="1"/>
      <c r="P1865" s="1"/>
      <c r="Q1865" s="1"/>
      <c r="R1865" s="1"/>
      <c r="Z1865" s="103"/>
      <c r="AA1865" s="103"/>
      <c r="AB1865" s="1"/>
    </row>
    <row r="1866" spans="15:30">
      <c r="O1866" s="1"/>
      <c r="P1866" s="1"/>
      <c r="Q1866" s="1"/>
      <c r="R1866" s="1"/>
      <c r="Z1866" s="103"/>
      <c r="AA1866" s="103"/>
      <c r="AB1866" s="1"/>
    </row>
    <row r="1867" spans="15:30">
      <c r="O1867" s="1"/>
      <c r="P1867" s="1"/>
      <c r="Q1867" s="1"/>
      <c r="R1867" s="1"/>
      <c r="Z1867" s="103"/>
      <c r="AA1867" s="103"/>
      <c r="AB1867" s="1"/>
    </row>
    <row r="1868" spans="15:30">
      <c r="O1868" s="1"/>
      <c r="P1868" s="1"/>
      <c r="Q1868" s="1"/>
      <c r="R1868" s="1"/>
      <c r="Z1868" s="103"/>
      <c r="AA1868" s="103"/>
      <c r="AB1868" s="1"/>
    </row>
    <row r="1869" spans="15:30">
      <c r="O1869" s="1"/>
      <c r="P1869" s="1"/>
      <c r="Q1869" s="1"/>
      <c r="R1869" s="1"/>
      <c r="Z1869" s="103"/>
      <c r="AA1869" s="103"/>
      <c r="AB1869" s="1"/>
    </row>
    <row r="1870" spans="15:30">
      <c r="O1870" s="1"/>
      <c r="P1870" s="1"/>
      <c r="Q1870" s="1"/>
      <c r="R1870" s="1"/>
      <c r="Z1870" s="103"/>
      <c r="AA1870" s="103"/>
      <c r="AB1870" s="1"/>
      <c r="AD1870" s="102"/>
    </row>
    <row r="1871" spans="15:30">
      <c r="O1871" s="1"/>
      <c r="P1871" s="1"/>
      <c r="Q1871" s="1"/>
      <c r="R1871" s="1"/>
      <c r="Z1871" s="103"/>
      <c r="AA1871" s="103"/>
      <c r="AB1871" s="1"/>
    </row>
    <row r="1872" spans="15:30">
      <c r="O1872" s="1"/>
      <c r="P1872" s="1"/>
      <c r="Q1872" s="1"/>
      <c r="R1872" s="1"/>
      <c r="Z1872" s="103"/>
      <c r="AA1872" s="103"/>
      <c r="AB1872" s="1"/>
    </row>
    <row r="1873" spans="15:28">
      <c r="O1873" s="1"/>
      <c r="P1873" s="1"/>
      <c r="Q1873" s="1"/>
      <c r="R1873" s="1"/>
      <c r="Z1873" s="103"/>
      <c r="AA1873" s="103"/>
      <c r="AB1873" s="1"/>
    </row>
    <row r="1874" spans="15:28">
      <c r="O1874" s="1"/>
      <c r="P1874" s="1"/>
      <c r="Q1874" s="1"/>
      <c r="R1874" s="1"/>
      <c r="Z1874" s="103"/>
      <c r="AA1874" s="103"/>
      <c r="AB1874" s="1"/>
    </row>
    <row r="1875" spans="15:28">
      <c r="O1875" s="1"/>
      <c r="P1875" s="1"/>
      <c r="Q1875" s="1"/>
      <c r="R1875" s="1"/>
      <c r="Z1875" s="103"/>
      <c r="AA1875" s="103"/>
      <c r="AB1875" s="1"/>
    </row>
    <row r="1876" spans="15:28">
      <c r="O1876" s="1"/>
      <c r="P1876" s="1"/>
      <c r="Q1876" s="1"/>
      <c r="R1876" s="1"/>
      <c r="Z1876" s="103"/>
      <c r="AA1876" s="103"/>
      <c r="AB1876" s="1"/>
    </row>
    <row r="1877" spans="15:28">
      <c r="O1877" s="1"/>
      <c r="P1877" s="1"/>
      <c r="Q1877" s="1"/>
      <c r="R1877" s="1"/>
      <c r="Z1877" s="103"/>
      <c r="AA1877" s="103"/>
      <c r="AB1877" s="1"/>
    </row>
    <row r="1878" spans="15:28">
      <c r="O1878" s="1"/>
      <c r="P1878" s="1"/>
      <c r="Q1878" s="1"/>
      <c r="R1878" s="1"/>
      <c r="Z1878" s="103"/>
      <c r="AA1878" s="103"/>
      <c r="AB1878" s="1"/>
    </row>
    <row r="1879" spans="15:28">
      <c r="O1879" s="1"/>
      <c r="P1879" s="1"/>
      <c r="Q1879" s="1"/>
      <c r="R1879" s="1"/>
      <c r="Z1879" s="103"/>
      <c r="AA1879" s="103"/>
      <c r="AB1879" s="1"/>
    </row>
    <row r="1880" spans="15:28">
      <c r="O1880" s="1"/>
      <c r="P1880" s="1"/>
      <c r="Q1880" s="1"/>
      <c r="R1880" s="1"/>
      <c r="Z1880" s="103"/>
      <c r="AA1880" s="103"/>
      <c r="AB1880" s="1"/>
    </row>
    <row r="1881" spans="15:28">
      <c r="O1881" s="1"/>
      <c r="P1881" s="1"/>
      <c r="Q1881" s="1"/>
      <c r="R1881" s="1"/>
      <c r="Z1881" s="103"/>
      <c r="AA1881" s="103"/>
      <c r="AB1881" s="1"/>
    </row>
    <row r="1882" spans="15:28">
      <c r="O1882" s="1"/>
      <c r="P1882" s="1"/>
      <c r="Q1882" s="1"/>
      <c r="R1882" s="1"/>
      <c r="Z1882" s="103"/>
      <c r="AA1882" s="103"/>
      <c r="AB1882" s="1"/>
    </row>
    <row r="1883" spans="15:28">
      <c r="O1883" s="1"/>
      <c r="P1883" s="1"/>
      <c r="Q1883" s="1"/>
      <c r="R1883" s="1"/>
      <c r="Z1883" s="103"/>
      <c r="AA1883" s="103"/>
      <c r="AB1883" s="1"/>
    </row>
    <row r="1884" spans="15:28">
      <c r="O1884" s="1"/>
      <c r="P1884" s="1"/>
      <c r="Q1884" s="1"/>
      <c r="R1884" s="1"/>
      <c r="Z1884" s="103"/>
      <c r="AA1884" s="103"/>
      <c r="AB1884" s="1"/>
    </row>
    <row r="1885" spans="15:28">
      <c r="O1885" s="1"/>
      <c r="P1885" s="1"/>
      <c r="Q1885" s="1"/>
      <c r="R1885" s="1"/>
      <c r="Z1885" s="103"/>
      <c r="AA1885" s="103"/>
      <c r="AB1885" s="1"/>
    </row>
    <row r="1886" spans="15:28">
      <c r="O1886" s="1"/>
      <c r="P1886" s="1"/>
      <c r="Q1886" s="1"/>
      <c r="R1886" s="1"/>
      <c r="Z1886" s="103"/>
      <c r="AA1886" s="103"/>
      <c r="AB1886" s="1"/>
    </row>
    <row r="1887" spans="15:28">
      <c r="O1887" s="1"/>
      <c r="P1887" s="1"/>
      <c r="Q1887" s="1"/>
      <c r="R1887" s="1"/>
      <c r="Z1887" s="103"/>
      <c r="AA1887" s="103"/>
      <c r="AB1887" s="1"/>
    </row>
    <row r="1888" spans="15:28">
      <c r="O1888" s="1"/>
      <c r="P1888" s="1"/>
      <c r="Q1888" s="1"/>
      <c r="R1888" s="1"/>
      <c r="Z1888" s="103"/>
      <c r="AA1888" s="103"/>
      <c r="AB1888" s="1"/>
    </row>
    <row r="1889" spans="15:30">
      <c r="O1889" s="1"/>
      <c r="P1889" s="1"/>
      <c r="Q1889" s="1"/>
      <c r="R1889" s="1"/>
      <c r="Z1889" s="103"/>
      <c r="AA1889" s="103"/>
      <c r="AB1889" s="1"/>
    </row>
    <row r="1890" spans="15:30">
      <c r="O1890" s="1"/>
      <c r="P1890" s="1"/>
      <c r="Q1890" s="1"/>
      <c r="R1890" s="1"/>
      <c r="Z1890" s="103"/>
      <c r="AA1890" s="103"/>
      <c r="AB1890" s="1"/>
    </row>
    <row r="1891" spans="15:30">
      <c r="O1891" s="1"/>
      <c r="P1891" s="1"/>
      <c r="Q1891" s="1"/>
      <c r="R1891" s="1"/>
      <c r="Z1891" s="103"/>
      <c r="AA1891" s="103"/>
      <c r="AB1891" s="1"/>
    </row>
    <row r="1892" spans="15:30">
      <c r="O1892" s="1"/>
      <c r="P1892" s="1"/>
      <c r="Q1892" s="1"/>
      <c r="R1892" s="1"/>
      <c r="Z1892" s="103"/>
      <c r="AA1892" s="103"/>
      <c r="AB1892" s="1"/>
    </row>
    <row r="1893" spans="15:30">
      <c r="O1893" s="1"/>
      <c r="P1893" s="1"/>
      <c r="Q1893" s="1"/>
      <c r="R1893" s="1"/>
      <c r="Z1893" s="103"/>
      <c r="AA1893" s="103"/>
      <c r="AB1893" s="1"/>
    </row>
    <row r="1894" spans="15:30">
      <c r="O1894" s="1"/>
      <c r="P1894" s="1"/>
      <c r="Q1894" s="1"/>
      <c r="R1894" s="1"/>
      <c r="Z1894" s="103"/>
      <c r="AA1894" s="103"/>
      <c r="AB1894" s="1"/>
    </row>
    <row r="1895" spans="15:30">
      <c r="O1895" s="1"/>
      <c r="P1895" s="1"/>
      <c r="Q1895" s="1"/>
      <c r="R1895" s="1"/>
      <c r="Z1895" s="103"/>
      <c r="AA1895" s="103"/>
      <c r="AB1895" s="1"/>
      <c r="AD1895" s="102"/>
    </row>
    <row r="1896" spans="15:30">
      <c r="O1896" s="1"/>
      <c r="P1896" s="1"/>
      <c r="Q1896" s="1"/>
      <c r="R1896" s="1"/>
      <c r="Z1896" s="103"/>
      <c r="AA1896" s="103"/>
      <c r="AB1896" s="1"/>
    </row>
    <row r="1897" spans="15:30">
      <c r="O1897" s="1"/>
      <c r="P1897" s="1"/>
      <c r="Q1897" s="1"/>
      <c r="R1897" s="1"/>
      <c r="Z1897" s="103"/>
      <c r="AA1897" s="103"/>
      <c r="AB1897" s="1"/>
    </row>
    <row r="1898" spans="15:30">
      <c r="O1898" s="1"/>
      <c r="P1898" s="1"/>
      <c r="Q1898" s="1"/>
      <c r="R1898" s="1"/>
      <c r="Z1898" s="103"/>
      <c r="AA1898" s="103"/>
      <c r="AB1898" s="1"/>
    </row>
    <row r="1899" spans="15:30">
      <c r="O1899" s="1"/>
      <c r="P1899" s="1"/>
      <c r="Q1899" s="1"/>
      <c r="R1899" s="1"/>
      <c r="Z1899" s="103"/>
      <c r="AA1899" s="103"/>
      <c r="AB1899" s="1"/>
    </row>
    <row r="1900" spans="15:30">
      <c r="O1900" s="1"/>
      <c r="P1900" s="1"/>
      <c r="Q1900" s="1"/>
      <c r="R1900" s="1"/>
      <c r="Z1900" s="103"/>
      <c r="AA1900" s="103"/>
      <c r="AB1900" s="1"/>
    </row>
    <row r="1901" spans="15:30">
      <c r="O1901" s="1"/>
      <c r="P1901" s="1"/>
      <c r="Q1901" s="1"/>
      <c r="R1901" s="1"/>
      <c r="Z1901" s="103"/>
      <c r="AA1901" s="103"/>
      <c r="AB1901" s="1"/>
    </row>
    <row r="1902" spans="15:30">
      <c r="O1902" s="1"/>
      <c r="P1902" s="1"/>
      <c r="Q1902" s="1"/>
      <c r="R1902" s="1"/>
      <c r="Z1902" s="103"/>
      <c r="AA1902" s="103"/>
      <c r="AB1902" s="1"/>
    </row>
    <row r="1903" spans="15:30">
      <c r="O1903" s="1"/>
      <c r="P1903" s="1"/>
      <c r="Q1903" s="1"/>
      <c r="R1903" s="1"/>
      <c r="Z1903" s="103"/>
      <c r="AA1903" s="103"/>
      <c r="AB1903" s="1"/>
    </row>
    <row r="1904" spans="15:30">
      <c r="O1904" s="1"/>
      <c r="P1904" s="1"/>
      <c r="Q1904" s="1"/>
      <c r="R1904" s="1"/>
      <c r="Z1904" s="103"/>
      <c r="AA1904" s="103"/>
      <c r="AB1904" s="1"/>
    </row>
    <row r="1905" spans="15:28">
      <c r="O1905" s="1"/>
      <c r="P1905" s="1"/>
      <c r="Q1905" s="1"/>
      <c r="R1905" s="1"/>
      <c r="Z1905" s="103"/>
      <c r="AA1905" s="103"/>
      <c r="AB1905" s="1"/>
    </row>
    <row r="1906" spans="15:28">
      <c r="O1906" s="1"/>
      <c r="P1906" s="1"/>
      <c r="Q1906" s="1"/>
      <c r="R1906" s="1"/>
      <c r="Z1906" s="103"/>
      <c r="AA1906" s="103"/>
      <c r="AB1906" s="1"/>
    </row>
    <row r="1907" spans="15:28">
      <c r="O1907" s="1"/>
      <c r="P1907" s="1"/>
      <c r="Q1907" s="1"/>
      <c r="R1907" s="1"/>
      <c r="Z1907" s="103"/>
      <c r="AA1907" s="103"/>
      <c r="AB1907" s="1"/>
    </row>
    <row r="1908" spans="15:28">
      <c r="O1908" s="1"/>
      <c r="P1908" s="1"/>
      <c r="Q1908" s="1"/>
      <c r="R1908" s="1"/>
      <c r="Z1908" s="103"/>
      <c r="AA1908" s="103"/>
      <c r="AB1908" s="1"/>
    </row>
    <row r="1909" spans="15:28">
      <c r="O1909" s="1"/>
      <c r="P1909" s="1"/>
      <c r="Q1909" s="1"/>
      <c r="R1909" s="1"/>
      <c r="Z1909" s="103"/>
      <c r="AA1909" s="103"/>
      <c r="AB1909" s="1"/>
    </row>
    <row r="1910" spans="15:28">
      <c r="O1910" s="1"/>
      <c r="P1910" s="1"/>
      <c r="Q1910" s="1"/>
      <c r="R1910" s="1"/>
      <c r="Z1910" s="103"/>
      <c r="AA1910" s="103"/>
      <c r="AB1910" s="1"/>
    </row>
    <row r="1911" spans="15:28">
      <c r="O1911" s="1"/>
      <c r="P1911" s="1"/>
      <c r="Q1911" s="1"/>
      <c r="R1911" s="1"/>
      <c r="Z1911" s="103"/>
      <c r="AA1911" s="103"/>
      <c r="AB1911" s="1"/>
    </row>
    <row r="1912" spans="15:28">
      <c r="O1912" s="1"/>
      <c r="P1912" s="1"/>
      <c r="Q1912" s="1"/>
      <c r="R1912" s="1"/>
      <c r="Z1912" s="103"/>
      <c r="AA1912" s="103"/>
      <c r="AB1912" s="1"/>
    </row>
    <row r="1913" spans="15:28">
      <c r="O1913" s="1"/>
      <c r="P1913" s="1"/>
      <c r="Q1913" s="1"/>
      <c r="R1913" s="1"/>
      <c r="Z1913" s="103"/>
      <c r="AA1913" s="103"/>
      <c r="AB1913" s="1"/>
    </row>
    <row r="1914" spans="15:28">
      <c r="O1914" s="1"/>
      <c r="P1914" s="1"/>
      <c r="Q1914" s="1"/>
      <c r="R1914" s="1"/>
      <c r="Z1914" s="103"/>
      <c r="AA1914" s="103"/>
      <c r="AB1914" s="1"/>
    </row>
    <row r="1915" spans="15:28">
      <c r="O1915" s="1"/>
      <c r="P1915" s="1"/>
      <c r="Q1915" s="1"/>
      <c r="R1915" s="1"/>
      <c r="Z1915" s="103"/>
      <c r="AA1915" s="103"/>
      <c r="AB1915" s="1"/>
    </row>
    <row r="1916" spans="15:28">
      <c r="O1916" s="1"/>
      <c r="P1916" s="1"/>
      <c r="Q1916" s="1"/>
      <c r="R1916" s="1"/>
      <c r="Z1916" s="103"/>
      <c r="AA1916" s="103"/>
      <c r="AB1916" s="1"/>
    </row>
    <row r="1917" spans="15:28">
      <c r="O1917" s="1"/>
      <c r="P1917" s="1"/>
      <c r="Q1917" s="1"/>
      <c r="R1917" s="1"/>
      <c r="Z1917" s="103"/>
      <c r="AA1917" s="103"/>
      <c r="AB1917" s="1"/>
    </row>
    <row r="1918" spans="15:28">
      <c r="O1918" s="1"/>
      <c r="P1918" s="1"/>
      <c r="Q1918" s="1"/>
      <c r="R1918" s="1"/>
      <c r="Z1918" s="103"/>
      <c r="AA1918" s="103"/>
      <c r="AB1918" s="1"/>
    </row>
    <row r="1919" spans="15:28">
      <c r="O1919" s="1"/>
      <c r="P1919" s="1"/>
      <c r="Q1919" s="1"/>
      <c r="R1919" s="1"/>
      <c r="Z1919" s="103"/>
      <c r="AA1919" s="103"/>
      <c r="AB1919" s="1"/>
    </row>
    <row r="1920" spans="15:28">
      <c r="O1920" s="1"/>
      <c r="P1920" s="1"/>
      <c r="Q1920" s="1"/>
      <c r="R1920" s="1"/>
      <c r="Z1920" s="103"/>
      <c r="AA1920" s="103"/>
      <c r="AB1920" s="1"/>
    </row>
    <row r="1921" spans="15:28">
      <c r="O1921" s="1"/>
      <c r="P1921" s="1"/>
      <c r="Q1921" s="1"/>
      <c r="R1921" s="1"/>
      <c r="Z1921" s="103"/>
      <c r="AA1921" s="103"/>
      <c r="AB1921" s="1"/>
    </row>
    <row r="1922" spans="15:28">
      <c r="O1922" s="1"/>
      <c r="P1922" s="1"/>
      <c r="Q1922" s="1"/>
      <c r="R1922" s="1"/>
      <c r="Z1922" s="103"/>
      <c r="AA1922" s="103"/>
      <c r="AB1922" s="1"/>
    </row>
    <row r="1923" spans="15:28">
      <c r="O1923" s="1"/>
      <c r="P1923" s="1"/>
      <c r="Q1923" s="1"/>
      <c r="R1923" s="1"/>
      <c r="Z1923" s="103"/>
      <c r="AA1923" s="103"/>
      <c r="AB1923" s="1"/>
    </row>
    <row r="1924" spans="15:28">
      <c r="O1924" s="1"/>
      <c r="P1924" s="1"/>
      <c r="Q1924" s="1"/>
      <c r="R1924" s="1"/>
      <c r="Z1924" s="103"/>
      <c r="AA1924" s="103"/>
      <c r="AB1924" s="1"/>
    </row>
    <row r="1925" spans="15:28">
      <c r="O1925" s="1"/>
      <c r="P1925" s="1"/>
      <c r="Q1925" s="1"/>
      <c r="R1925" s="1"/>
      <c r="Z1925" s="103"/>
      <c r="AA1925" s="103"/>
      <c r="AB1925" s="1"/>
    </row>
    <row r="1926" spans="15:28">
      <c r="O1926" s="1"/>
      <c r="P1926" s="1"/>
      <c r="Q1926" s="1"/>
      <c r="R1926" s="1"/>
      <c r="Z1926" s="103"/>
      <c r="AA1926" s="103"/>
      <c r="AB1926" s="1"/>
    </row>
    <row r="1927" spans="15:28">
      <c r="O1927" s="1"/>
      <c r="P1927" s="1"/>
      <c r="Q1927" s="1"/>
      <c r="R1927" s="1"/>
      <c r="Z1927" s="103"/>
      <c r="AA1927" s="103"/>
      <c r="AB1927" s="1"/>
    </row>
    <row r="1928" spans="15:28">
      <c r="O1928" s="1"/>
      <c r="P1928" s="1"/>
      <c r="Q1928" s="1"/>
      <c r="R1928" s="1"/>
      <c r="Z1928" s="103"/>
      <c r="AA1928" s="103"/>
      <c r="AB1928" s="1"/>
    </row>
    <row r="1929" spans="15:28">
      <c r="O1929" s="1"/>
      <c r="P1929" s="1"/>
      <c r="Q1929" s="1"/>
      <c r="R1929" s="1"/>
      <c r="Z1929" s="103"/>
      <c r="AA1929" s="103"/>
      <c r="AB1929" s="1"/>
    </row>
    <row r="1930" spans="15:28">
      <c r="O1930" s="1"/>
      <c r="P1930" s="1"/>
      <c r="Q1930" s="1"/>
      <c r="R1930" s="1"/>
      <c r="Z1930" s="103"/>
      <c r="AA1930" s="103"/>
      <c r="AB1930" s="1"/>
    </row>
    <row r="1931" spans="15:28">
      <c r="O1931" s="1"/>
      <c r="P1931" s="1"/>
      <c r="Q1931" s="1"/>
      <c r="R1931" s="1"/>
      <c r="Z1931" s="103"/>
      <c r="AA1931" s="103"/>
      <c r="AB1931" s="1"/>
    </row>
    <row r="1932" spans="15:28">
      <c r="O1932" s="1"/>
      <c r="P1932" s="1"/>
      <c r="Q1932" s="1"/>
      <c r="R1932" s="1"/>
      <c r="Z1932" s="103"/>
      <c r="AA1932" s="103"/>
      <c r="AB1932" s="1"/>
    </row>
    <row r="1933" spans="15:28">
      <c r="O1933" s="1"/>
      <c r="P1933" s="1"/>
      <c r="Q1933" s="1"/>
      <c r="R1933" s="1"/>
      <c r="Z1933" s="103"/>
      <c r="AA1933" s="103"/>
      <c r="AB1933" s="1"/>
    </row>
    <row r="1934" spans="15:28">
      <c r="O1934" s="1"/>
      <c r="P1934" s="1"/>
      <c r="Q1934" s="1"/>
      <c r="R1934" s="1"/>
      <c r="Z1934" s="103"/>
      <c r="AA1934" s="103"/>
      <c r="AB1934" s="1"/>
    </row>
    <row r="1935" spans="15:28">
      <c r="O1935" s="1"/>
      <c r="P1935" s="1"/>
      <c r="Q1935" s="1"/>
      <c r="R1935" s="1"/>
      <c r="Z1935" s="103"/>
      <c r="AA1935" s="103"/>
      <c r="AB1935" s="1"/>
    </row>
    <row r="1936" spans="15:28">
      <c r="O1936" s="1"/>
      <c r="P1936" s="1"/>
      <c r="Q1936" s="1"/>
      <c r="R1936" s="1"/>
      <c r="Z1936" s="103"/>
      <c r="AA1936" s="103"/>
      <c r="AB1936" s="1"/>
    </row>
    <row r="1937" spans="15:28">
      <c r="O1937" s="1"/>
      <c r="P1937" s="1"/>
      <c r="Q1937" s="1"/>
      <c r="R1937" s="1"/>
      <c r="Z1937" s="103"/>
      <c r="AA1937" s="103"/>
      <c r="AB1937" s="1"/>
    </row>
    <row r="1938" spans="15:28">
      <c r="O1938" s="1"/>
      <c r="P1938" s="1"/>
      <c r="Q1938" s="1"/>
      <c r="R1938" s="1"/>
      <c r="Z1938" s="103"/>
      <c r="AA1938" s="103"/>
      <c r="AB1938" s="1"/>
    </row>
    <row r="1939" spans="15:28">
      <c r="O1939" s="1"/>
      <c r="P1939" s="1"/>
      <c r="Q1939" s="1"/>
      <c r="R1939" s="1"/>
      <c r="Z1939" s="103"/>
      <c r="AA1939" s="103"/>
      <c r="AB1939" s="1"/>
    </row>
    <row r="1940" spans="15:28">
      <c r="O1940" s="1"/>
      <c r="P1940" s="1"/>
      <c r="Q1940" s="1"/>
      <c r="R1940" s="1"/>
      <c r="Z1940" s="103"/>
      <c r="AA1940" s="103"/>
      <c r="AB1940" s="1"/>
    </row>
    <row r="1941" spans="15:28">
      <c r="O1941" s="1"/>
      <c r="P1941" s="1"/>
      <c r="Q1941" s="1"/>
      <c r="R1941" s="1"/>
      <c r="Z1941" s="103"/>
      <c r="AA1941" s="103"/>
      <c r="AB1941" s="1"/>
    </row>
    <row r="1942" spans="15:28">
      <c r="O1942" s="1"/>
      <c r="P1942" s="1"/>
      <c r="Q1942" s="1"/>
      <c r="R1942" s="1"/>
      <c r="Z1942" s="103"/>
      <c r="AA1942" s="103"/>
      <c r="AB1942" s="1"/>
    </row>
    <row r="1943" spans="15:28">
      <c r="O1943" s="1"/>
      <c r="P1943" s="1"/>
      <c r="Q1943" s="1"/>
      <c r="R1943" s="1"/>
      <c r="Z1943" s="103"/>
      <c r="AA1943" s="103"/>
      <c r="AB1943" s="1"/>
    </row>
    <row r="1944" spans="15:28">
      <c r="O1944" s="1"/>
      <c r="P1944" s="1"/>
      <c r="Q1944" s="1"/>
      <c r="R1944" s="1"/>
      <c r="Z1944" s="103"/>
      <c r="AA1944" s="103"/>
      <c r="AB1944" s="1"/>
    </row>
    <row r="1945" spans="15:28">
      <c r="O1945" s="1"/>
      <c r="P1945" s="1"/>
      <c r="Q1945" s="1"/>
      <c r="R1945" s="1"/>
      <c r="Z1945" s="103"/>
      <c r="AA1945" s="103"/>
      <c r="AB1945" s="1"/>
    </row>
    <row r="1946" spans="15:28">
      <c r="O1946" s="1"/>
      <c r="P1946" s="1"/>
      <c r="Q1946" s="1"/>
      <c r="R1946" s="1"/>
      <c r="Z1946" s="103"/>
      <c r="AA1946" s="103"/>
      <c r="AB1946" s="1"/>
    </row>
    <row r="1947" spans="15:28">
      <c r="O1947" s="1"/>
      <c r="P1947" s="1"/>
      <c r="Q1947" s="1"/>
      <c r="R1947" s="1"/>
      <c r="Z1947" s="103"/>
      <c r="AA1947" s="103"/>
      <c r="AB1947" s="1"/>
    </row>
    <row r="1948" spans="15:28">
      <c r="O1948" s="1"/>
      <c r="P1948" s="1"/>
      <c r="Q1948" s="1"/>
      <c r="R1948" s="1"/>
      <c r="Z1948" s="103"/>
      <c r="AA1948" s="103"/>
      <c r="AB1948" s="1"/>
    </row>
    <row r="1949" spans="15:28">
      <c r="O1949" s="1"/>
      <c r="P1949" s="1"/>
      <c r="Q1949" s="1"/>
      <c r="R1949" s="1"/>
      <c r="Z1949" s="103"/>
      <c r="AA1949" s="103"/>
      <c r="AB1949" s="1"/>
    </row>
    <row r="1950" spans="15:28">
      <c r="O1950" s="1"/>
      <c r="P1950" s="1"/>
      <c r="Q1950" s="1"/>
      <c r="R1950" s="1"/>
      <c r="Z1950" s="103"/>
      <c r="AA1950" s="103"/>
      <c r="AB1950" s="1"/>
    </row>
    <row r="1951" spans="15:28">
      <c r="O1951" s="1"/>
      <c r="P1951" s="1"/>
      <c r="Q1951" s="1"/>
      <c r="R1951" s="1"/>
      <c r="Z1951" s="103"/>
      <c r="AA1951" s="103"/>
      <c r="AB1951" s="1"/>
    </row>
    <row r="1952" spans="15:28">
      <c r="O1952" s="1"/>
      <c r="P1952" s="1"/>
      <c r="Q1952" s="1"/>
      <c r="R1952" s="1"/>
      <c r="Z1952" s="103"/>
      <c r="AA1952" s="103"/>
      <c r="AB1952" s="1"/>
    </row>
    <row r="1953" spans="15:30">
      <c r="O1953" s="1"/>
      <c r="P1953" s="1"/>
      <c r="Q1953" s="1"/>
      <c r="R1953" s="1"/>
      <c r="Z1953" s="103"/>
      <c r="AA1953" s="103"/>
      <c r="AB1953" s="1"/>
    </row>
    <row r="1954" spans="15:30">
      <c r="O1954" s="1"/>
      <c r="P1954" s="1"/>
      <c r="Q1954" s="1"/>
      <c r="R1954" s="1"/>
      <c r="Z1954" s="103"/>
      <c r="AA1954" s="103"/>
      <c r="AB1954" s="1"/>
    </row>
    <row r="1955" spans="15:30">
      <c r="O1955" s="1"/>
      <c r="P1955" s="1"/>
      <c r="Q1955" s="1"/>
      <c r="R1955" s="1"/>
      <c r="Z1955" s="103"/>
      <c r="AA1955" s="103"/>
      <c r="AB1955" s="1"/>
    </row>
    <row r="1956" spans="15:30">
      <c r="O1956" s="1"/>
      <c r="P1956" s="1"/>
      <c r="Q1956" s="1"/>
      <c r="R1956" s="1"/>
      <c r="Z1956" s="103"/>
      <c r="AA1956" s="103"/>
      <c r="AB1956" s="1"/>
    </row>
    <row r="1957" spans="15:30">
      <c r="O1957" s="1"/>
      <c r="P1957" s="1"/>
      <c r="Q1957" s="1"/>
      <c r="R1957" s="1"/>
      <c r="Z1957" s="103"/>
      <c r="AA1957" s="103"/>
      <c r="AB1957" s="1"/>
    </row>
    <row r="1958" spans="15:30">
      <c r="O1958" s="1"/>
      <c r="P1958" s="1"/>
      <c r="Q1958" s="1"/>
      <c r="R1958" s="1"/>
      <c r="Z1958" s="103"/>
      <c r="AA1958" s="103"/>
      <c r="AB1958" s="1"/>
    </row>
    <row r="1959" spans="15:30">
      <c r="O1959" s="1"/>
      <c r="P1959" s="1"/>
      <c r="Q1959" s="1"/>
      <c r="R1959" s="1"/>
      <c r="Z1959" s="103"/>
      <c r="AA1959" s="103"/>
      <c r="AB1959" s="1"/>
    </row>
    <row r="1960" spans="15:30">
      <c r="O1960" s="1"/>
      <c r="P1960" s="1"/>
      <c r="Q1960" s="1"/>
      <c r="R1960" s="1"/>
      <c r="Z1960" s="103"/>
      <c r="AA1960" s="103"/>
      <c r="AB1960" s="1"/>
    </row>
    <row r="1961" spans="15:30">
      <c r="O1961" s="1"/>
      <c r="P1961" s="1"/>
      <c r="Q1961" s="1"/>
      <c r="R1961" s="1"/>
      <c r="Z1961" s="103"/>
      <c r="AA1961" s="103"/>
      <c r="AB1961" s="1"/>
      <c r="AD1961" s="102"/>
    </row>
    <row r="1962" spans="15:30">
      <c r="O1962" s="1"/>
      <c r="P1962" s="1"/>
      <c r="Q1962" s="1"/>
      <c r="R1962" s="1"/>
      <c r="Z1962" s="103"/>
      <c r="AA1962" s="103"/>
      <c r="AB1962" s="1"/>
    </row>
    <row r="1963" spans="15:30">
      <c r="O1963" s="1"/>
      <c r="P1963" s="1"/>
      <c r="Q1963" s="1"/>
      <c r="R1963" s="1"/>
      <c r="Z1963" s="103"/>
      <c r="AA1963" s="103"/>
      <c r="AB1963" s="1"/>
    </row>
    <row r="1964" spans="15:30">
      <c r="O1964" s="1"/>
      <c r="P1964" s="1"/>
      <c r="Q1964" s="1"/>
      <c r="R1964" s="1"/>
      <c r="Z1964" s="103"/>
      <c r="AA1964" s="103"/>
      <c r="AB1964" s="1"/>
    </row>
    <row r="1965" spans="15:30">
      <c r="O1965" s="1"/>
      <c r="P1965" s="1"/>
      <c r="Q1965" s="1"/>
      <c r="R1965" s="1"/>
      <c r="Z1965" s="103"/>
      <c r="AA1965" s="103"/>
      <c r="AB1965" s="1"/>
    </row>
    <row r="1966" spans="15:30">
      <c r="O1966" s="1"/>
      <c r="P1966" s="1"/>
      <c r="Q1966" s="1"/>
      <c r="R1966" s="1"/>
      <c r="Z1966" s="103"/>
      <c r="AA1966" s="103"/>
      <c r="AB1966" s="1"/>
    </row>
    <row r="1967" spans="15:30">
      <c r="O1967" s="1"/>
      <c r="P1967" s="1"/>
      <c r="Q1967" s="1"/>
      <c r="R1967" s="1"/>
      <c r="Z1967" s="103"/>
      <c r="AA1967" s="103"/>
      <c r="AB1967" s="1"/>
    </row>
    <row r="1968" spans="15:30">
      <c r="O1968" s="1"/>
      <c r="P1968" s="1"/>
      <c r="Q1968" s="1"/>
      <c r="R1968" s="1"/>
      <c r="Z1968" s="103"/>
      <c r="AA1968" s="103"/>
      <c r="AB1968" s="1"/>
    </row>
    <row r="1969" spans="15:30">
      <c r="O1969" s="1"/>
      <c r="P1969" s="1"/>
      <c r="Q1969" s="1"/>
      <c r="R1969" s="1"/>
      <c r="Z1969" s="103"/>
      <c r="AA1969" s="103"/>
      <c r="AB1969" s="1"/>
    </row>
    <row r="1970" spans="15:30">
      <c r="O1970" s="1"/>
      <c r="P1970" s="1"/>
      <c r="Q1970" s="1"/>
      <c r="R1970" s="1"/>
      <c r="Z1970" s="103"/>
      <c r="AA1970" s="103"/>
      <c r="AB1970" s="1"/>
    </row>
    <row r="1971" spans="15:30">
      <c r="O1971" s="1"/>
      <c r="P1971" s="1"/>
      <c r="Q1971" s="1"/>
      <c r="R1971" s="1"/>
      <c r="Z1971" s="103"/>
      <c r="AA1971" s="103"/>
      <c r="AB1971" s="1"/>
      <c r="AD1971" s="102"/>
    </row>
    <row r="1972" spans="15:30">
      <c r="O1972" s="1"/>
      <c r="P1972" s="1"/>
      <c r="Q1972" s="1"/>
      <c r="R1972" s="1"/>
      <c r="Z1972" s="103"/>
      <c r="AA1972" s="103"/>
      <c r="AB1972" s="1"/>
    </row>
    <row r="1973" spans="15:30">
      <c r="O1973" s="1"/>
      <c r="P1973" s="1"/>
      <c r="Q1973" s="1"/>
      <c r="R1973" s="1"/>
      <c r="Z1973" s="103"/>
      <c r="AA1973" s="103"/>
      <c r="AB1973" s="1"/>
    </row>
    <row r="1974" spans="15:30">
      <c r="O1974" s="1"/>
      <c r="P1974" s="1"/>
      <c r="Q1974" s="1"/>
      <c r="R1974" s="1"/>
      <c r="Z1974" s="103"/>
      <c r="AA1974" s="103"/>
      <c r="AB1974" s="1"/>
    </row>
    <row r="1975" spans="15:30">
      <c r="O1975" s="1"/>
      <c r="P1975" s="1"/>
      <c r="Q1975" s="1"/>
      <c r="R1975" s="1"/>
      <c r="Z1975" s="103"/>
      <c r="AA1975" s="103"/>
      <c r="AB1975" s="1"/>
    </row>
    <row r="1976" spans="15:30">
      <c r="O1976" s="1"/>
      <c r="P1976" s="1"/>
      <c r="Q1976" s="1"/>
      <c r="R1976" s="1"/>
      <c r="Z1976" s="103"/>
      <c r="AA1976" s="103"/>
      <c r="AB1976" s="1"/>
    </row>
    <row r="1977" spans="15:30">
      <c r="O1977" s="1"/>
      <c r="P1977" s="1"/>
      <c r="Q1977" s="1"/>
      <c r="R1977" s="1"/>
      <c r="Z1977" s="103"/>
      <c r="AA1977" s="103"/>
      <c r="AB1977" s="1"/>
    </row>
    <row r="1978" spans="15:30">
      <c r="O1978" s="1"/>
      <c r="P1978" s="1"/>
      <c r="Q1978" s="1"/>
      <c r="R1978" s="1"/>
      <c r="Z1978" s="103"/>
      <c r="AA1978" s="103"/>
      <c r="AB1978" s="1"/>
    </row>
    <row r="1979" spans="15:30">
      <c r="O1979" s="1"/>
      <c r="P1979" s="1"/>
      <c r="Q1979" s="1"/>
      <c r="R1979" s="1"/>
      <c r="Z1979" s="103"/>
      <c r="AA1979" s="103"/>
      <c r="AB1979" s="1"/>
    </row>
    <row r="1980" spans="15:30">
      <c r="O1980" s="1"/>
      <c r="P1980" s="1"/>
      <c r="Q1980" s="1"/>
      <c r="R1980" s="1"/>
      <c r="Z1980" s="103"/>
      <c r="AA1980" s="103"/>
      <c r="AB1980" s="1"/>
    </row>
    <row r="1981" spans="15:30">
      <c r="O1981" s="1"/>
      <c r="P1981" s="1"/>
      <c r="Q1981" s="1"/>
      <c r="R1981" s="1"/>
      <c r="Z1981" s="103"/>
      <c r="AA1981" s="103"/>
      <c r="AB1981" s="1"/>
    </row>
    <row r="1982" spans="15:30">
      <c r="O1982" s="1"/>
      <c r="P1982" s="1"/>
      <c r="Q1982" s="1"/>
      <c r="R1982" s="1"/>
      <c r="Z1982" s="103"/>
      <c r="AA1982" s="103"/>
      <c r="AB1982" s="1"/>
    </row>
    <row r="1983" spans="15:30">
      <c r="O1983" s="1"/>
      <c r="P1983" s="1"/>
      <c r="Q1983" s="1"/>
      <c r="R1983" s="1"/>
      <c r="Z1983" s="103"/>
      <c r="AA1983" s="103"/>
      <c r="AB1983" s="1"/>
    </row>
    <row r="1984" spans="15:30">
      <c r="O1984" s="1"/>
      <c r="P1984" s="1"/>
      <c r="Q1984" s="1"/>
      <c r="R1984" s="1"/>
      <c r="Z1984" s="103"/>
      <c r="AA1984" s="103"/>
      <c r="AB1984" s="1"/>
    </row>
    <row r="1985" spans="15:28">
      <c r="O1985" s="1"/>
      <c r="P1985" s="1"/>
      <c r="Q1985" s="1"/>
      <c r="R1985" s="1"/>
      <c r="Z1985" s="103"/>
      <c r="AA1985" s="103"/>
      <c r="AB1985" s="1"/>
    </row>
    <row r="1986" spans="15:28">
      <c r="O1986" s="1"/>
      <c r="P1986" s="1"/>
      <c r="Q1986" s="1"/>
      <c r="R1986" s="1"/>
      <c r="Z1986" s="103"/>
      <c r="AA1986" s="103"/>
      <c r="AB1986" s="1"/>
    </row>
    <row r="1987" spans="15:28">
      <c r="O1987" s="1"/>
      <c r="P1987" s="1"/>
      <c r="Q1987" s="1"/>
      <c r="R1987" s="1"/>
      <c r="Z1987" s="103"/>
      <c r="AA1987" s="103"/>
      <c r="AB1987" s="1"/>
    </row>
    <row r="1988" spans="15:28">
      <c r="O1988" s="1"/>
      <c r="P1988" s="1"/>
      <c r="Q1988" s="1"/>
      <c r="R1988" s="1"/>
      <c r="Z1988" s="103"/>
      <c r="AA1988" s="103"/>
      <c r="AB1988" s="1"/>
    </row>
    <row r="1989" spans="15:28">
      <c r="O1989" s="1"/>
      <c r="P1989" s="1"/>
      <c r="Q1989" s="1"/>
      <c r="R1989" s="1"/>
      <c r="Z1989" s="103"/>
      <c r="AA1989" s="103"/>
      <c r="AB1989" s="1"/>
    </row>
    <row r="1990" spans="15:28">
      <c r="O1990" s="1"/>
      <c r="P1990" s="1"/>
      <c r="Q1990" s="1"/>
      <c r="R1990" s="1"/>
      <c r="Z1990" s="103"/>
      <c r="AA1990" s="103"/>
      <c r="AB1990" s="1"/>
    </row>
    <row r="1991" spans="15:28">
      <c r="O1991" s="1"/>
      <c r="P1991" s="1"/>
      <c r="Q1991" s="1"/>
      <c r="R1991" s="1"/>
      <c r="Z1991" s="103"/>
      <c r="AA1991" s="103"/>
      <c r="AB1991" s="1"/>
    </row>
    <row r="1992" spans="15:28">
      <c r="O1992" s="1"/>
      <c r="P1992" s="1"/>
      <c r="Q1992" s="1"/>
      <c r="R1992" s="1"/>
      <c r="Z1992" s="103"/>
      <c r="AA1992" s="103"/>
      <c r="AB1992" s="1"/>
    </row>
    <row r="1993" spans="15:28">
      <c r="O1993" s="1"/>
      <c r="P1993" s="1"/>
      <c r="Q1993" s="1"/>
      <c r="R1993" s="1"/>
      <c r="Z1993" s="103"/>
      <c r="AA1993" s="103"/>
      <c r="AB1993" s="1"/>
    </row>
    <row r="1994" spans="15:28">
      <c r="O1994" s="1"/>
      <c r="P1994" s="1"/>
      <c r="Q1994" s="1"/>
      <c r="R1994" s="1"/>
      <c r="Z1994" s="103"/>
      <c r="AA1994" s="103"/>
      <c r="AB1994" s="1"/>
    </row>
    <row r="1995" spans="15:28">
      <c r="O1995" s="1"/>
      <c r="P1995" s="1"/>
      <c r="Q1995" s="1"/>
      <c r="R1995" s="1"/>
      <c r="Z1995" s="103"/>
      <c r="AA1995" s="103"/>
      <c r="AB1995" s="1"/>
    </row>
    <row r="1996" spans="15:28">
      <c r="O1996" s="1"/>
      <c r="P1996" s="1"/>
      <c r="Q1996" s="1"/>
      <c r="R1996" s="1"/>
      <c r="Z1996" s="103"/>
      <c r="AA1996" s="103"/>
      <c r="AB1996" s="1"/>
    </row>
    <row r="1997" spans="15:28">
      <c r="O1997" s="1"/>
      <c r="P1997" s="1"/>
      <c r="Q1997" s="1"/>
      <c r="R1997" s="1"/>
      <c r="Z1997" s="103"/>
      <c r="AA1997" s="103"/>
      <c r="AB1997" s="1"/>
    </row>
    <row r="1998" spans="15:28">
      <c r="O1998" s="1"/>
      <c r="P1998" s="1"/>
      <c r="Q1998" s="1"/>
      <c r="R1998" s="1"/>
      <c r="Z1998" s="103"/>
      <c r="AA1998" s="103"/>
      <c r="AB1998" s="1"/>
    </row>
    <row r="1999" spans="15:28">
      <c r="O1999" s="1"/>
      <c r="P1999" s="1"/>
      <c r="Q1999" s="1"/>
      <c r="R1999" s="1"/>
      <c r="Z1999" s="103"/>
      <c r="AA1999" s="103"/>
      <c r="AB1999" s="1"/>
    </row>
    <row r="2000" spans="15:28">
      <c r="O2000" s="1"/>
      <c r="P2000" s="1"/>
      <c r="Q2000" s="1"/>
      <c r="R2000" s="1"/>
      <c r="Z2000" s="103"/>
      <c r="AA2000" s="103"/>
      <c r="AB2000" s="1"/>
    </row>
    <row r="2001" spans="15:28">
      <c r="O2001" s="1"/>
      <c r="P2001" s="1"/>
      <c r="Q2001" s="1"/>
      <c r="R2001" s="1"/>
      <c r="Z2001" s="103"/>
      <c r="AA2001" s="103"/>
      <c r="AB2001" s="1"/>
    </row>
    <row r="2002" spans="15:28">
      <c r="O2002" s="1"/>
      <c r="P2002" s="1"/>
      <c r="Q2002" s="1"/>
      <c r="R2002" s="1"/>
      <c r="Z2002" s="103"/>
      <c r="AA2002" s="103"/>
      <c r="AB2002" s="1"/>
    </row>
    <row r="2003" spans="15:28">
      <c r="O2003" s="1"/>
      <c r="P2003" s="1"/>
      <c r="Q2003" s="1"/>
      <c r="R2003" s="1"/>
      <c r="Z2003" s="103"/>
      <c r="AA2003" s="103"/>
      <c r="AB2003" s="1"/>
    </row>
    <row r="2004" spans="15:28">
      <c r="O2004" s="1"/>
      <c r="P2004" s="1"/>
      <c r="Q2004" s="1"/>
      <c r="R2004" s="1"/>
      <c r="Z2004" s="103"/>
      <c r="AA2004" s="103"/>
      <c r="AB2004" s="1"/>
    </row>
    <row r="2005" spans="15:28">
      <c r="O2005" s="1"/>
      <c r="P2005" s="1"/>
      <c r="Q2005" s="1"/>
      <c r="R2005" s="1"/>
      <c r="Z2005" s="103"/>
      <c r="AA2005" s="103"/>
      <c r="AB2005" s="1"/>
    </row>
    <row r="2006" spans="15:28">
      <c r="O2006" s="1"/>
      <c r="P2006" s="1"/>
      <c r="Q2006" s="1"/>
      <c r="R2006" s="1"/>
      <c r="Z2006" s="103"/>
      <c r="AA2006" s="103"/>
      <c r="AB2006" s="1"/>
    </row>
    <row r="2007" spans="15:28">
      <c r="O2007" s="1"/>
      <c r="P2007" s="1"/>
      <c r="Q2007" s="1"/>
      <c r="R2007" s="1"/>
      <c r="Z2007" s="103"/>
      <c r="AA2007" s="103"/>
      <c r="AB2007" s="1"/>
    </row>
    <row r="2008" spans="15:28">
      <c r="O2008" s="1"/>
      <c r="P2008" s="1"/>
      <c r="Q2008" s="1"/>
      <c r="R2008" s="1"/>
      <c r="Z2008" s="103"/>
      <c r="AA2008" s="103"/>
      <c r="AB2008" s="1"/>
    </row>
    <row r="2009" spans="15:28">
      <c r="O2009" s="1"/>
      <c r="P2009" s="1"/>
      <c r="Q2009" s="1"/>
      <c r="R2009" s="1"/>
      <c r="Z2009" s="103"/>
      <c r="AA2009" s="103"/>
      <c r="AB2009" s="1"/>
    </row>
    <row r="2010" spans="15:28">
      <c r="O2010" s="1"/>
      <c r="P2010" s="1"/>
      <c r="Q2010" s="1"/>
      <c r="R2010" s="1"/>
      <c r="Z2010" s="103"/>
      <c r="AA2010" s="103"/>
      <c r="AB2010" s="1"/>
    </row>
    <row r="2011" spans="15:28">
      <c r="O2011" s="1"/>
      <c r="P2011" s="1"/>
      <c r="Q2011" s="1"/>
      <c r="R2011" s="1"/>
      <c r="Z2011" s="103"/>
      <c r="AA2011" s="103"/>
      <c r="AB2011" s="1"/>
    </row>
    <row r="2012" spans="15:28">
      <c r="O2012" s="1"/>
      <c r="P2012" s="1"/>
      <c r="Q2012" s="1"/>
      <c r="R2012" s="1"/>
      <c r="Z2012" s="103"/>
      <c r="AA2012" s="103"/>
      <c r="AB2012" s="1"/>
    </row>
    <row r="2013" spans="15:28">
      <c r="O2013" s="1"/>
      <c r="P2013" s="1"/>
      <c r="Q2013" s="1"/>
      <c r="R2013" s="1"/>
      <c r="Z2013" s="103"/>
      <c r="AA2013" s="103"/>
      <c r="AB2013" s="1"/>
    </row>
    <row r="2014" spans="15:28">
      <c r="O2014" s="1"/>
      <c r="P2014" s="1"/>
      <c r="Q2014" s="1"/>
      <c r="R2014" s="1"/>
      <c r="Z2014" s="103"/>
      <c r="AA2014" s="103"/>
      <c r="AB2014" s="1"/>
    </row>
    <row r="2015" spans="15:28">
      <c r="O2015" s="1"/>
      <c r="P2015" s="1"/>
      <c r="Q2015" s="1"/>
      <c r="R2015" s="1"/>
      <c r="Z2015" s="103"/>
      <c r="AA2015" s="103"/>
      <c r="AB2015" s="1"/>
    </row>
    <row r="2016" spans="15:28">
      <c r="O2016" s="1"/>
      <c r="P2016" s="1"/>
      <c r="Q2016" s="1"/>
      <c r="R2016" s="1"/>
      <c r="Z2016" s="103"/>
      <c r="AA2016" s="103"/>
      <c r="AB2016" s="1"/>
    </row>
    <row r="2017" spans="15:28">
      <c r="O2017" s="1"/>
      <c r="P2017" s="1"/>
      <c r="Q2017" s="1"/>
      <c r="R2017" s="1"/>
      <c r="Z2017" s="103"/>
      <c r="AA2017" s="103"/>
      <c r="AB2017" s="1"/>
    </row>
    <row r="2018" spans="15:28">
      <c r="O2018" s="1"/>
      <c r="P2018" s="1"/>
      <c r="Q2018" s="1"/>
      <c r="R2018" s="1"/>
      <c r="Z2018" s="103"/>
      <c r="AA2018" s="103"/>
      <c r="AB2018" s="1"/>
    </row>
    <row r="2019" spans="15:28">
      <c r="O2019" s="1"/>
      <c r="P2019" s="1"/>
      <c r="Q2019" s="1"/>
      <c r="R2019" s="1"/>
      <c r="Z2019" s="103"/>
      <c r="AA2019" s="103"/>
      <c r="AB2019" s="1"/>
    </row>
    <row r="2020" spans="15:28">
      <c r="O2020" s="1"/>
      <c r="P2020" s="1"/>
      <c r="Q2020" s="1"/>
      <c r="R2020" s="1"/>
      <c r="Z2020" s="103"/>
      <c r="AA2020" s="103"/>
      <c r="AB2020" s="1"/>
    </row>
    <row r="2021" spans="15:28">
      <c r="O2021" s="1"/>
      <c r="P2021" s="1"/>
      <c r="Q2021" s="1"/>
      <c r="R2021" s="1"/>
      <c r="Z2021" s="103"/>
      <c r="AA2021" s="103"/>
      <c r="AB2021" s="1"/>
    </row>
    <row r="2022" spans="15:28">
      <c r="O2022" s="1"/>
      <c r="P2022" s="1"/>
      <c r="Q2022" s="1"/>
      <c r="R2022" s="1"/>
      <c r="Z2022" s="103"/>
      <c r="AA2022" s="103"/>
      <c r="AB2022" s="1"/>
    </row>
    <row r="2023" spans="15:28">
      <c r="O2023" s="1"/>
      <c r="P2023" s="1"/>
      <c r="Q2023" s="1"/>
      <c r="R2023" s="1"/>
      <c r="Z2023" s="103"/>
      <c r="AA2023" s="103"/>
      <c r="AB2023" s="1"/>
    </row>
    <row r="2024" spans="15:28">
      <c r="O2024" s="1"/>
      <c r="P2024" s="1"/>
      <c r="Q2024" s="1"/>
      <c r="R2024" s="1"/>
      <c r="Z2024" s="103"/>
      <c r="AA2024" s="103"/>
      <c r="AB2024" s="1"/>
    </row>
    <row r="2025" spans="15:28">
      <c r="O2025" s="1"/>
      <c r="P2025" s="1"/>
      <c r="Q2025" s="1"/>
      <c r="R2025" s="1"/>
      <c r="Z2025" s="103"/>
      <c r="AA2025" s="103"/>
      <c r="AB2025" s="1"/>
    </row>
    <row r="2026" spans="15:28">
      <c r="O2026" s="1"/>
      <c r="P2026" s="1"/>
      <c r="Q2026" s="1"/>
      <c r="R2026" s="1"/>
      <c r="Z2026" s="103"/>
      <c r="AA2026" s="103"/>
      <c r="AB2026" s="1"/>
    </row>
    <row r="2027" spans="15:28">
      <c r="O2027" s="1"/>
      <c r="P2027" s="1"/>
      <c r="Q2027" s="1"/>
      <c r="R2027" s="1"/>
      <c r="Z2027" s="103"/>
      <c r="AA2027" s="103"/>
      <c r="AB2027" s="1"/>
    </row>
    <row r="2028" spans="15:28">
      <c r="O2028" s="1"/>
      <c r="P2028" s="1"/>
      <c r="Q2028" s="1"/>
      <c r="R2028" s="1"/>
      <c r="Z2028" s="103"/>
      <c r="AA2028" s="103"/>
      <c r="AB2028" s="1"/>
    </row>
    <row r="2029" spans="15:28">
      <c r="O2029" s="1"/>
      <c r="P2029" s="1"/>
      <c r="Q2029" s="1"/>
      <c r="R2029" s="1"/>
      <c r="Z2029" s="103"/>
      <c r="AA2029" s="103"/>
      <c r="AB2029" s="1"/>
    </row>
    <row r="2030" spans="15:28">
      <c r="O2030" s="1"/>
      <c r="P2030" s="1"/>
      <c r="Q2030" s="1"/>
      <c r="R2030" s="1"/>
      <c r="Z2030" s="103"/>
      <c r="AA2030" s="103"/>
      <c r="AB2030" s="1"/>
    </row>
    <row r="2031" spans="15:28">
      <c r="O2031" s="1"/>
      <c r="P2031" s="1"/>
      <c r="Q2031" s="1"/>
      <c r="R2031" s="1"/>
      <c r="Z2031" s="103"/>
      <c r="AA2031" s="103"/>
      <c r="AB2031" s="1"/>
    </row>
    <row r="2032" spans="15:28">
      <c r="O2032" s="1"/>
      <c r="P2032" s="1"/>
      <c r="Q2032" s="1"/>
      <c r="R2032" s="1"/>
      <c r="Z2032" s="103"/>
      <c r="AA2032" s="103"/>
      <c r="AB2032" s="1"/>
    </row>
    <row r="2033" spans="15:30">
      <c r="O2033" s="1"/>
      <c r="P2033" s="1"/>
      <c r="Q2033" s="1"/>
      <c r="R2033" s="1"/>
      <c r="Z2033" s="103"/>
      <c r="AA2033" s="103"/>
      <c r="AB2033" s="1"/>
    </row>
    <row r="2034" spans="15:30">
      <c r="O2034" s="1"/>
      <c r="P2034" s="1"/>
      <c r="Q2034" s="1"/>
      <c r="R2034" s="1"/>
      <c r="Z2034" s="103"/>
      <c r="AA2034" s="103"/>
      <c r="AB2034" s="1"/>
      <c r="AD2034" s="102"/>
    </row>
    <row r="2035" spans="15:30">
      <c r="O2035" s="1"/>
      <c r="P2035" s="1"/>
      <c r="Q2035" s="1"/>
      <c r="R2035" s="1"/>
      <c r="Z2035" s="103"/>
      <c r="AA2035" s="103"/>
      <c r="AB2035" s="1"/>
    </row>
    <row r="2036" spans="15:30">
      <c r="O2036" s="1"/>
      <c r="P2036" s="1"/>
      <c r="Q2036" s="1"/>
      <c r="R2036" s="1"/>
      <c r="Z2036" s="103"/>
      <c r="AA2036" s="103"/>
      <c r="AB2036" s="1"/>
    </row>
    <row r="2037" spans="15:30">
      <c r="O2037" s="1"/>
      <c r="P2037" s="1"/>
      <c r="Q2037" s="1"/>
      <c r="R2037" s="1"/>
      <c r="Z2037" s="103"/>
      <c r="AA2037" s="103"/>
      <c r="AB2037" s="1"/>
    </row>
    <row r="2038" spans="15:30">
      <c r="O2038" s="1"/>
      <c r="P2038" s="1"/>
      <c r="Q2038" s="1"/>
      <c r="R2038" s="1"/>
      <c r="Z2038" s="103"/>
      <c r="AA2038" s="103"/>
      <c r="AB2038" s="1"/>
    </row>
    <row r="2039" spans="15:30">
      <c r="O2039" s="1"/>
      <c r="P2039" s="1"/>
      <c r="Q2039" s="1"/>
      <c r="R2039" s="1"/>
      <c r="Z2039" s="103"/>
      <c r="AA2039" s="103"/>
      <c r="AB2039" s="1"/>
    </row>
    <row r="2040" spans="15:30">
      <c r="O2040" s="1"/>
      <c r="P2040" s="1"/>
      <c r="Q2040" s="1"/>
      <c r="R2040" s="1"/>
      <c r="Z2040" s="103"/>
      <c r="AA2040" s="103"/>
      <c r="AB2040" s="1"/>
    </row>
    <row r="2041" spans="15:30">
      <c r="O2041" s="1"/>
      <c r="P2041" s="1"/>
      <c r="Q2041" s="1"/>
      <c r="R2041" s="1"/>
      <c r="Z2041" s="103"/>
      <c r="AA2041" s="103"/>
      <c r="AB2041" s="1"/>
    </row>
    <row r="2042" spans="15:30">
      <c r="O2042" s="1"/>
      <c r="P2042" s="1"/>
      <c r="Q2042" s="1"/>
      <c r="R2042" s="1"/>
      <c r="Z2042" s="103"/>
      <c r="AA2042" s="103"/>
      <c r="AB2042" s="1"/>
    </row>
    <row r="2043" spans="15:30">
      <c r="O2043" s="1"/>
      <c r="P2043" s="1"/>
      <c r="Q2043" s="1"/>
      <c r="R2043" s="1"/>
      <c r="Z2043" s="103"/>
      <c r="AA2043" s="103"/>
      <c r="AB2043" s="1"/>
    </row>
    <row r="2044" spans="15:30">
      <c r="O2044" s="1"/>
      <c r="P2044" s="1"/>
      <c r="Q2044" s="1"/>
      <c r="R2044" s="1"/>
      <c r="Z2044" s="103"/>
      <c r="AA2044" s="103"/>
      <c r="AB2044" s="1"/>
    </row>
    <row r="2045" spans="15:30">
      <c r="O2045" s="1"/>
      <c r="P2045" s="1"/>
      <c r="Q2045" s="1"/>
      <c r="R2045" s="1"/>
      <c r="Z2045" s="103"/>
      <c r="AA2045" s="103"/>
      <c r="AB2045" s="1"/>
    </row>
    <row r="2046" spans="15:30">
      <c r="O2046" s="1"/>
      <c r="P2046" s="1"/>
      <c r="Q2046" s="1"/>
      <c r="R2046" s="1"/>
      <c r="Z2046" s="103"/>
      <c r="AA2046" s="103"/>
      <c r="AB2046" s="1"/>
    </row>
    <row r="2047" spans="15:30">
      <c r="O2047" s="1"/>
      <c r="P2047" s="1"/>
      <c r="Q2047" s="1"/>
      <c r="R2047" s="1"/>
      <c r="Z2047" s="103"/>
      <c r="AA2047" s="103"/>
      <c r="AB2047" s="1"/>
    </row>
    <row r="2048" spans="15:30">
      <c r="O2048" s="1"/>
      <c r="P2048" s="1"/>
      <c r="Q2048" s="1"/>
      <c r="R2048" s="1"/>
      <c r="Z2048" s="103"/>
      <c r="AA2048" s="103"/>
      <c r="AB2048" s="1"/>
    </row>
    <row r="2049" spans="15:30">
      <c r="O2049" s="1"/>
      <c r="P2049" s="1"/>
      <c r="Q2049" s="1"/>
      <c r="R2049" s="1"/>
      <c r="Z2049" s="103"/>
      <c r="AA2049" s="103"/>
      <c r="AB2049" s="1"/>
    </row>
    <row r="2050" spans="15:30">
      <c r="O2050" s="1"/>
      <c r="P2050" s="1"/>
      <c r="Q2050" s="1"/>
      <c r="R2050" s="1"/>
      <c r="Z2050" s="103"/>
      <c r="AA2050" s="103"/>
      <c r="AB2050" s="1"/>
    </row>
    <row r="2051" spans="15:30">
      <c r="O2051" s="1"/>
      <c r="P2051" s="1"/>
      <c r="Q2051" s="1"/>
      <c r="R2051" s="1"/>
      <c r="Z2051" s="103"/>
      <c r="AA2051" s="103"/>
      <c r="AB2051" s="1"/>
    </row>
    <row r="2052" spans="15:30">
      <c r="O2052" s="1"/>
      <c r="P2052" s="1"/>
      <c r="Q2052" s="1"/>
      <c r="R2052" s="1"/>
      <c r="Z2052" s="103"/>
      <c r="AA2052" s="103"/>
      <c r="AB2052" s="1"/>
    </row>
    <row r="2053" spans="15:30">
      <c r="O2053" s="1"/>
      <c r="P2053" s="1"/>
      <c r="Q2053" s="1"/>
      <c r="R2053" s="1"/>
      <c r="Z2053" s="103"/>
      <c r="AA2053" s="103"/>
      <c r="AB2053" s="1"/>
    </row>
    <row r="2054" spans="15:30">
      <c r="O2054" s="1"/>
      <c r="P2054" s="1"/>
      <c r="Q2054" s="1"/>
      <c r="R2054" s="1"/>
      <c r="Z2054" s="103"/>
      <c r="AA2054" s="103"/>
      <c r="AB2054" s="1"/>
    </row>
    <row r="2055" spans="15:30">
      <c r="O2055" s="1"/>
      <c r="P2055" s="1"/>
      <c r="Q2055" s="1"/>
      <c r="R2055" s="1"/>
      <c r="Z2055" s="103"/>
      <c r="AA2055" s="103"/>
      <c r="AB2055" s="1"/>
      <c r="AD2055" s="102"/>
    </row>
    <row r="2056" spans="15:30">
      <c r="O2056" s="1"/>
      <c r="P2056" s="1"/>
      <c r="Q2056" s="1"/>
      <c r="R2056" s="1"/>
      <c r="Z2056" s="103"/>
      <c r="AA2056" s="103"/>
      <c r="AB2056" s="1"/>
    </row>
    <row r="2057" spans="15:30">
      <c r="O2057" s="1"/>
      <c r="P2057" s="1"/>
      <c r="Q2057" s="1"/>
      <c r="R2057" s="1"/>
      <c r="Z2057" s="103"/>
      <c r="AA2057" s="103"/>
      <c r="AB2057" s="1"/>
    </row>
    <row r="2058" spans="15:30">
      <c r="O2058" s="1"/>
      <c r="P2058" s="1"/>
      <c r="Q2058" s="1"/>
      <c r="R2058" s="1"/>
      <c r="Z2058" s="103"/>
      <c r="AA2058" s="103"/>
      <c r="AB2058" s="1"/>
    </row>
    <row r="2059" spans="15:30">
      <c r="O2059" s="1"/>
      <c r="P2059" s="1"/>
      <c r="Q2059" s="1"/>
      <c r="R2059" s="1"/>
      <c r="Z2059" s="103"/>
      <c r="AA2059" s="103"/>
      <c r="AB2059" s="1"/>
    </row>
    <row r="2060" spans="15:30">
      <c r="O2060" s="1"/>
      <c r="P2060" s="1"/>
      <c r="Q2060" s="1"/>
      <c r="R2060" s="1"/>
      <c r="Z2060" s="103"/>
      <c r="AA2060" s="103"/>
      <c r="AB2060" s="1"/>
    </row>
    <row r="2061" spans="15:30">
      <c r="O2061" s="1"/>
      <c r="P2061" s="1"/>
      <c r="Q2061" s="1"/>
      <c r="R2061" s="1"/>
      <c r="Z2061" s="103"/>
      <c r="AA2061" s="103"/>
      <c r="AB2061" s="1"/>
    </row>
    <row r="2062" spans="15:30">
      <c r="O2062" s="1"/>
      <c r="P2062" s="1"/>
      <c r="Q2062" s="1"/>
      <c r="R2062" s="1"/>
      <c r="Z2062" s="103"/>
      <c r="AA2062" s="103"/>
      <c r="AB2062" s="1"/>
    </row>
    <row r="2063" spans="15:30">
      <c r="O2063" s="1"/>
      <c r="P2063" s="1"/>
      <c r="Q2063" s="1"/>
      <c r="R2063" s="1"/>
      <c r="Z2063" s="103"/>
      <c r="AA2063" s="103"/>
      <c r="AB2063" s="1"/>
    </row>
    <row r="2064" spans="15:30">
      <c r="O2064" s="1"/>
      <c r="P2064" s="1"/>
      <c r="Q2064" s="1"/>
      <c r="R2064" s="1"/>
      <c r="Z2064" s="103"/>
      <c r="AA2064" s="103"/>
      <c r="AB2064" s="1"/>
    </row>
    <row r="2065" spans="15:28">
      <c r="O2065" s="1"/>
      <c r="P2065" s="1"/>
      <c r="Q2065" s="1"/>
      <c r="R2065" s="1"/>
      <c r="Z2065" s="103"/>
      <c r="AA2065" s="103"/>
      <c r="AB2065" s="1"/>
    </row>
    <row r="2066" spans="15:28">
      <c r="O2066" s="1"/>
      <c r="P2066" s="1"/>
      <c r="Q2066" s="1"/>
      <c r="R2066" s="1"/>
      <c r="Z2066" s="103"/>
      <c r="AA2066" s="103"/>
      <c r="AB2066" s="1"/>
    </row>
    <row r="2067" spans="15:28">
      <c r="O2067" s="1"/>
      <c r="P2067" s="1"/>
      <c r="Q2067" s="1"/>
      <c r="R2067" s="1"/>
      <c r="Z2067" s="103"/>
      <c r="AA2067" s="103"/>
      <c r="AB2067" s="1"/>
    </row>
    <row r="2068" spans="15:28">
      <c r="O2068" s="1"/>
      <c r="P2068" s="1"/>
      <c r="Q2068" s="1"/>
      <c r="R2068" s="1"/>
      <c r="Z2068" s="103"/>
      <c r="AA2068" s="103"/>
      <c r="AB2068" s="1"/>
    </row>
    <row r="2069" spans="15:28">
      <c r="O2069" s="1"/>
      <c r="P2069" s="1"/>
      <c r="Q2069" s="1"/>
      <c r="R2069" s="1"/>
      <c r="Z2069" s="103"/>
      <c r="AA2069" s="103"/>
      <c r="AB2069" s="1"/>
    </row>
    <row r="2070" spans="15:28">
      <c r="O2070" s="1"/>
      <c r="P2070" s="1"/>
      <c r="Q2070" s="1"/>
      <c r="R2070" s="1"/>
      <c r="Z2070" s="103"/>
      <c r="AA2070" s="103"/>
      <c r="AB2070" s="1"/>
    </row>
    <row r="2071" spans="15:28">
      <c r="O2071" s="1"/>
      <c r="P2071" s="1"/>
      <c r="Q2071" s="1"/>
      <c r="R2071" s="1"/>
      <c r="Z2071" s="103"/>
      <c r="AA2071" s="103"/>
      <c r="AB2071" s="1"/>
    </row>
    <row r="2072" spans="15:28">
      <c r="O2072" s="1"/>
      <c r="P2072" s="1"/>
      <c r="Q2072" s="1"/>
      <c r="R2072" s="1"/>
      <c r="Z2072" s="103"/>
      <c r="AA2072" s="103"/>
      <c r="AB2072" s="1"/>
    </row>
    <row r="2073" spans="15:28">
      <c r="O2073" s="1"/>
      <c r="P2073" s="1"/>
      <c r="Q2073" s="1"/>
      <c r="R2073" s="1"/>
      <c r="Z2073" s="103"/>
      <c r="AA2073" s="103"/>
      <c r="AB2073" s="1"/>
    </row>
    <row r="2074" spans="15:28">
      <c r="O2074" s="1"/>
      <c r="P2074" s="1"/>
      <c r="Q2074" s="1"/>
      <c r="R2074" s="1"/>
      <c r="Z2074" s="103"/>
      <c r="AA2074" s="103"/>
      <c r="AB2074" s="1"/>
    </row>
    <row r="2075" spans="15:28">
      <c r="O2075" s="1"/>
      <c r="P2075" s="1"/>
      <c r="Q2075" s="1"/>
      <c r="R2075" s="1"/>
      <c r="Z2075" s="103"/>
      <c r="AA2075" s="103"/>
      <c r="AB2075" s="1"/>
    </row>
    <row r="2076" spans="15:28">
      <c r="O2076" s="1"/>
      <c r="P2076" s="1"/>
      <c r="Q2076" s="1"/>
      <c r="R2076" s="1"/>
      <c r="Z2076" s="103"/>
      <c r="AA2076" s="103"/>
      <c r="AB2076" s="1"/>
    </row>
    <row r="2077" spans="15:28">
      <c r="O2077" s="1"/>
      <c r="P2077" s="1"/>
      <c r="Q2077" s="1"/>
      <c r="R2077" s="1"/>
      <c r="Z2077" s="103"/>
      <c r="AA2077" s="103"/>
      <c r="AB2077" s="1"/>
    </row>
    <row r="2078" spans="15:28">
      <c r="O2078" s="1"/>
      <c r="P2078" s="1"/>
      <c r="Q2078" s="1"/>
      <c r="R2078" s="1"/>
      <c r="Z2078" s="103"/>
      <c r="AA2078" s="103"/>
      <c r="AB2078" s="1"/>
    </row>
    <row r="2079" spans="15:28">
      <c r="O2079" s="1"/>
      <c r="P2079" s="1"/>
      <c r="Q2079" s="1"/>
      <c r="R2079" s="1"/>
      <c r="Z2079" s="103"/>
      <c r="AA2079" s="103"/>
      <c r="AB2079" s="1"/>
    </row>
    <row r="2080" spans="15:28">
      <c r="O2080" s="1"/>
      <c r="P2080" s="1"/>
      <c r="Q2080" s="1"/>
      <c r="R2080" s="1"/>
      <c r="Z2080" s="103"/>
      <c r="AA2080" s="103"/>
      <c r="AB2080" s="1"/>
    </row>
    <row r="2081" spans="15:28">
      <c r="O2081" s="1"/>
      <c r="P2081" s="1"/>
      <c r="Q2081" s="1"/>
      <c r="R2081" s="1"/>
      <c r="Z2081" s="103"/>
      <c r="AA2081" s="103"/>
      <c r="AB2081" s="1"/>
    </row>
    <row r="2082" spans="15:28">
      <c r="O2082" s="1"/>
      <c r="P2082" s="1"/>
      <c r="Q2082" s="1"/>
      <c r="R2082" s="1"/>
      <c r="Z2082" s="103"/>
      <c r="AA2082" s="103"/>
      <c r="AB2082" s="1"/>
    </row>
    <row r="2083" spans="15:28">
      <c r="O2083" s="1"/>
      <c r="P2083" s="1"/>
      <c r="Q2083" s="1"/>
      <c r="R2083" s="1"/>
      <c r="Z2083" s="103"/>
      <c r="AA2083" s="103"/>
      <c r="AB2083" s="1"/>
    </row>
    <row r="2084" spans="15:28">
      <c r="O2084" s="1"/>
      <c r="P2084" s="1"/>
      <c r="Q2084" s="1"/>
      <c r="R2084" s="1"/>
      <c r="Z2084" s="103"/>
      <c r="AA2084" s="103"/>
      <c r="AB2084" s="1"/>
    </row>
    <row r="2085" spans="15:28">
      <c r="O2085" s="1"/>
      <c r="P2085" s="1"/>
      <c r="Q2085" s="1"/>
      <c r="R2085" s="1"/>
      <c r="Z2085" s="103"/>
      <c r="AA2085" s="103"/>
      <c r="AB2085" s="1"/>
    </row>
    <row r="2086" spans="15:28">
      <c r="O2086" s="1"/>
      <c r="P2086" s="1"/>
      <c r="Q2086" s="1"/>
      <c r="R2086" s="1"/>
      <c r="Z2086" s="103"/>
      <c r="AA2086" s="103"/>
      <c r="AB2086" s="1"/>
    </row>
    <row r="2087" spans="15:28">
      <c r="O2087" s="1"/>
      <c r="P2087" s="1"/>
      <c r="Q2087" s="1"/>
      <c r="R2087" s="1"/>
      <c r="Z2087" s="103"/>
      <c r="AA2087" s="103"/>
      <c r="AB2087" s="1"/>
    </row>
    <row r="2088" spans="15:28">
      <c r="O2088" s="1"/>
      <c r="P2088" s="1"/>
      <c r="Q2088" s="1"/>
      <c r="R2088" s="1"/>
      <c r="Z2088" s="103"/>
      <c r="AA2088" s="103"/>
      <c r="AB2088" s="1"/>
    </row>
    <row r="2089" spans="15:28">
      <c r="O2089" s="1"/>
      <c r="P2089" s="1"/>
      <c r="Q2089" s="1"/>
      <c r="R2089" s="1"/>
      <c r="Z2089" s="103"/>
      <c r="AA2089" s="103"/>
      <c r="AB2089" s="1"/>
    </row>
    <row r="2090" spans="15:28">
      <c r="O2090" s="1"/>
      <c r="P2090" s="1"/>
      <c r="Q2090" s="1"/>
      <c r="R2090" s="1"/>
      <c r="Z2090" s="103"/>
      <c r="AA2090" s="103"/>
      <c r="AB2090" s="1"/>
    </row>
    <row r="2091" spans="15:28">
      <c r="O2091" s="1"/>
      <c r="P2091" s="1"/>
      <c r="Q2091" s="1"/>
      <c r="R2091" s="1"/>
      <c r="Z2091" s="103"/>
      <c r="AA2091" s="103"/>
      <c r="AB2091" s="1"/>
    </row>
    <row r="2092" spans="15:28">
      <c r="O2092" s="1"/>
      <c r="P2092" s="1"/>
      <c r="Q2092" s="1"/>
      <c r="R2092" s="1"/>
      <c r="Z2092" s="103"/>
      <c r="AA2092" s="103"/>
      <c r="AB2092" s="1"/>
    </row>
    <row r="2093" spans="15:28">
      <c r="O2093" s="1"/>
      <c r="P2093" s="1"/>
      <c r="Q2093" s="1"/>
      <c r="R2093" s="1"/>
      <c r="Z2093" s="103"/>
      <c r="AA2093" s="103"/>
      <c r="AB2093" s="1"/>
    </row>
    <row r="2094" spans="15:28">
      <c r="O2094" s="1"/>
      <c r="P2094" s="1"/>
      <c r="Q2094" s="1"/>
      <c r="R2094" s="1"/>
      <c r="Z2094" s="103"/>
      <c r="AA2094" s="103"/>
      <c r="AB2094" s="1"/>
    </row>
    <row r="2095" spans="15:28">
      <c r="O2095" s="1"/>
      <c r="P2095" s="1"/>
      <c r="Q2095" s="1"/>
      <c r="R2095" s="1"/>
      <c r="Z2095" s="103"/>
      <c r="AA2095" s="103"/>
      <c r="AB2095" s="1"/>
    </row>
    <row r="2096" spans="15:28">
      <c r="O2096" s="1"/>
      <c r="P2096" s="1"/>
      <c r="Q2096" s="1"/>
      <c r="R2096" s="1"/>
      <c r="Z2096" s="103"/>
      <c r="AA2096" s="103"/>
      <c r="AB2096" s="1"/>
    </row>
    <row r="2097" spans="15:30">
      <c r="O2097" s="1"/>
      <c r="P2097" s="1"/>
      <c r="Q2097" s="1"/>
      <c r="R2097" s="1"/>
      <c r="Z2097" s="103"/>
      <c r="AA2097" s="103"/>
      <c r="AB2097" s="1"/>
    </row>
    <row r="2098" spans="15:30">
      <c r="O2098" s="1"/>
      <c r="P2098" s="1"/>
      <c r="Q2098" s="1"/>
      <c r="R2098" s="1"/>
      <c r="Z2098" s="103"/>
      <c r="AA2098" s="103"/>
      <c r="AB2098" s="1"/>
    </row>
    <row r="2099" spans="15:30">
      <c r="O2099" s="1"/>
      <c r="P2099" s="1"/>
      <c r="Q2099" s="1"/>
      <c r="R2099" s="1"/>
      <c r="Z2099" s="103"/>
      <c r="AA2099" s="103"/>
      <c r="AB2099" s="1"/>
    </row>
    <row r="2100" spans="15:30">
      <c r="O2100" s="1"/>
      <c r="P2100" s="1"/>
      <c r="Q2100" s="1"/>
      <c r="R2100" s="1"/>
      <c r="Z2100" s="103"/>
      <c r="AA2100" s="103"/>
      <c r="AB2100" s="1"/>
    </row>
    <row r="2101" spans="15:30">
      <c r="O2101" s="1"/>
      <c r="P2101" s="1"/>
      <c r="Q2101" s="1"/>
      <c r="R2101" s="1"/>
      <c r="Z2101" s="103"/>
      <c r="AA2101" s="103"/>
      <c r="AB2101" s="1"/>
      <c r="AD2101" s="102"/>
    </row>
    <row r="2102" spans="15:30">
      <c r="O2102" s="1"/>
      <c r="P2102" s="1"/>
      <c r="Q2102" s="1"/>
      <c r="R2102" s="1"/>
      <c r="Z2102" s="103"/>
      <c r="AA2102" s="103"/>
      <c r="AB2102" s="1"/>
    </row>
    <row r="2103" spans="15:30">
      <c r="O2103" s="1"/>
      <c r="P2103" s="1"/>
      <c r="Q2103" s="1"/>
      <c r="R2103" s="1"/>
      <c r="Z2103" s="103"/>
      <c r="AA2103" s="103"/>
      <c r="AB2103" s="1"/>
    </row>
    <row r="2104" spans="15:30">
      <c r="O2104" s="1"/>
      <c r="P2104" s="1"/>
      <c r="Q2104" s="1"/>
      <c r="R2104" s="1"/>
      <c r="Z2104" s="103"/>
      <c r="AA2104" s="103"/>
      <c r="AB2104" s="1"/>
    </row>
    <row r="2105" spans="15:30">
      <c r="O2105" s="1"/>
      <c r="P2105" s="1"/>
      <c r="Q2105" s="1"/>
      <c r="R2105" s="1"/>
      <c r="Z2105" s="103"/>
      <c r="AA2105" s="103"/>
      <c r="AB2105" s="1"/>
    </row>
    <row r="2106" spans="15:30">
      <c r="O2106" s="1"/>
      <c r="P2106" s="1"/>
      <c r="Q2106" s="1"/>
      <c r="R2106" s="1"/>
      <c r="Z2106" s="103"/>
      <c r="AA2106" s="103"/>
      <c r="AB2106" s="1"/>
    </row>
    <row r="2107" spans="15:30">
      <c r="O2107" s="1"/>
      <c r="P2107" s="1"/>
      <c r="Q2107" s="1"/>
      <c r="R2107" s="1"/>
      <c r="Z2107" s="103"/>
      <c r="AA2107" s="103"/>
      <c r="AB2107" s="1"/>
    </row>
    <row r="2108" spans="15:30">
      <c r="O2108" s="1"/>
      <c r="P2108" s="1"/>
      <c r="Q2108" s="1"/>
      <c r="R2108" s="1"/>
      <c r="Z2108" s="103"/>
      <c r="AA2108" s="103"/>
      <c r="AB2108" s="1"/>
    </row>
    <row r="2109" spans="15:30">
      <c r="O2109" s="1"/>
      <c r="P2109" s="1"/>
      <c r="Q2109" s="1"/>
      <c r="R2109" s="1"/>
      <c r="Z2109" s="103"/>
      <c r="AA2109" s="103"/>
      <c r="AB2109" s="1"/>
    </row>
    <row r="2110" spans="15:30">
      <c r="O2110" s="1"/>
      <c r="P2110" s="1"/>
      <c r="Q2110" s="1"/>
      <c r="R2110" s="1"/>
      <c r="Z2110" s="103"/>
      <c r="AA2110" s="103"/>
      <c r="AB2110" s="1"/>
    </row>
    <row r="2111" spans="15:30">
      <c r="O2111" s="1"/>
      <c r="P2111" s="1"/>
      <c r="Q2111" s="1"/>
      <c r="R2111" s="1"/>
      <c r="Z2111" s="103"/>
      <c r="AA2111" s="103"/>
      <c r="AB2111" s="1"/>
    </row>
    <row r="2112" spans="15:30">
      <c r="O2112" s="1"/>
      <c r="P2112" s="1"/>
      <c r="Q2112" s="1"/>
      <c r="R2112" s="1"/>
      <c r="Z2112" s="103"/>
      <c r="AA2112" s="103"/>
      <c r="AB2112" s="1"/>
    </row>
    <row r="2113" spans="15:30">
      <c r="O2113" s="1"/>
      <c r="P2113" s="1"/>
      <c r="Q2113" s="1"/>
      <c r="R2113" s="1"/>
      <c r="Z2113" s="103"/>
      <c r="AA2113" s="103"/>
      <c r="AB2113" s="1"/>
    </row>
    <row r="2114" spans="15:30">
      <c r="O2114" s="1"/>
      <c r="P2114" s="1"/>
      <c r="Q2114" s="1"/>
      <c r="R2114" s="1"/>
      <c r="Z2114" s="103"/>
      <c r="AA2114" s="103"/>
      <c r="AB2114" s="1"/>
    </row>
    <row r="2115" spans="15:30">
      <c r="O2115" s="1"/>
      <c r="P2115" s="1"/>
      <c r="Q2115" s="1"/>
      <c r="R2115" s="1"/>
      <c r="Z2115" s="103"/>
      <c r="AA2115" s="103"/>
      <c r="AB2115" s="1"/>
      <c r="AD2115" s="102"/>
    </row>
    <row r="2116" spans="15:30">
      <c r="O2116" s="1"/>
      <c r="P2116" s="1"/>
      <c r="Q2116" s="1"/>
      <c r="R2116" s="1"/>
      <c r="Z2116" s="103"/>
      <c r="AA2116" s="103"/>
      <c r="AB2116" s="1"/>
      <c r="AD2116" s="102"/>
    </row>
    <row r="2117" spans="15:30">
      <c r="O2117" s="1"/>
      <c r="P2117" s="1"/>
      <c r="Q2117" s="1"/>
      <c r="R2117" s="1"/>
      <c r="Z2117" s="103"/>
      <c r="AA2117" s="103"/>
      <c r="AB2117" s="1"/>
    </row>
    <row r="2118" spans="15:30">
      <c r="O2118" s="1"/>
      <c r="P2118" s="1"/>
      <c r="Q2118" s="1"/>
      <c r="R2118" s="1"/>
      <c r="Z2118" s="103"/>
      <c r="AA2118" s="103"/>
      <c r="AB2118" s="1"/>
    </row>
    <row r="2119" spans="15:30">
      <c r="O2119" s="1"/>
      <c r="P2119" s="1"/>
      <c r="Q2119" s="1"/>
      <c r="R2119" s="1"/>
      <c r="Z2119" s="103"/>
      <c r="AA2119" s="103"/>
      <c r="AB2119" s="1"/>
    </row>
    <row r="2120" spans="15:30">
      <c r="O2120" s="1"/>
      <c r="P2120" s="1"/>
      <c r="Q2120" s="1"/>
      <c r="R2120" s="1"/>
      <c r="Z2120" s="103"/>
      <c r="AA2120" s="103"/>
      <c r="AB2120" s="1"/>
    </row>
    <row r="2121" spans="15:30">
      <c r="O2121" s="1"/>
      <c r="P2121" s="1"/>
      <c r="Q2121" s="1"/>
      <c r="R2121" s="1"/>
      <c r="Z2121" s="103"/>
      <c r="AA2121" s="103"/>
      <c r="AB2121" s="1"/>
    </row>
    <row r="2122" spans="15:30">
      <c r="O2122" s="1"/>
      <c r="P2122" s="1"/>
      <c r="Q2122" s="1"/>
      <c r="R2122" s="1"/>
      <c r="Z2122" s="103"/>
      <c r="AA2122" s="103"/>
      <c r="AB2122" s="1"/>
    </row>
    <row r="2123" spans="15:30">
      <c r="O2123" s="1"/>
      <c r="P2123" s="1"/>
      <c r="Q2123" s="1"/>
      <c r="R2123" s="1"/>
      <c r="Z2123" s="103"/>
      <c r="AA2123" s="103"/>
      <c r="AB2123" s="1"/>
    </row>
    <row r="2124" spans="15:30">
      <c r="O2124" s="1"/>
      <c r="P2124" s="1"/>
      <c r="Q2124" s="1"/>
      <c r="R2124" s="1"/>
      <c r="Z2124" s="103"/>
      <c r="AA2124" s="103"/>
      <c r="AB2124" s="1"/>
    </row>
    <row r="2125" spans="15:30">
      <c r="O2125" s="1"/>
      <c r="P2125" s="1"/>
      <c r="Q2125" s="1"/>
      <c r="R2125" s="1"/>
      <c r="Z2125" s="103"/>
      <c r="AA2125" s="103"/>
      <c r="AB2125" s="1"/>
    </row>
    <row r="2126" spans="15:30">
      <c r="O2126" s="1"/>
      <c r="P2126" s="1"/>
      <c r="Q2126" s="1"/>
      <c r="R2126" s="1"/>
      <c r="Z2126" s="103"/>
      <c r="AA2126" s="103"/>
      <c r="AB2126" s="1"/>
    </row>
    <row r="2127" spans="15:30">
      <c r="O2127" s="1"/>
      <c r="P2127" s="1"/>
      <c r="Q2127" s="1"/>
      <c r="R2127" s="1"/>
      <c r="Z2127" s="103"/>
      <c r="AA2127" s="103"/>
      <c r="AB2127" s="1"/>
    </row>
    <row r="2128" spans="15:30">
      <c r="O2128" s="1"/>
      <c r="P2128" s="1"/>
      <c r="Q2128" s="1"/>
      <c r="R2128" s="1"/>
      <c r="Z2128" s="103"/>
      <c r="AA2128" s="103"/>
      <c r="AB2128" s="1"/>
    </row>
    <row r="2129" spans="15:28">
      <c r="O2129" s="1"/>
      <c r="P2129" s="1"/>
      <c r="Q2129" s="1"/>
      <c r="R2129" s="1"/>
      <c r="Z2129" s="103"/>
      <c r="AA2129" s="103"/>
      <c r="AB2129" s="1"/>
    </row>
    <row r="2130" spans="15:28">
      <c r="O2130" s="1"/>
      <c r="P2130" s="1"/>
      <c r="Q2130" s="1"/>
      <c r="R2130" s="1"/>
      <c r="Z2130" s="103"/>
      <c r="AA2130" s="103"/>
      <c r="AB2130" s="1"/>
    </row>
    <row r="2131" spans="15:28">
      <c r="O2131" s="1"/>
      <c r="P2131" s="1"/>
      <c r="Q2131" s="1"/>
      <c r="R2131" s="1"/>
      <c r="Z2131" s="103"/>
      <c r="AA2131" s="103"/>
      <c r="AB2131" s="1"/>
    </row>
    <row r="2132" spans="15:28">
      <c r="O2132" s="1"/>
      <c r="P2132" s="1"/>
      <c r="Q2132" s="1"/>
      <c r="R2132" s="1"/>
      <c r="Z2132" s="103"/>
      <c r="AA2132" s="103"/>
      <c r="AB2132" s="1"/>
    </row>
    <row r="2133" spans="15:28">
      <c r="O2133" s="1"/>
      <c r="P2133" s="1"/>
      <c r="Q2133" s="1"/>
      <c r="R2133" s="1"/>
      <c r="Z2133" s="103"/>
      <c r="AA2133" s="103"/>
      <c r="AB2133" s="1"/>
    </row>
    <row r="2134" spans="15:28">
      <c r="O2134" s="1"/>
      <c r="P2134" s="1"/>
      <c r="Q2134" s="1"/>
      <c r="R2134" s="1"/>
      <c r="Z2134" s="103"/>
      <c r="AA2134" s="103"/>
      <c r="AB2134" s="1"/>
    </row>
    <row r="2135" spans="15:28">
      <c r="O2135" s="1"/>
      <c r="P2135" s="1"/>
      <c r="Q2135" s="1"/>
      <c r="R2135" s="1"/>
      <c r="Z2135" s="103"/>
      <c r="AA2135" s="103"/>
      <c r="AB2135" s="1"/>
    </row>
    <row r="2136" spans="15:28">
      <c r="O2136" s="1"/>
      <c r="P2136" s="1"/>
      <c r="Q2136" s="1"/>
      <c r="R2136" s="1"/>
      <c r="Z2136" s="103"/>
      <c r="AA2136" s="103"/>
      <c r="AB2136" s="1"/>
    </row>
    <row r="2137" spans="15:28">
      <c r="O2137" s="1"/>
      <c r="P2137" s="1"/>
      <c r="Q2137" s="1"/>
      <c r="R2137" s="1"/>
      <c r="Z2137" s="103"/>
      <c r="AA2137" s="103"/>
      <c r="AB2137" s="1"/>
    </row>
    <row r="2138" spans="15:28">
      <c r="O2138" s="1"/>
      <c r="P2138" s="1"/>
      <c r="Q2138" s="1"/>
      <c r="R2138" s="1"/>
      <c r="Z2138" s="103"/>
      <c r="AA2138" s="103"/>
      <c r="AB2138" s="1"/>
    </row>
    <row r="2139" spans="15:28">
      <c r="O2139" s="1"/>
      <c r="P2139" s="1"/>
      <c r="Q2139" s="1"/>
      <c r="R2139" s="1"/>
      <c r="Z2139" s="103"/>
      <c r="AA2139" s="103"/>
      <c r="AB2139" s="1"/>
    </row>
    <row r="2140" spans="15:28">
      <c r="O2140" s="1"/>
      <c r="P2140" s="1"/>
      <c r="Q2140" s="1"/>
      <c r="R2140" s="1"/>
      <c r="Z2140" s="103"/>
      <c r="AA2140" s="103"/>
      <c r="AB2140" s="1"/>
    </row>
    <row r="2141" spans="15:28">
      <c r="O2141" s="1"/>
      <c r="P2141" s="1"/>
      <c r="Q2141" s="1"/>
      <c r="R2141" s="1"/>
      <c r="Z2141" s="103"/>
      <c r="AA2141" s="103"/>
      <c r="AB2141" s="1"/>
    </row>
    <row r="2142" spans="15:28">
      <c r="O2142" s="1"/>
      <c r="P2142" s="1"/>
      <c r="Q2142" s="1"/>
      <c r="R2142" s="1"/>
      <c r="Z2142" s="103"/>
      <c r="AA2142" s="103"/>
      <c r="AB2142" s="1"/>
    </row>
    <row r="2143" spans="15:28">
      <c r="O2143" s="1"/>
      <c r="P2143" s="1"/>
      <c r="Q2143" s="1"/>
      <c r="R2143" s="1"/>
      <c r="Z2143" s="103"/>
      <c r="AA2143" s="103"/>
      <c r="AB2143" s="1"/>
    </row>
    <row r="2144" spans="15:28">
      <c r="O2144" s="1"/>
      <c r="P2144" s="1"/>
      <c r="Q2144" s="1"/>
      <c r="R2144" s="1"/>
      <c r="Z2144" s="103"/>
      <c r="AA2144" s="103"/>
      <c r="AB2144" s="1"/>
    </row>
    <row r="2145" spans="15:28">
      <c r="O2145" s="1"/>
      <c r="P2145" s="1"/>
      <c r="Q2145" s="1"/>
      <c r="R2145" s="1"/>
      <c r="Z2145" s="103"/>
      <c r="AA2145" s="103"/>
      <c r="AB2145" s="1"/>
    </row>
    <row r="2146" spans="15:28">
      <c r="O2146" s="1"/>
      <c r="P2146" s="1"/>
      <c r="Q2146" s="1"/>
      <c r="R2146" s="1"/>
      <c r="Z2146" s="103"/>
      <c r="AA2146" s="103"/>
      <c r="AB2146" s="1"/>
    </row>
    <row r="2147" spans="15:28">
      <c r="O2147" s="1"/>
      <c r="P2147" s="1"/>
      <c r="Q2147" s="1"/>
      <c r="R2147" s="1"/>
      <c r="Z2147" s="103"/>
      <c r="AA2147" s="103"/>
      <c r="AB2147" s="1"/>
    </row>
    <row r="2148" spans="15:28">
      <c r="O2148" s="1"/>
      <c r="P2148" s="1"/>
      <c r="Q2148" s="1"/>
      <c r="R2148" s="1"/>
      <c r="Z2148" s="103"/>
      <c r="AA2148" s="103"/>
      <c r="AB2148" s="1"/>
    </row>
    <row r="2149" spans="15:28">
      <c r="O2149" s="1"/>
      <c r="P2149" s="1"/>
      <c r="Q2149" s="1"/>
      <c r="R2149" s="1"/>
      <c r="Z2149" s="103"/>
      <c r="AA2149" s="103"/>
      <c r="AB2149" s="1"/>
    </row>
    <row r="2150" spans="15:28">
      <c r="O2150" s="1"/>
      <c r="P2150" s="1"/>
      <c r="Q2150" s="1"/>
      <c r="R2150" s="1"/>
      <c r="Z2150" s="103"/>
      <c r="AA2150" s="103"/>
      <c r="AB2150" s="1"/>
    </row>
    <row r="2151" spans="15:28">
      <c r="O2151" s="1"/>
      <c r="P2151" s="1"/>
      <c r="Q2151" s="1"/>
      <c r="R2151" s="1"/>
      <c r="Z2151" s="103"/>
      <c r="AA2151" s="103"/>
      <c r="AB2151" s="1"/>
    </row>
    <row r="2152" spans="15:28">
      <c r="O2152" s="1"/>
      <c r="P2152" s="1"/>
      <c r="Q2152" s="1"/>
      <c r="R2152" s="1"/>
      <c r="Z2152" s="103"/>
      <c r="AA2152" s="103"/>
      <c r="AB2152" s="1"/>
    </row>
    <row r="2153" spans="15:28">
      <c r="O2153" s="1"/>
      <c r="P2153" s="1"/>
      <c r="Q2153" s="1"/>
      <c r="R2153" s="1"/>
      <c r="Z2153" s="103"/>
      <c r="AA2153" s="103"/>
      <c r="AB2153" s="1"/>
    </row>
    <row r="2154" spans="15:28">
      <c r="O2154" s="1"/>
      <c r="P2154" s="1"/>
      <c r="Q2154" s="1"/>
      <c r="R2154" s="1"/>
      <c r="Z2154" s="103"/>
      <c r="AA2154" s="103"/>
      <c r="AB2154" s="1"/>
    </row>
    <row r="2155" spans="15:28">
      <c r="O2155" s="1"/>
      <c r="P2155" s="1"/>
      <c r="Q2155" s="1"/>
      <c r="R2155" s="1"/>
      <c r="Z2155" s="103"/>
      <c r="AA2155" s="103"/>
      <c r="AB2155" s="1"/>
    </row>
    <row r="2156" spans="15:28">
      <c r="O2156" s="1"/>
      <c r="P2156" s="1"/>
      <c r="Q2156" s="1"/>
      <c r="R2156" s="1"/>
      <c r="Z2156" s="103"/>
      <c r="AA2156" s="103"/>
      <c r="AB2156" s="1"/>
    </row>
    <row r="2157" spans="15:28">
      <c r="O2157" s="1"/>
      <c r="P2157" s="1"/>
      <c r="Q2157" s="1"/>
      <c r="R2157" s="1"/>
      <c r="Z2157" s="103"/>
      <c r="AA2157" s="103"/>
      <c r="AB2157" s="1"/>
    </row>
    <row r="2158" spans="15:28">
      <c r="O2158" s="1"/>
      <c r="P2158" s="1"/>
      <c r="Q2158" s="1"/>
      <c r="R2158" s="1"/>
      <c r="Z2158" s="103"/>
      <c r="AA2158" s="103"/>
      <c r="AB2158" s="1"/>
    </row>
    <row r="2159" spans="15:28">
      <c r="O2159" s="1"/>
      <c r="P2159" s="1"/>
      <c r="Q2159" s="1"/>
      <c r="R2159" s="1"/>
      <c r="Z2159" s="103"/>
      <c r="AA2159" s="103"/>
      <c r="AB2159" s="1"/>
    </row>
    <row r="2160" spans="15:28">
      <c r="O2160" s="1"/>
      <c r="P2160" s="1"/>
      <c r="Q2160" s="1"/>
      <c r="R2160" s="1"/>
      <c r="Z2160" s="103"/>
      <c r="AA2160" s="103"/>
      <c r="AB2160" s="1"/>
    </row>
    <row r="2161" spans="15:28">
      <c r="O2161" s="1"/>
      <c r="P2161" s="1"/>
      <c r="Q2161" s="1"/>
      <c r="R2161" s="1"/>
      <c r="Z2161" s="103"/>
      <c r="AA2161" s="103"/>
      <c r="AB2161" s="1"/>
    </row>
    <row r="2162" spans="15:28">
      <c r="O2162" s="1"/>
      <c r="P2162" s="1"/>
      <c r="Q2162" s="1"/>
      <c r="R2162" s="1"/>
      <c r="Z2162" s="103"/>
      <c r="AA2162" s="103"/>
      <c r="AB2162" s="1"/>
    </row>
    <row r="2163" spans="15:28">
      <c r="O2163" s="1"/>
      <c r="P2163" s="1"/>
      <c r="Q2163" s="1"/>
      <c r="R2163" s="1"/>
      <c r="Z2163" s="103"/>
      <c r="AA2163" s="103"/>
      <c r="AB2163" s="1"/>
    </row>
    <row r="2164" spans="15:28">
      <c r="O2164" s="1"/>
      <c r="P2164" s="1"/>
      <c r="Q2164" s="1"/>
      <c r="R2164" s="1"/>
      <c r="Z2164" s="103"/>
      <c r="AA2164" s="103"/>
      <c r="AB2164" s="1"/>
    </row>
    <row r="2165" spans="15:28">
      <c r="O2165" s="1"/>
      <c r="P2165" s="1"/>
      <c r="Q2165" s="1"/>
      <c r="R2165" s="1"/>
      <c r="Z2165" s="103"/>
      <c r="AA2165" s="103"/>
      <c r="AB2165" s="1"/>
    </row>
    <row r="2166" spans="15:28">
      <c r="O2166" s="1"/>
      <c r="P2166" s="1"/>
      <c r="Q2166" s="1"/>
      <c r="R2166" s="1"/>
      <c r="Z2166" s="103"/>
      <c r="AA2166" s="103"/>
      <c r="AB2166" s="1"/>
    </row>
    <row r="2167" spans="15:28">
      <c r="O2167" s="1"/>
      <c r="P2167" s="1"/>
      <c r="Q2167" s="1"/>
      <c r="R2167" s="1"/>
      <c r="Z2167" s="103"/>
      <c r="AA2167" s="103"/>
      <c r="AB2167" s="1"/>
    </row>
    <row r="2168" spans="15:28">
      <c r="O2168" s="1"/>
      <c r="P2168" s="1"/>
      <c r="Q2168" s="1"/>
      <c r="R2168" s="1"/>
      <c r="Z2168" s="103"/>
      <c r="AA2168" s="103"/>
      <c r="AB2168" s="1"/>
    </row>
    <row r="2169" spans="15:28">
      <c r="O2169" s="1"/>
      <c r="P2169" s="1"/>
      <c r="Q2169" s="1"/>
      <c r="R2169" s="1"/>
      <c r="Z2169" s="103"/>
      <c r="AA2169" s="103"/>
      <c r="AB2169" s="1"/>
    </row>
    <row r="2170" spans="15:28">
      <c r="O2170" s="1"/>
      <c r="P2170" s="1"/>
      <c r="Q2170" s="1"/>
      <c r="R2170" s="1"/>
      <c r="Z2170" s="103"/>
      <c r="AA2170" s="103"/>
      <c r="AB2170" s="1"/>
    </row>
    <row r="2171" spans="15:28">
      <c r="O2171" s="1"/>
      <c r="P2171" s="1"/>
      <c r="Q2171" s="1"/>
      <c r="R2171" s="1"/>
      <c r="Z2171" s="103"/>
      <c r="AA2171" s="103"/>
      <c r="AB2171" s="1"/>
    </row>
    <row r="2172" spans="15:28">
      <c r="O2172" s="1"/>
      <c r="P2172" s="1"/>
      <c r="Q2172" s="1"/>
      <c r="R2172" s="1"/>
      <c r="Z2172" s="103"/>
      <c r="AA2172" s="103"/>
      <c r="AB2172" s="1"/>
    </row>
    <row r="2173" spans="15:28">
      <c r="O2173" s="1"/>
      <c r="P2173" s="1"/>
      <c r="Q2173" s="1"/>
      <c r="R2173" s="1"/>
      <c r="Z2173" s="103"/>
      <c r="AA2173" s="103"/>
      <c r="AB2173" s="1"/>
    </row>
    <row r="2174" spans="15:28">
      <c r="O2174" s="1"/>
      <c r="P2174" s="1"/>
      <c r="Q2174" s="1"/>
      <c r="R2174" s="1"/>
      <c r="Z2174" s="103"/>
      <c r="AA2174" s="103"/>
      <c r="AB2174" s="1"/>
    </row>
    <row r="2175" spans="15:28">
      <c r="O2175" s="1"/>
      <c r="P2175" s="1"/>
      <c r="Q2175" s="1"/>
      <c r="R2175" s="1"/>
      <c r="Z2175" s="103"/>
      <c r="AA2175" s="103"/>
      <c r="AB2175" s="1"/>
    </row>
    <row r="2176" spans="15:28">
      <c r="O2176" s="1"/>
      <c r="P2176" s="1"/>
      <c r="Q2176" s="1"/>
      <c r="R2176" s="1"/>
      <c r="Z2176" s="103"/>
      <c r="AA2176" s="103"/>
      <c r="AB2176" s="1"/>
    </row>
    <row r="2177" spans="15:30">
      <c r="O2177" s="1"/>
      <c r="P2177" s="1"/>
      <c r="Q2177" s="1"/>
      <c r="R2177" s="1"/>
      <c r="Z2177" s="103"/>
      <c r="AA2177" s="103"/>
      <c r="AB2177" s="1"/>
    </row>
    <row r="2178" spans="15:30">
      <c r="O2178" s="1"/>
      <c r="P2178" s="1"/>
      <c r="Q2178" s="1"/>
      <c r="R2178" s="1"/>
      <c r="Z2178" s="103"/>
      <c r="AA2178" s="103"/>
      <c r="AB2178" s="1"/>
    </row>
    <row r="2179" spans="15:30">
      <c r="O2179" s="1"/>
      <c r="P2179" s="1"/>
      <c r="Q2179" s="1"/>
      <c r="R2179" s="1"/>
      <c r="Z2179" s="103"/>
      <c r="AA2179" s="103"/>
      <c r="AB2179" s="1"/>
    </row>
    <row r="2180" spans="15:30">
      <c r="O2180" s="1"/>
      <c r="P2180" s="1"/>
      <c r="Q2180" s="1"/>
      <c r="R2180" s="1"/>
      <c r="Z2180" s="103"/>
      <c r="AA2180" s="103"/>
      <c r="AB2180" s="1"/>
      <c r="AD2180" s="102"/>
    </row>
    <row r="2181" spans="15:30">
      <c r="O2181" s="1"/>
      <c r="P2181" s="1"/>
      <c r="Q2181" s="1"/>
      <c r="R2181" s="1"/>
      <c r="Z2181" s="103"/>
      <c r="AA2181" s="103"/>
      <c r="AB2181" s="1"/>
    </row>
    <row r="2182" spans="15:30">
      <c r="O2182" s="1"/>
      <c r="P2182" s="1"/>
      <c r="Q2182" s="1"/>
      <c r="R2182" s="1"/>
      <c r="Z2182" s="103"/>
      <c r="AA2182" s="103"/>
      <c r="AB2182" s="1"/>
    </row>
    <row r="2183" spans="15:30">
      <c r="O2183" s="1"/>
      <c r="P2183" s="1"/>
      <c r="Q2183" s="1"/>
      <c r="R2183" s="1"/>
      <c r="Z2183" s="103"/>
      <c r="AA2183" s="103"/>
      <c r="AB2183" s="1"/>
    </row>
    <row r="2184" spans="15:30">
      <c r="O2184" s="1"/>
      <c r="P2184" s="1"/>
      <c r="Q2184" s="1"/>
      <c r="R2184" s="1"/>
      <c r="Z2184" s="103"/>
      <c r="AA2184" s="103"/>
      <c r="AB2184" s="1"/>
    </row>
    <row r="2185" spans="15:30">
      <c r="O2185" s="1"/>
      <c r="P2185" s="1"/>
      <c r="Q2185" s="1"/>
      <c r="R2185" s="1"/>
      <c r="Z2185" s="103"/>
      <c r="AA2185" s="103"/>
      <c r="AB2185" s="1"/>
    </row>
    <row r="2186" spans="15:30">
      <c r="O2186" s="1"/>
      <c r="P2186" s="1"/>
      <c r="Q2186" s="1"/>
      <c r="R2186" s="1"/>
      <c r="Z2186" s="103"/>
      <c r="AA2186" s="103"/>
      <c r="AB2186" s="1"/>
    </row>
    <row r="2187" spans="15:30">
      <c r="O2187" s="1"/>
      <c r="P2187" s="1"/>
      <c r="Q2187" s="1"/>
      <c r="R2187" s="1"/>
      <c r="Z2187" s="103"/>
      <c r="AA2187" s="103"/>
      <c r="AB2187" s="1"/>
    </row>
    <row r="2188" spans="15:30">
      <c r="O2188" s="1"/>
      <c r="P2188" s="1"/>
      <c r="Q2188" s="1"/>
      <c r="R2188" s="1"/>
      <c r="Z2188" s="103"/>
      <c r="AA2188" s="103"/>
      <c r="AB2188" s="1"/>
    </row>
    <row r="2189" spans="15:30">
      <c r="O2189" s="1"/>
      <c r="P2189" s="1"/>
      <c r="Q2189" s="1"/>
      <c r="R2189" s="1"/>
      <c r="Z2189" s="103"/>
      <c r="AA2189" s="103"/>
      <c r="AB2189" s="1"/>
    </row>
    <row r="2190" spans="15:30">
      <c r="O2190" s="1"/>
      <c r="P2190" s="1"/>
      <c r="Q2190" s="1"/>
      <c r="R2190" s="1"/>
      <c r="Z2190" s="103"/>
      <c r="AA2190" s="103"/>
      <c r="AB2190" s="1"/>
    </row>
    <row r="2191" spans="15:30">
      <c r="O2191" s="1"/>
      <c r="P2191" s="1"/>
      <c r="Q2191" s="1"/>
      <c r="R2191" s="1"/>
      <c r="Z2191" s="103"/>
      <c r="AA2191" s="103"/>
      <c r="AB2191" s="1"/>
    </row>
    <row r="2192" spans="15:30">
      <c r="O2192" s="1"/>
      <c r="P2192" s="1"/>
      <c r="Q2192" s="1"/>
      <c r="R2192" s="1"/>
      <c r="Z2192" s="103"/>
      <c r="AA2192" s="103"/>
      <c r="AB2192" s="1"/>
    </row>
    <row r="2193" spans="15:28">
      <c r="O2193" s="1"/>
      <c r="P2193" s="1"/>
      <c r="Q2193" s="1"/>
      <c r="R2193" s="1"/>
      <c r="Z2193" s="103"/>
      <c r="AA2193" s="103"/>
      <c r="AB2193" s="1"/>
    </row>
    <row r="2194" spans="15:28">
      <c r="O2194" s="1"/>
      <c r="P2194" s="1"/>
      <c r="Q2194" s="1"/>
      <c r="R2194" s="1"/>
      <c r="Z2194" s="103"/>
      <c r="AA2194" s="103"/>
      <c r="AB2194" s="1"/>
    </row>
    <row r="2195" spans="15:28">
      <c r="O2195" s="1"/>
      <c r="P2195" s="1"/>
      <c r="Q2195" s="1"/>
      <c r="R2195" s="1"/>
      <c r="Z2195" s="103"/>
      <c r="AA2195" s="103"/>
      <c r="AB2195" s="1"/>
    </row>
    <row r="2196" spans="15:28">
      <c r="O2196" s="1"/>
      <c r="P2196" s="1"/>
      <c r="Q2196" s="1"/>
      <c r="R2196" s="1"/>
      <c r="Z2196" s="103"/>
      <c r="AA2196" s="103"/>
      <c r="AB2196" s="1"/>
    </row>
    <row r="2197" spans="15:28">
      <c r="O2197" s="1"/>
      <c r="P2197" s="1"/>
      <c r="Q2197" s="1"/>
      <c r="R2197" s="1"/>
      <c r="Z2197" s="103"/>
      <c r="AA2197" s="103"/>
      <c r="AB2197" s="1"/>
    </row>
    <row r="2198" spans="15:28">
      <c r="O2198" s="1"/>
      <c r="P2198" s="1"/>
      <c r="Q2198" s="1"/>
      <c r="R2198" s="1"/>
      <c r="Z2198" s="103"/>
      <c r="AA2198" s="103"/>
      <c r="AB2198" s="1"/>
    </row>
    <row r="2199" spans="15:28">
      <c r="O2199" s="1"/>
      <c r="P2199" s="1"/>
      <c r="Q2199" s="1"/>
      <c r="R2199" s="1"/>
      <c r="Z2199" s="103"/>
      <c r="AA2199" s="103"/>
      <c r="AB2199" s="1"/>
    </row>
    <row r="2200" spans="15:28">
      <c r="O2200" s="1"/>
      <c r="P2200" s="1"/>
      <c r="Q2200" s="1"/>
      <c r="R2200" s="1"/>
      <c r="Z2200" s="103"/>
      <c r="AA2200" s="103"/>
      <c r="AB2200" s="1"/>
    </row>
    <row r="2201" spans="15:28">
      <c r="O2201" s="1"/>
      <c r="P2201" s="1"/>
      <c r="Q2201" s="1"/>
      <c r="R2201" s="1"/>
      <c r="Z2201" s="103"/>
      <c r="AA2201" s="103"/>
      <c r="AB2201" s="1"/>
    </row>
    <row r="2202" spans="15:28">
      <c r="O2202" s="1"/>
      <c r="P2202" s="1"/>
      <c r="Q2202" s="1"/>
      <c r="R2202" s="1"/>
      <c r="Z2202" s="103"/>
      <c r="AA2202" s="103"/>
      <c r="AB2202" s="1"/>
    </row>
    <row r="2203" spans="15:28">
      <c r="O2203" s="1"/>
      <c r="P2203" s="1"/>
      <c r="Q2203" s="1"/>
      <c r="R2203" s="1"/>
      <c r="Z2203" s="103"/>
      <c r="AA2203" s="103"/>
      <c r="AB2203" s="1"/>
    </row>
    <row r="2204" spans="15:28">
      <c r="O2204" s="1"/>
      <c r="P2204" s="1"/>
      <c r="Q2204" s="1"/>
      <c r="R2204" s="1"/>
      <c r="Z2204" s="103"/>
      <c r="AA2204" s="103"/>
      <c r="AB2204" s="1"/>
    </row>
    <row r="2205" spans="15:28">
      <c r="O2205" s="1"/>
      <c r="P2205" s="1"/>
      <c r="Q2205" s="1"/>
      <c r="R2205" s="1"/>
      <c r="Z2205" s="103"/>
      <c r="AA2205" s="103"/>
      <c r="AB2205" s="1"/>
    </row>
    <row r="2206" spans="15:28">
      <c r="O2206" s="1"/>
      <c r="P2206" s="1"/>
      <c r="Q2206" s="1"/>
      <c r="R2206" s="1"/>
      <c r="Z2206" s="103"/>
      <c r="AA2206" s="103"/>
      <c r="AB2206" s="1"/>
    </row>
    <row r="2207" spans="15:28">
      <c r="O2207" s="1"/>
      <c r="P2207" s="1"/>
      <c r="Q2207" s="1"/>
      <c r="R2207" s="1"/>
      <c r="Z2207" s="103"/>
      <c r="AA2207" s="103"/>
      <c r="AB2207" s="1"/>
    </row>
    <row r="2208" spans="15:28">
      <c r="O2208" s="1"/>
      <c r="P2208" s="1"/>
      <c r="Q2208" s="1"/>
      <c r="R2208" s="1"/>
      <c r="Z2208" s="103"/>
      <c r="AA2208" s="103"/>
      <c r="AB2208" s="1"/>
    </row>
    <row r="2209" spans="15:28">
      <c r="O2209" s="1"/>
      <c r="P2209" s="1"/>
      <c r="Q2209" s="1"/>
      <c r="R2209" s="1"/>
      <c r="Z2209" s="103"/>
      <c r="AA2209" s="103"/>
      <c r="AB2209" s="1"/>
    </row>
    <row r="2210" spans="15:28">
      <c r="O2210" s="1"/>
      <c r="P2210" s="1"/>
      <c r="Q2210" s="1"/>
      <c r="R2210" s="1"/>
      <c r="Z2210" s="103"/>
      <c r="AA2210" s="103"/>
      <c r="AB2210" s="1"/>
    </row>
    <row r="2211" spans="15:28">
      <c r="O2211" s="1"/>
      <c r="P2211" s="1"/>
      <c r="Q2211" s="1"/>
      <c r="R2211" s="1"/>
      <c r="Z2211" s="103"/>
      <c r="AA2211" s="103"/>
      <c r="AB2211" s="1"/>
    </row>
    <row r="2212" spans="15:28">
      <c r="O2212" s="1"/>
      <c r="P2212" s="1"/>
      <c r="Q2212" s="1"/>
      <c r="R2212" s="1"/>
      <c r="Z2212" s="103"/>
      <c r="AA2212" s="103"/>
      <c r="AB2212" s="1"/>
    </row>
    <row r="2213" spans="15:28">
      <c r="O2213" s="1"/>
      <c r="P2213" s="1"/>
      <c r="Q2213" s="1"/>
      <c r="R2213" s="1"/>
      <c r="Z2213" s="103"/>
      <c r="AA2213" s="103"/>
      <c r="AB2213" s="1"/>
    </row>
    <row r="2214" spans="15:28">
      <c r="O2214" s="1"/>
      <c r="P2214" s="1"/>
      <c r="Q2214" s="1"/>
      <c r="R2214" s="1"/>
      <c r="Z2214" s="103"/>
      <c r="AA2214" s="103"/>
      <c r="AB2214" s="1"/>
    </row>
    <row r="2215" spans="15:28">
      <c r="O2215" s="1"/>
      <c r="P2215" s="1"/>
      <c r="Q2215" s="1"/>
      <c r="R2215" s="1"/>
      <c r="Z2215" s="103"/>
      <c r="AA2215" s="103"/>
      <c r="AB2215" s="1"/>
    </row>
    <row r="2216" spans="15:28">
      <c r="O2216" s="1"/>
      <c r="P2216" s="1"/>
      <c r="Q2216" s="1"/>
      <c r="R2216" s="1"/>
      <c r="Z2216" s="103"/>
      <c r="AA2216" s="103"/>
      <c r="AB2216" s="1"/>
    </row>
    <row r="2217" spans="15:28">
      <c r="O2217" s="1"/>
      <c r="P2217" s="1"/>
      <c r="Q2217" s="1"/>
      <c r="R2217" s="1"/>
      <c r="Z2217" s="103"/>
      <c r="AA2217" s="103"/>
      <c r="AB2217" s="1"/>
    </row>
    <row r="2218" spans="15:28">
      <c r="O2218" s="1"/>
      <c r="P2218" s="1"/>
      <c r="Q2218" s="1"/>
      <c r="R2218" s="1"/>
      <c r="Z2218" s="103"/>
      <c r="AA2218" s="103"/>
      <c r="AB2218" s="1"/>
    </row>
    <row r="2219" spans="15:28">
      <c r="O2219" s="1"/>
      <c r="P2219" s="1"/>
      <c r="Q2219" s="1"/>
      <c r="R2219" s="1"/>
      <c r="Z2219" s="103"/>
      <c r="AA2219" s="103"/>
      <c r="AB2219" s="1"/>
    </row>
    <row r="2220" spans="15:28">
      <c r="O2220" s="1"/>
      <c r="P2220" s="1"/>
      <c r="Q2220" s="1"/>
      <c r="R2220" s="1"/>
      <c r="Z2220" s="103"/>
      <c r="AA2220" s="103"/>
      <c r="AB2220" s="1"/>
    </row>
    <row r="2221" spans="15:28">
      <c r="O2221" s="1"/>
      <c r="P2221" s="1"/>
      <c r="Q2221" s="1"/>
      <c r="R2221" s="1"/>
      <c r="Z2221" s="103"/>
      <c r="AA2221" s="103"/>
      <c r="AB2221" s="1"/>
    </row>
    <row r="2222" spans="15:28">
      <c r="O2222" s="1"/>
      <c r="P2222" s="1"/>
      <c r="Q2222" s="1"/>
      <c r="R2222" s="1"/>
      <c r="Z2222" s="103"/>
      <c r="AA2222" s="103"/>
      <c r="AB2222" s="1"/>
    </row>
    <row r="2223" spans="15:28">
      <c r="O2223" s="1"/>
      <c r="P2223" s="1"/>
      <c r="Q2223" s="1"/>
      <c r="R2223" s="1"/>
      <c r="Z2223" s="103"/>
      <c r="AA2223" s="103"/>
      <c r="AB2223" s="1"/>
    </row>
    <row r="2224" spans="15:28">
      <c r="O2224" s="1"/>
      <c r="P2224" s="1"/>
      <c r="Q2224" s="1"/>
      <c r="R2224" s="1"/>
      <c r="Z2224" s="103"/>
      <c r="AA2224" s="103"/>
      <c r="AB2224" s="1"/>
    </row>
    <row r="2225" spans="15:28">
      <c r="O2225" s="1"/>
      <c r="P2225" s="1"/>
      <c r="Q2225" s="1"/>
      <c r="R2225" s="1"/>
      <c r="Z2225" s="103"/>
      <c r="AA2225" s="103"/>
      <c r="AB2225" s="1"/>
    </row>
    <row r="2226" spans="15:28">
      <c r="O2226" s="1"/>
      <c r="P2226" s="1"/>
      <c r="Q2226" s="1"/>
      <c r="R2226" s="1"/>
      <c r="Z2226" s="103"/>
      <c r="AA2226" s="103"/>
      <c r="AB2226" s="1"/>
    </row>
    <row r="2227" spans="15:28">
      <c r="O2227" s="1"/>
      <c r="P2227" s="1"/>
      <c r="Q2227" s="1"/>
      <c r="R2227" s="1"/>
      <c r="Z2227" s="103"/>
      <c r="AA2227" s="103"/>
      <c r="AB2227" s="1"/>
    </row>
    <row r="2228" spans="15:28">
      <c r="O2228" s="1"/>
      <c r="P2228" s="1"/>
      <c r="Q2228" s="1"/>
      <c r="R2228" s="1"/>
      <c r="Z2228" s="103"/>
      <c r="AA2228" s="103"/>
      <c r="AB2228" s="1"/>
    </row>
    <row r="2229" spans="15:28">
      <c r="O2229" s="1"/>
      <c r="P2229" s="1"/>
      <c r="Q2229" s="1"/>
      <c r="R2229" s="1"/>
      <c r="Z2229" s="103"/>
      <c r="AA2229" s="103"/>
      <c r="AB2229" s="1"/>
    </row>
    <row r="2230" spans="15:28">
      <c r="O2230" s="1"/>
      <c r="P2230" s="1"/>
      <c r="Q2230" s="1"/>
      <c r="R2230" s="1"/>
      <c r="Z2230" s="103"/>
      <c r="AA2230" s="103"/>
      <c r="AB2230" s="1"/>
    </row>
    <row r="2231" spans="15:28">
      <c r="O2231" s="1"/>
      <c r="P2231" s="1"/>
      <c r="Q2231" s="1"/>
      <c r="R2231" s="1"/>
      <c r="Z2231" s="103"/>
      <c r="AA2231" s="103"/>
      <c r="AB2231" s="1"/>
    </row>
    <row r="2232" spans="15:28">
      <c r="O2232" s="1"/>
      <c r="P2232" s="1"/>
      <c r="Q2232" s="1"/>
      <c r="R2232" s="1"/>
      <c r="Z2232" s="103"/>
      <c r="AA2232" s="103"/>
      <c r="AB2232" s="1"/>
    </row>
    <row r="2233" spans="15:28">
      <c r="O2233" s="1"/>
      <c r="P2233" s="1"/>
      <c r="Q2233" s="1"/>
      <c r="R2233" s="1"/>
      <c r="Z2233" s="103"/>
      <c r="AA2233" s="103"/>
      <c r="AB2233" s="1"/>
    </row>
    <row r="2234" spans="15:28">
      <c r="O2234" s="1"/>
      <c r="P2234" s="1"/>
      <c r="Q2234" s="1"/>
      <c r="R2234" s="1"/>
      <c r="Z2234" s="103"/>
      <c r="AA2234" s="103"/>
      <c r="AB2234" s="1"/>
    </row>
    <row r="2235" spans="15:28">
      <c r="O2235" s="1"/>
      <c r="P2235" s="1"/>
      <c r="Q2235" s="1"/>
      <c r="R2235" s="1"/>
      <c r="Z2235" s="103"/>
      <c r="AA2235" s="103"/>
      <c r="AB2235" s="1"/>
    </row>
    <row r="2236" spans="15:28">
      <c r="O2236" s="1"/>
      <c r="P2236" s="1"/>
      <c r="Q2236" s="1"/>
      <c r="R2236" s="1"/>
      <c r="Z2236" s="103"/>
      <c r="AA2236" s="103"/>
      <c r="AB2236" s="1"/>
    </row>
    <row r="2237" spans="15:28">
      <c r="O2237" s="1"/>
      <c r="P2237" s="1"/>
      <c r="Q2237" s="1"/>
      <c r="R2237" s="1"/>
      <c r="Z2237" s="103"/>
      <c r="AA2237" s="103"/>
      <c r="AB2237" s="1"/>
    </row>
    <row r="2238" spans="15:28">
      <c r="O2238" s="1"/>
      <c r="P2238" s="1"/>
      <c r="Q2238" s="1"/>
      <c r="R2238" s="1"/>
      <c r="Z2238" s="103"/>
      <c r="AA2238" s="103"/>
      <c r="AB2238" s="1"/>
    </row>
    <row r="2239" spans="15:28">
      <c r="O2239" s="1"/>
      <c r="P2239" s="1"/>
      <c r="Q2239" s="1"/>
      <c r="R2239" s="1"/>
      <c r="Z2239" s="103"/>
      <c r="AA2239" s="103"/>
      <c r="AB2239" s="1"/>
    </row>
    <row r="2240" spans="15:28">
      <c r="O2240" s="1"/>
      <c r="P2240" s="1"/>
      <c r="Q2240" s="1"/>
      <c r="R2240" s="1"/>
      <c r="Z2240" s="103"/>
      <c r="AA2240" s="103"/>
      <c r="AB2240" s="1"/>
    </row>
    <row r="2241" spans="15:28">
      <c r="O2241" s="1"/>
      <c r="P2241" s="1"/>
      <c r="Q2241" s="1"/>
      <c r="R2241" s="1"/>
      <c r="Z2241" s="103"/>
      <c r="AA2241" s="103"/>
      <c r="AB2241" s="1"/>
    </row>
    <row r="2242" spans="15:28">
      <c r="O2242" s="1"/>
      <c r="P2242" s="1"/>
      <c r="Q2242" s="1"/>
      <c r="R2242" s="1"/>
      <c r="Z2242" s="103"/>
      <c r="AA2242" s="103"/>
      <c r="AB2242" s="1"/>
    </row>
    <row r="2243" spans="15:28">
      <c r="O2243" s="1"/>
      <c r="P2243" s="1"/>
      <c r="Q2243" s="1"/>
      <c r="R2243" s="1"/>
      <c r="Z2243" s="103"/>
      <c r="AA2243" s="103"/>
      <c r="AB2243" s="1"/>
    </row>
    <row r="2244" spans="15:28">
      <c r="O2244" s="1"/>
      <c r="P2244" s="1"/>
      <c r="Q2244" s="1"/>
      <c r="R2244" s="1"/>
      <c r="Z2244" s="103"/>
      <c r="AA2244" s="103"/>
      <c r="AB2244" s="1"/>
    </row>
    <row r="2245" spans="15:28">
      <c r="O2245" s="1"/>
      <c r="P2245" s="1"/>
      <c r="Q2245" s="1"/>
      <c r="R2245" s="1"/>
      <c r="Z2245" s="103"/>
      <c r="AA2245" s="103"/>
      <c r="AB2245" s="1"/>
    </row>
    <row r="2246" spans="15:28">
      <c r="O2246" s="1"/>
      <c r="P2246" s="1"/>
      <c r="Q2246" s="1"/>
      <c r="R2246" s="1"/>
      <c r="Z2246" s="103"/>
      <c r="AA2246" s="103"/>
      <c r="AB2246" s="1"/>
    </row>
    <row r="2247" spans="15:28">
      <c r="O2247" s="1"/>
      <c r="P2247" s="1"/>
      <c r="Q2247" s="1"/>
      <c r="R2247" s="1"/>
      <c r="Z2247" s="103"/>
      <c r="AA2247" s="103"/>
      <c r="AB2247" s="1"/>
    </row>
    <row r="2248" spans="15:28">
      <c r="O2248" s="1"/>
      <c r="P2248" s="1"/>
      <c r="Q2248" s="1"/>
      <c r="R2248" s="1"/>
      <c r="Z2248" s="103"/>
      <c r="AA2248" s="103"/>
      <c r="AB2248" s="1"/>
    </row>
    <row r="2249" spans="15:28">
      <c r="O2249" s="1"/>
      <c r="P2249" s="1"/>
      <c r="Q2249" s="1"/>
      <c r="R2249" s="1"/>
      <c r="Z2249" s="103"/>
      <c r="AA2249" s="103"/>
      <c r="AB2249" s="1"/>
    </row>
    <row r="2250" spans="15:28">
      <c r="O2250" s="1"/>
      <c r="P2250" s="1"/>
      <c r="Q2250" s="1"/>
      <c r="R2250" s="1"/>
      <c r="Z2250" s="103"/>
      <c r="AA2250" s="103"/>
      <c r="AB2250" s="1"/>
    </row>
    <row r="2251" spans="15:28">
      <c r="O2251" s="1"/>
      <c r="P2251" s="1"/>
      <c r="Q2251" s="1"/>
      <c r="R2251" s="1"/>
      <c r="Z2251" s="103"/>
      <c r="AA2251" s="103"/>
      <c r="AB2251" s="1"/>
    </row>
    <row r="2252" spans="15:28">
      <c r="O2252" s="1"/>
      <c r="P2252" s="1"/>
      <c r="Q2252" s="1"/>
      <c r="R2252" s="1"/>
      <c r="Z2252" s="103"/>
      <c r="AA2252" s="103"/>
      <c r="AB2252" s="1"/>
    </row>
    <row r="2253" spans="15:28">
      <c r="O2253" s="1"/>
      <c r="P2253" s="1"/>
      <c r="Q2253" s="1"/>
      <c r="R2253" s="1"/>
      <c r="Z2253" s="103"/>
      <c r="AA2253" s="103"/>
      <c r="AB2253" s="1"/>
    </row>
    <row r="2254" spans="15:28">
      <c r="O2254" s="1"/>
      <c r="P2254" s="1"/>
      <c r="Q2254" s="1"/>
      <c r="R2254" s="1"/>
      <c r="Z2254" s="103"/>
      <c r="AA2254" s="103"/>
      <c r="AB2254" s="1"/>
    </row>
    <row r="2255" spans="15:28">
      <c r="O2255" s="1"/>
      <c r="P2255" s="1"/>
      <c r="Q2255" s="1"/>
      <c r="R2255" s="1"/>
      <c r="Z2255" s="103"/>
      <c r="AA2255" s="103"/>
      <c r="AB2255" s="1"/>
    </row>
    <row r="2256" spans="15:28">
      <c r="O2256" s="1"/>
      <c r="P2256" s="1"/>
      <c r="Q2256" s="1"/>
      <c r="R2256" s="1"/>
      <c r="Z2256" s="103"/>
      <c r="AA2256" s="103"/>
      <c r="AB2256" s="1"/>
    </row>
    <row r="2257" spans="15:28">
      <c r="O2257" s="1"/>
      <c r="P2257" s="1"/>
      <c r="Q2257" s="1"/>
      <c r="R2257" s="1"/>
      <c r="Z2257" s="103"/>
      <c r="AA2257" s="103"/>
      <c r="AB2257" s="1"/>
    </row>
    <row r="2258" spans="15:28">
      <c r="O2258" s="1"/>
      <c r="P2258" s="1"/>
      <c r="Q2258" s="1"/>
      <c r="R2258" s="1"/>
      <c r="Z2258" s="103"/>
      <c r="AA2258" s="103"/>
      <c r="AB2258" s="1"/>
    </row>
    <row r="2259" spans="15:28">
      <c r="O2259" s="1"/>
      <c r="P2259" s="1"/>
      <c r="Q2259" s="1"/>
      <c r="R2259" s="1"/>
      <c r="Z2259" s="103"/>
      <c r="AA2259" s="103"/>
      <c r="AB2259" s="1"/>
    </row>
    <row r="2260" spans="15:28">
      <c r="O2260" s="1"/>
      <c r="P2260" s="1"/>
      <c r="Q2260" s="1"/>
      <c r="R2260" s="1"/>
      <c r="Z2260" s="103"/>
      <c r="AA2260" s="103"/>
      <c r="AB2260" s="1"/>
    </row>
    <row r="2261" spans="15:28">
      <c r="O2261" s="1"/>
      <c r="P2261" s="1"/>
      <c r="Q2261" s="1"/>
      <c r="R2261" s="1"/>
      <c r="Z2261" s="103"/>
      <c r="AA2261" s="103"/>
      <c r="AB2261" s="1"/>
    </row>
    <row r="2262" spans="15:28">
      <c r="O2262" s="1"/>
      <c r="P2262" s="1"/>
      <c r="Q2262" s="1"/>
      <c r="R2262" s="1"/>
      <c r="Z2262" s="103"/>
      <c r="AA2262" s="103"/>
      <c r="AB2262" s="1"/>
    </row>
    <row r="2263" spans="15:28">
      <c r="O2263" s="1"/>
      <c r="P2263" s="1"/>
      <c r="Q2263" s="1"/>
      <c r="R2263" s="1"/>
      <c r="Z2263" s="103"/>
      <c r="AA2263" s="103"/>
      <c r="AB2263" s="1"/>
    </row>
    <row r="2264" spans="15:28">
      <c r="O2264" s="1"/>
      <c r="P2264" s="1"/>
      <c r="Q2264" s="1"/>
      <c r="R2264" s="1"/>
      <c r="Z2264" s="103"/>
      <c r="AA2264" s="103"/>
      <c r="AB2264" s="1"/>
    </row>
    <row r="2265" spans="15:28">
      <c r="O2265" s="1"/>
      <c r="P2265" s="1"/>
      <c r="Q2265" s="1"/>
      <c r="R2265" s="1"/>
      <c r="Z2265" s="103"/>
      <c r="AA2265" s="103"/>
      <c r="AB2265" s="1"/>
    </row>
    <row r="2266" spans="15:28">
      <c r="O2266" s="1"/>
      <c r="P2266" s="1"/>
      <c r="Q2266" s="1"/>
      <c r="R2266" s="1"/>
      <c r="Z2266" s="103"/>
      <c r="AA2266" s="103"/>
      <c r="AB2266" s="1"/>
    </row>
    <row r="2267" spans="15:28">
      <c r="O2267" s="1"/>
      <c r="P2267" s="1"/>
      <c r="Q2267" s="1"/>
      <c r="R2267" s="1"/>
      <c r="Z2267" s="103"/>
      <c r="AA2267" s="103"/>
      <c r="AB2267" s="1"/>
    </row>
    <row r="2268" spans="15:28">
      <c r="O2268" s="1"/>
      <c r="P2268" s="1"/>
      <c r="Q2268" s="1"/>
      <c r="R2268" s="1"/>
      <c r="Z2268" s="103"/>
      <c r="AA2268" s="103"/>
      <c r="AB2268" s="1"/>
    </row>
    <row r="2269" spans="15:28">
      <c r="O2269" s="1"/>
      <c r="P2269" s="1"/>
      <c r="Q2269" s="1"/>
      <c r="R2269" s="1"/>
      <c r="Z2269" s="103"/>
      <c r="AA2269" s="103"/>
      <c r="AB2269" s="1"/>
    </row>
    <row r="2270" spans="15:28">
      <c r="O2270" s="1"/>
      <c r="P2270" s="1"/>
      <c r="Q2270" s="1"/>
      <c r="R2270" s="1"/>
      <c r="Z2270" s="103"/>
      <c r="AA2270" s="103"/>
      <c r="AB2270" s="1"/>
    </row>
    <row r="2271" spans="15:28">
      <c r="O2271" s="1"/>
      <c r="P2271" s="1"/>
      <c r="Q2271" s="1"/>
      <c r="R2271" s="1"/>
      <c r="Z2271" s="103"/>
      <c r="AA2271" s="103"/>
      <c r="AB2271" s="1"/>
    </row>
    <row r="2272" spans="15:28">
      <c r="O2272" s="1"/>
      <c r="P2272" s="1"/>
      <c r="Q2272" s="1"/>
      <c r="R2272" s="1"/>
      <c r="Z2272" s="103"/>
      <c r="AA2272" s="103"/>
      <c r="AB2272" s="1"/>
    </row>
    <row r="2273" spans="15:30">
      <c r="O2273" s="1"/>
      <c r="P2273" s="1"/>
      <c r="Q2273" s="1"/>
      <c r="R2273" s="1"/>
      <c r="Z2273" s="103"/>
      <c r="AA2273" s="103"/>
      <c r="AB2273" s="1"/>
      <c r="AD2273" s="102"/>
    </row>
    <row r="2274" spans="15:30">
      <c r="O2274" s="1"/>
      <c r="P2274" s="1"/>
      <c r="Q2274" s="1"/>
      <c r="R2274" s="1"/>
      <c r="Z2274" s="103"/>
      <c r="AA2274" s="103"/>
      <c r="AB2274" s="1"/>
    </row>
    <row r="2275" spans="15:30">
      <c r="O2275" s="1"/>
      <c r="P2275" s="1"/>
      <c r="Q2275" s="1"/>
      <c r="R2275" s="1"/>
      <c r="Z2275" s="103"/>
      <c r="AA2275" s="103"/>
      <c r="AB2275" s="1"/>
    </row>
    <row r="2276" spans="15:30">
      <c r="O2276" s="1"/>
      <c r="P2276" s="1"/>
      <c r="Q2276" s="1"/>
      <c r="R2276" s="1"/>
      <c r="Z2276" s="103"/>
      <c r="AA2276" s="103"/>
      <c r="AB2276" s="1"/>
    </row>
    <row r="2277" spans="15:30">
      <c r="O2277" s="1"/>
      <c r="P2277" s="1"/>
      <c r="Q2277" s="1"/>
      <c r="R2277" s="1"/>
      <c r="Z2277" s="103"/>
      <c r="AA2277" s="103"/>
      <c r="AB2277" s="1"/>
    </row>
    <row r="2278" spans="15:30">
      <c r="O2278" s="1"/>
      <c r="P2278" s="1"/>
      <c r="Q2278" s="1"/>
      <c r="R2278" s="1"/>
      <c r="Z2278" s="103"/>
      <c r="AA2278" s="103"/>
      <c r="AB2278" s="1"/>
    </row>
    <row r="2279" spans="15:30">
      <c r="O2279" s="1"/>
      <c r="P2279" s="1"/>
      <c r="Q2279" s="1"/>
      <c r="R2279" s="1"/>
      <c r="Z2279" s="103"/>
      <c r="AA2279" s="103"/>
      <c r="AB2279" s="1"/>
    </row>
    <row r="2280" spans="15:30">
      <c r="O2280" s="1"/>
      <c r="P2280" s="1"/>
      <c r="Q2280" s="1"/>
      <c r="R2280" s="1"/>
      <c r="Z2280" s="103"/>
      <c r="AA2280" s="103"/>
      <c r="AB2280" s="1"/>
    </row>
    <row r="2281" spans="15:30">
      <c r="O2281" s="1"/>
      <c r="P2281" s="1"/>
      <c r="Q2281" s="1"/>
      <c r="R2281" s="1"/>
      <c r="Z2281" s="103"/>
      <c r="AA2281" s="103"/>
      <c r="AB2281" s="1"/>
    </row>
    <row r="2282" spans="15:30">
      <c r="O2282" s="1"/>
      <c r="P2282" s="1"/>
      <c r="Q2282" s="1"/>
      <c r="R2282" s="1"/>
      <c r="Z2282" s="103"/>
      <c r="AA2282" s="103"/>
      <c r="AB2282" s="1"/>
    </row>
    <row r="2283" spans="15:30">
      <c r="O2283" s="1"/>
      <c r="P2283" s="1"/>
      <c r="Q2283" s="1"/>
      <c r="R2283" s="1"/>
      <c r="Z2283" s="103"/>
      <c r="AA2283" s="103"/>
      <c r="AB2283" s="1"/>
    </row>
    <row r="2284" spans="15:30">
      <c r="O2284" s="1"/>
      <c r="P2284" s="1"/>
      <c r="Q2284" s="1"/>
      <c r="R2284" s="1"/>
      <c r="Z2284" s="103"/>
      <c r="AA2284" s="103"/>
      <c r="AB2284" s="1"/>
    </row>
    <row r="2285" spans="15:30">
      <c r="O2285" s="1"/>
      <c r="P2285" s="1"/>
      <c r="Q2285" s="1"/>
      <c r="R2285" s="1"/>
      <c r="Z2285" s="103"/>
      <c r="AA2285" s="103"/>
      <c r="AB2285" s="1"/>
    </row>
    <row r="2286" spans="15:30">
      <c r="O2286" s="1"/>
      <c r="P2286" s="1"/>
      <c r="Q2286" s="1"/>
      <c r="R2286" s="1"/>
      <c r="Z2286" s="103"/>
      <c r="AA2286" s="103"/>
      <c r="AB2286" s="1"/>
    </row>
    <row r="2287" spans="15:30">
      <c r="O2287" s="1"/>
      <c r="P2287" s="1"/>
      <c r="Q2287" s="1"/>
      <c r="R2287" s="1"/>
      <c r="Z2287" s="103"/>
      <c r="AA2287" s="103"/>
      <c r="AB2287" s="1"/>
    </row>
    <row r="2288" spans="15:30">
      <c r="O2288" s="1"/>
      <c r="P2288" s="1"/>
      <c r="Q2288" s="1"/>
      <c r="R2288" s="1"/>
      <c r="Z2288" s="103"/>
      <c r="AA2288" s="103"/>
      <c r="AB2288" s="1"/>
    </row>
    <row r="2289" spans="15:28">
      <c r="O2289" s="1"/>
      <c r="P2289" s="1"/>
      <c r="Q2289" s="1"/>
      <c r="R2289" s="1"/>
      <c r="Z2289" s="103"/>
      <c r="AA2289" s="103"/>
      <c r="AB2289" s="1"/>
    </row>
    <row r="2290" spans="15:28">
      <c r="O2290" s="1"/>
      <c r="P2290" s="1"/>
      <c r="Q2290" s="1"/>
      <c r="R2290" s="1"/>
      <c r="Z2290" s="103"/>
      <c r="AA2290" s="103"/>
      <c r="AB2290" s="1"/>
    </row>
    <row r="2291" spans="15:28">
      <c r="O2291" s="1"/>
      <c r="P2291" s="1"/>
      <c r="Q2291" s="1"/>
      <c r="R2291" s="1"/>
      <c r="Z2291" s="103"/>
      <c r="AA2291" s="103"/>
      <c r="AB2291" s="1"/>
    </row>
    <row r="2292" spans="15:28">
      <c r="O2292" s="1"/>
      <c r="P2292" s="1"/>
      <c r="Q2292" s="1"/>
      <c r="R2292" s="1"/>
      <c r="Z2292" s="103"/>
      <c r="AA2292" s="103"/>
      <c r="AB2292" s="1"/>
    </row>
    <row r="2293" spans="15:28">
      <c r="O2293" s="1"/>
      <c r="P2293" s="1"/>
      <c r="Q2293" s="1"/>
      <c r="R2293" s="1"/>
      <c r="Z2293" s="103"/>
      <c r="AA2293" s="103"/>
      <c r="AB2293" s="1"/>
    </row>
    <row r="2294" spans="15:28">
      <c r="O2294" s="1"/>
      <c r="P2294" s="1"/>
      <c r="Q2294" s="1"/>
      <c r="R2294" s="1"/>
      <c r="Z2294" s="103"/>
      <c r="AA2294" s="103"/>
      <c r="AB2294" s="1"/>
    </row>
    <row r="2295" spans="15:28">
      <c r="O2295" s="1"/>
      <c r="P2295" s="1"/>
      <c r="Q2295" s="1"/>
      <c r="R2295" s="1"/>
      <c r="Z2295" s="103"/>
      <c r="AA2295" s="103"/>
      <c r="AB2295" s="1"/>
    </row>
    <row r="2296" spans="15:28">
      <c r="O2296" s="1"/>
      <c r="P2296" s="1"/>
      <c r="Q2296" s="1"/>
      <c r="R2296" s="1"/>
      <c r="Z2296" s="103"/>
      <c r="AA2296" s="103"/>
      <c r="AB2296" s="1"/>
    </row>
    <row r="2297" spans="15:28">
      <c r="O2297" s="1"/>
      <c r="P2297" s="1"/>
      <c r="Q2297" s="1"/>
      <c r="R2297" s="1"/>
      <c r="Z2297" s="103"/>
      <c r="AA2297" s="103"/>
      <c r="AB2297" s="1"/>
    </row>
    <row r="2298" spans="15:28">
      <c r="O2298" s="1"/>
      <c r="P2298" s="1"/>
      <c r="Q2298" s="1"/>
      <c r="R2298" s="1"/>
      <c r="Z2298" s="103"/>
      <c r="AA2298" s="103"/>
      <c r="AB2298" s="1"/>
    </row>
    <row r="2299" spans="15:28">
      <c r="O2299" s="1"/>
      <c r="P2299" s="1"/>
      <c r="Q2299" s="1"/>
      <c r="R2299" s="1"/>
      <c r="Z2299" s="103"/>
      <c r="AA2299" s="103"/>
      <c r="AB2299" s="1"/>
    </row>
    <row r="2300" spans="15:28">
      <c r="O2300" s="1"/>
      <c r="P2300" s="1"/>
      <c r="Q2300" s="1"/>
      <c r="R2300" s="1"/>
      <c r="Z2300" s="103"/>
      <c r="AA2300" s="103"/>
      <c r="AB2300" s="1"/>
    </row>
    <row r="2301" spans="15:28">
      <c r="O2301" s="1"/>
      <c r="P2301" s="1"/>
      <c r="Q2301" s="1"/>
      <c r="R2301" s="1"/>
      <c r="Z2301" s="103"/>
      <c r="AA2301" s="103"/>
      <c r="AB2301" s="1"/>
    </row>
    <row r="2302" spans="15:28">
      <c r="O2302" s="1"/>
      <c r="P2302" s="1"/>
      <c r="Q2302" s="1"/>
      <c r="R2302" s="1"/>
      <c r="Z2302" s="103"/>
      <c r="AA2302" s="103"/>
      <c r="AB2302" s="1"/>
    </row>
    <row r="2303" spans="15:28">
      <c r="O2303" s="1"/>
      <c r="P2303" s="1"/>
      <c r="Q2303" s="1"/>
      <c r="R2303" s="1"/>
      <c r="Z2303" s="103"/>
      <c r="AA2303" s="103"/>
      <c r="AB2303" s="1"/>
    </row>
    <row r="2304" spans="15:28">
      <c r="O2304" s="1"/>
      <c r="P2304" s="1"/>
      <c r="Q2304" s="1"/>
      <c r="R2304" s="1"/>
      <c r="Z2304" s="103"/>
      <c r="AA2304" s="103"/>
      <c r="AB2304" s="1"/>
    </row>
    <row r="2305" spans="15:30">
      <c r="O2305" s="1"/>
      <c r="P2305" s="1"/>
      <c r="Q2305" s="1"/>
      <c r="R2305" s="1"/>
      <c r="Z2305" s="103"/>
      <c r="AA2305" s="103"/>
      <c r="AB2305" s="1"/>
    </row>
    <row r="2306" spans="15:30">
      <c r="O2306" s="1"/>
      <c r="P2306" s="1"/>
      <c r="Q2306" s="1"/>
      <c r="R2306" s="1"/>
      <c r="Z2306" s="103"/>
      <c r="AA2306" s="103"/>
      <c r="AB2306" s="1"/>
    </row>
    <row r="2307" spans="15:30">
      <c r="O2307" s="1"/>
      <c r="P2307" s="1"/>
      <c r="Q2307" s="1"/>
      <c r="R2307" s="1"/>
      <c r="Z2307" s="103"/>
      <c r="AA2307" s="103"/>
      <c r="AB2307" s="1"/>
    </row>
    <row r="2308" spans="15:30">
      <c r="O2308" s="1"/>
      <c r="P2308" s="1"/>
      <c r="Q2308" s="1"/>
      <c r="R2308" s="1"/>
      <c r="Z2308" s="103"/>
      <c r="AA2308" s="103"/>
      <c r="AB2308" s="1"/>
    </row>
    <row r="2309" spans="15:30">
      <c r="O2309" s="1"/>
      <c r="P2309" s="1"/>
      <c r="Q2309" s="1"/>
      <c r="R2309" s="1"/>
      <c r="Z2309" s="103"/>
      <c r="AA2309" s="103"/>
      <c r="AB2309" s="1"/>
    </row>
    <row r="2310" spans="15:30">
      <c r="O2310" s="1"/>
      <c r="P2310" s="1"/>
      <c r="Q2310" s="1"/>
      <c r="R2310" s="1"/>
      <c r="Z2310" s="103"/>
      <c r="AA2310" s="103"/>
      <c r="AB2310" s="1"/>
    </row>
    <row r="2311" spans="15:30">
      <c r="O2311" s="1"/>
      <c r="P2311" s="1"/>
      <c r="Q2311" s="1"/>
      <c r="R2311" s="1"/>
      <c r="Z2311" s="103"/>
      <c r="AA2311" s="103"/>
      <c r="AB2311" s="1"/>
    </row>
    <row r="2312" spans="15:30">
      <c r="O2312" s="1"/>
      <c r="P2312" s="1"/>
      <c r="Q2312" s="1"/>
      <c r="R2312" s="1"/>
      <c r="Z2312" s="103"/>
      <c r="AA2312" s="103"/>
      <c r="AB2312" s="1"/>
    </row>
    <row r="2313" spans="15:30">
      <c r="O2313" s="1"/>
      <c r="P2313" s="1"/>
      <c r="Q2313" s="1"/>
      <c r="R2313" s="1"/>
      <c r="Z2313" s="103"/>
      <c r="AA2313" s="103"/>
      <c r="AB2313" s="1"/>
    </row>
    <row r="2314" spans="15:30">
      <c r="O2314" s="1"/>
      <c r="P2314" s="1"/>
      <c r="Q2314" s="1"/>
      <c r="R2314" s="1"/>
      <c r="Z2314" s="103"/>
      <c r="AA2314" s="103"/>
      <c r="AB2314" s="1"/>
    </row>
    <row r="2315" spans="15:30">
      <c r="O2315" s="1"/>
      <c r="P2315" s="1"/>
      <c r="Q2315" s="1"/>
      <c r="R2315" s="1"/>
      <c r="Z2315" s="103"/>
      <c r="AA2315" s="103"/>
      <c r="AB2315" s="1"/>
    </row>
    <row r="2316" spans="15:30">
      <c r="O2316" s="1"/>
      <c r="P2316" s="1"/>
      <c r="Q2316" s="1"/>
      <c r="R2316" s="1"/>
      <c r="Z2316" s="103"/>
      <c r="AA2316" s="103"/>
      <c r="AB2316" s="1"/>
    </row>
    <row r="2317" spans="15:30">
      <c r="O2317" s="1"/>
      <c r="P2317" s="1"/>
      <c r="Q2317" s="1"/>
      <c r="R2317" s="1"/>
      <c r="Z2317" s="103"/>
      <c r="AA2317" s="103"/>
      <c r="AB2317" s="1"/>
      <c r="AD2317" s="102"/>
    </row>
    <row r="2318" spans="15:30">
      <c r="O2318" s="1"/>
      <c r="P2318" s="1"/>
      <c r="Q2318" s="1"/>
      <c r="R2318" s="1"/>
      <c r="Z2318" s="103"/>
      <c r="AA2318" s="103"/>
      <c r="AB2318" s="1"/>
    </row>
    <row r="2319" spans="15:30">
      <c r="O2319" s="1"/>
      <c r="P2319" s="1"/>
      <c r="Q2319" s="1"/>
      <c r="R2319" s="1"/>
      <c r="Z2319" s="103"/>
      <c r="AA2319" s="103"/>
      <c r="AB2319" s="1"/>
    </row>
    <row r="2320" spans="15:30">
      <c r="O2320" s="1"/>
      <c r="P2320" s="1"/>
      <c r="Q2320" s="1"/>
      <c r="R2320" s="1"/>
      <c r="Z2320" s="103"/>
      <c r="AA2320" s="103"/>
      <c r="AB2320" s="1"/>
    </row>
    <row r="2321" spans="15:28">
      <c r="O2321" s="1"/>
      <c r="P2321" s="1"/>
      <c r="Q2321" s="1"/>
      <c r="R2321" s="1"/>
      <c r="Z2321" s="103"/>
      <c r="AA2321" s="103"/>
      <c r="AB2321" s="1"/>
    </row>
    <row r="2322" spans="15:28">
      <c r="O2322" s="1"/>
      <c r="P2322" s="1"/>
      <c r="Q2322" s="1"/>
      <c r="R2322" s="1"/>
      <c r="Z2322" s="103"/>
      <c r="AA2322" s="103"/>
      <c r="AB2322" s="1"/>
    </row>
    <row r="2323" spans="15:28">
      <c r="O2323" s="1"/>
      <c r="P2323" s="1"/>
      <c r="Q2323" s="1"/>
      <c r="R2323" s="1"/>
      <c r="Z2323" s="103"/>
      <c r="AA2323" s="103"/>
      <c r="AB2323" s="1"/>
    </row>
    <row r="2324" spans="15:28">
      <c r="O2324" s="1"/>
      <c r="P2324" s="1"/>
      <c r="Q2324" s="1"/>
      <c r="R2324" s="1"/>
      <c r="Z2324" s="103"/>
      <c r="AA2324" s="103"/>
      <c r="AB2324" s="1"/>
    </row>
    <row r="2325" spans="15:28">
      <c r="O2325" s="1"/>
      <c r="P2325" s="1"/>
      <c r="Q2325" s="1"/>
      <c r="R2325" s="1"/>
      <c r="Z2325" s="103"/>
      <c r="AA2325" s="103"/>
      <c r="AB2325" s="1"/>
    </row>
    <row r="2326" spans="15:28">
      <c r="O2326" s="1"/>
      <c r="P2326" s="1"/>
      <c r="Q2326" s="1"/>
      <c r="R2326" s="1"/>
      <c r="Z2326" s="103"/>
      <c r="AA2326" s="103"/>
      <c r="AB2326" s="1"/>
    </row>
    <row r="2327" spans="15:28">
      <c r="O2327" s="1"/>
      <c r="P2327" s="1"/>
      <c r="Q2327" s="1"/>
      <c r="R2327" s="1"/>
      <c r="Z2327" s="103"/>
      <c r="AA2327" s="103"/>
      <c r="AB2327" s="1"/>
    </row>
    <row r="2328" spans="15:28">
      <c r="O2328" s="1"/>
      <c r="P2328" s="1"/>
      <c r="Q2328" s="1"/>
      <c r="R2328" s="1"/>
      <c r="Z2328" s="103"/>
      <c r="AA2328" s="103"/>
      <c r="AB2328" s="1"/>
    </row>
    <row r="2329" spans="15:28">
      <c r="O2329" s="1"/>
      <c r="P2329" s="1"/>
      <c r="Q2329" s="1"/>
      <c r="R2329" s="1"/>
      <c r="Z2329" s="103"/>
      <c r="AA2329" s="103"/>
      <c r="AB2329" s="1"/>
    </row>
    <row r="2330" spans="15:28">
      <c r="O2330" s="1"/>
      <c r="P2330" s="1"/>
      <c r="Q2330" s="1"/>
      <c r="R2330" s="1"/>
      <c r="Z2330" s="103"/>
      <c r="AA2330" s="103"/>
      <c r="AB2330" s="1"/>
    </row>
    <row r="2331" spans="15:28">
      <c r="O2331" s="1"/>
      <c r="P2331" s="1"/>
      <c r="Q2331" s="1"/>
      <c r="R2331" s="1"/>
      <c r="Z2331" s="103"/>
      <c r="AA2331" s="103"/>
      <c r="AB2331" s="1"/>
    </row>
    <row r="2332" spans="15:28">
      <c r="O2332" s="1"/>
      <c r="P2332" s="1"/>
      <c r="Q2332" s="1"/>
      <c r="R2332" s="1"/>
      <c r="Z2332" s="103"/>
      <c r="AA2332" s="103"/>
      <c r="AB2332" s="1"/>
    </row>
    <row r="2333" spans="15:28">
      <c r="O2333" s="1"/>
      <c r="P2333" s="1"/>
      <c r="Q2333" s="1"/>
      <c r="R2333" s="1"/>
      <c r="Z2333" s="103"/>
      <c r="AA2333" s="103"/>
      <c r="AB2333" s="1"/>
    </row>
    <row r="2334" spans="15:28">
      <c r="O2334" s="1"/>
      <c r="P2334" s="1"/>
      <c r="Q2334" s="1"/>
      <c r="R2334" s="1"/>
      <c r="Z2334" s="103"/>
      <c r="AA2334" s="103"/>
      <c r="AB2334" s="1"/>
    </row>
    <row r="2335" spans="15:28">
      <c r="O2335" s="1"/>
      <c r="P2335" s="1"/>
      <c r="Q2335" s="1"/>
      <c r="R2335" s="1"/>
      <c r="Z2335" s="103"/>
      <c r="AA2335" s="103"/>
      <c r="AB2335" s="1"/>
    </row>
    <row r="2336" spans="15:28">
      <c r="O2336" s="1"/>
      <c r="P2336" s="1"/>
      <c r="Q2336" s="1"/>
      <c r="R2336" s="1"/>
      <c r="Z2336" s="103"/>
      <c r="AA2336" s="103"/>
      <c r="AB2336" s="1"/>
    </row>
    <row r="2337" spans="15:28">
      <c r="O2337" s="1"/>
      <c r="P2337" s="1"/>
      <c r="Q2337" s="1"/>
      <c r="R2337" s="1"/>
      <c r="Z2337" s="103"/>
      <c r="AA2337" s="103"/>
      <c r="AB2337" s="1"/>
    </row>
    <row r="2338" spans="15:28">
      <c r="O2338" s="1"/>
      <c r="P2338" s="1"/>
      <c r="Q2338" s="1"/>
      <c r="R2338" s="1"/>
      <c r="Z2338" s="103"/>
      <c r="AA2338" s="103"/>
      <c r="AB2338" s="1"/>
    </row>
    <row r="2339" spans="15:28">
      <c r="O2339" s="1"/>
      <c r="P2339" s="1"/>
      <c r="Q2339" s="1"/>
      <c r="R2339" s="1"/>
      <c r="Z2339" s="103"/>
      <c r="AA2339" s="103"/>
      <c r="AB2339" s="1"/>
    </row>
    <row r="2340" spans="15:28">
      <c r="O2340" s="1"/>
      <c r="P2340" s="1"/>
      <c r="Q2340" s="1"/>
      <c r="R2340" s="1"/>
      <c r="Z2340" s="103"/>
      <c r="AA2340" s="103"/>
      <c r="AB2340" s="1"/>
    </row>
    <row r="2341" spans="15:28">
      <c r="O2341" s="1"/>
      <c r="P2341" s="1"/>
      <c r="Q2341" s="1"/>
      <c r="R2341" s="1"/>
      <c r="Z2341" s="103"/>
      <c r="AA2341" s="103"/>
      <c r="AB2341" s="1"/>
    </row>
    <row r="2342" spans="15:28">
      <c r="O2342" s="1"/>
      <c r="P2342" s="1"/>
      <c r="Q2342" s="1"/>
      <c r="R2342" s="1"/>
      <c r="Z2342" s="103"/>
      <c r="AA2342" s="103"/>
      <c r="AB2342" s="1"/>
    </row>
    <row r="2343" spans="15:28">
      <c r="O2343" s="1"/>
      <c r="P2343" s="1"/>
      <c r="Q2343" s="1"/>
      <c r="R2343" s="1"/>
      <c r="Z2343" s="103"/>
      <c r="AA2343" s="103"/>
      <c r="AB2343" s="1"/>
    </row>
    <row r="2344" spans="15:28">
      <c r="O2344" s="1"/>
      <c r="P2344" s="1"/>
      <c r="Q2344" s="1"/>
      <c r="R2344" s="1"/>
      <c r="Z2344" s="103"/>
      <c r="AA2344" s="103"/>
      <c r="AB2344" s="1"/>
    </row>
    <row r="2345" spans="15:28">
      <c r="O2345" s="1"/>
      <c r="P2345" s="1"/>
      <c r="Q2345" s="1"/>
      <c r="R2345" s="1"/>
      <c r="Z2345" s="103"/>
      <c r="AA2345" s="103"/>
      <c r="AB2345" s="1"/>
    </row>
    <row r="2346" spans="15:28">
      <c r="O2346" s="1"/>
      <c r="P2346" s="1"/>
      <c r="Q2346" s="1"/>
      <c r="R2346" s="1"/>
      <c r="Z2346" s="103"/>
      <c r="AA2346" s="103"/>
      <c r="AB2346" s="1"/>
    </row>
    <row r="2347" spans="15:28">
      <c r="O2347" s="1"/>
      <c r="P2347" s="1"/>
      <c r="Q2347" s="1"/>
      <c r="R2347" s="1"/>
      <c r="Z2347" s="103"/>
      <c r="AA2347" s="103"/>
      <c r="AB2347" s="1"/>
    </row>
    <row r="2348" spans="15:28">
      <c r="O2348" s="1"/>
      <c r="P2348" s="1"/>
      <c r="Q2348" s="1"/>
      <c r="R2348" s="1"/>
      <c r="Z2348" s="103"/>
      <c r="AA2348" s="103"/>
      <c r="AB2348" s="1"/>
    </row>
    <row r="2349" spans="15:28">
      <c r="O2349" s="1"/>
      <c r="P2349" s="1"/>
      <c r="Q2349" s="1"/>
      <c r="R2349" s="1"/>
      <c r="Z2349" s="103"/>
      <c r="AA2349" s="103"/>
      <c r="AB2349" s="1"/>
    </row>
    <row r="2350" spans="15:28">
      <c r="O2350" s="1"/>
      <c r="P2350" s="1"/>
      <c r="Q2350" s="1"/>
      <c r="R2350" s="1"/>
      <c r="Z2350" s="103"/>
      <c r="AA2350" s="103"/>
      <c r="AB2350" s="1"/>
    </row>
    <row r="2351" spans="15:28">
      <c r="O2351" s="1"/>
      <c r="P2351" s="1"/>
      <c r="Q2351" s="1"/>
      <c r="R2351" s="1"/>
      <c r="Z2351" s="103"/>
      <c r="AA2351" s="103"/>
      <c r="AB2351" s="1"/>
    </row>
    <row r="2352" spans="15:28">
      <c r="O2352" s="1"/>
      <c r="P2352" s="1"/>
      <c r="Q2352" s="1"/>
      <c r="R2352" s="1"/>
      <c r="Z2352" s="103"/>
      <c r="AA2352" s="103"/>
      <c r="AB2352" s="1"/>
    </row>
    <row r="2353" spans="15:28">
      <c r="O2353" s="1"/>
      <c r="P2353" s="1"/>
      <c r="Q2353" s="1"/>
      <c r="R2353" s="1"/>
      <c r="Z2353" s="103"/>
      <c r="AA2353" s="103"/>
      <c r="AB2353" s="1"/>
    </row>
    <row r="2354" spans="15:28">
      <c r="O2354" s="1"/>
      <c r="P2354" s="1"/>
      <c r="Q2354" s="1"/>
      <c r="R2354" s="1"/>
      <c r="Z2354" s="103"/>
      <c r="AA2354" s="103"/>
      <c r="AB2354" s="1"/>
    </row>
    <row r="2355" spans="15:28">
      <c r="O2355" s="1"/>
      <c r="P2355" s="1"/>
      <c r="Q2355" s="1"/>
      <c r="R2355" s="1"/>
      <c r="Z2355" s="103"/>
      <c r="AA2355" s="103"/>
      <c r="AB2355" s="1"/>
    </row>
    <row r="2356" spans="15:28">
      <c r="O2356" s="1"/>
      <c r="P2356" s="1"/>
      <c r="Q2356" s="1"/>
      <c r="R2356" s="1"/>
      <c r="Z2356" s="103"/>
      <c r="AA2356" s="103"/>
      <c r="AB2356" s="1"/>
    </row>
    <row r="2357" spans="15:28">
      <c r="O2357" s="1"/>
      <c r="P2357" s="1"/>
      <c r="Q2357" s="1"/>
      <c r="R2357" s="1"/>
      <c r="Z2357" s="103"/>
      <c r="AA2357" s="103"/>
      <c r="AB2357" s="1"/>
    </row>
    <row r="2358" spans="15:28">
      <c r="O2358" s="1"/>
      <c r="P2358" s="1"/>
      <c r="Q2358" s="1"/>
      <c r="R2358" s="1"/>
      <c r="Z2358" s="103"/>
      <c r="AA2358" s="103"/>
      <c r="AB2358" s="1"/>
    </row>
    <row r="2359" spans="15:28">
      <c r="O2359" s="1"/>
      <c r="P2359" s="1"/>
      <c r="Q2359" s="1"/>
      <c r="R2359" s="1"/>
      <c r="Z2359" s="103"/>
      <c r="AA2359" s="103"/>
      <c r="AB2359" s="1"/>
    </row>
    <row r="2360" spans="15:28">
      <c r="O2360" s="1"/>
      <c r="P2360" s="1"/>
      <c r="Q2360" s="1"/>
      <c r="R2360" s="1"/>
      <c r="Z2360" s="103"/>
      <c r="AA2360" s="103"/>
      <c r="AB2360" s="1"/>
    </row>
    <row r="2361" spans="15:28">
      <c r="O2361" s="1"/>
      <c r="P2361" s="1"/>
      <c r="Q2361" s="1"/>
      <c r="R2361" s="1"/>
      <c r="Z2361" s="103"/>
      <c r="AA2361" s="103"/>
      <c r="AB2361" s="1"/>
    </row>
    <row r="2362" spans="15:28">
      <c r="O2362" s="1"/>
      <c r="P2362" s="1"/>
      <c r="Q2362" s="1"/>
      <c r="R2362" s="1"/>
      <c r="Z2362" s="103"/>
      <c r="AA2362" s="103"/>
      <c r="AB2362" s="1"/>
    </row>
    <row r="2363" spans="15:28">
      <c r="O2363" s="1"/>
      <c r="P2363" s="1"/>
      <c r="Q2363" s="1"/>
      <c r="R2363" s="1"/>
      <c r="Z2363" s="103"/>
      <c r="AA2363" s="103"/>
      <c r="AB2363" s="1"/>
    </row>
    <row r="2364" spans="15:28">
      <c r="O2364" s="1"/>
      <c r="P2364" s="1"/>
      <c r="Q2364" s="1"/>
      <c r="R2364" s="1"/>
      <c r="Z2364" s="103"/>
      <c r="AA2364" s="103"/>
      <c r="AB2364" s="1"/>
    </row>
    <row r="2365" spans="15:28">
      <c r="O2365" s="1"/>
      <c r="P2365" s="1"/>
      <c r="Q2365" s="1"/>
      <c r="R2365" s="1"/>
      <c r="Z2365" s="103"/>
      <c r="AA2365" s="103"/>
      <c r="AB2365" s="1"/>
    </row>
    <row r="2366" spans="15:28">
      <c r="O2366" s="1"/>
      <c r="P2366" s="1"/>
      <c r="Q2366" s="1"/>
      <c r="R2366" s="1"/>
      <c r="Z2366" s="103"/>
      <c r="AA2366" s="103"/>
      <c r="AB2366" s="1"/>
    </row>
    <row r="2367" spans="15:28">
      <c r="O2367" s="1"/>
      <c r="P2367" s="1"/>
      <c r="Q2367" s="1"/>
      <c r="R2367" s="1"/>
      <c r="Z2367" s="103"/>
      <c r="AA2367" s="103"/>
      <c r="AB2367" s="1"/>
    </row>
    <row r="2368" spans="15:28">
      <c r="O2368" s="1"/>
      <c r="P2368" s="1"/>
      <c r="Q2368" s="1"/>
      <c r="R2368" s="1"/>
      <c r="Z2368" s="103"/>
      <c r="AA2368" s="103"/>
      <c r="AB2368" s="1"/>
    </row>
    <row r="2369" spans="15:30">
      <c r="O2369" s="1"/>
      <c r="P2369" s="1"/>
      <c r="Q2369" s="1"/>
      <c r="R2369" s="1"/>
      <c r="Z2369" s="103"/>
      <c r="AA2369" s="103"/>
      <c r="AB2369" s="1"/>
    </row>
    <row r="2370" spans="15:30">
      <c r="O2370" s="1"/>
      <c r="P2370" s="1"/>
      <c r="Q2370" s="1"/>
      <c r="R2370" s="1"/>
      <c r="Z2370" s="103"/>
      <c r="AA2370" s="103"/>
      <c r="AB2370" s="1"/>
      <c r="AD2370" s="102"/>
    </row>
    <row r="2371" spans="15:30">
      <c r="O2371" s="1"/>
      <c r="P2371" s="1"/>
      <c r="Q2371" s="1"/>
      <c r="R2371" s="1"/>
      <c r="Z2371" s="103"/>
      <c r="AA2371" s="103"/>
      <c r="AB2371" s="1"/>
      <c r="AD2371" s="102"/>
    </row>
    <row r="2372" spans="15:30">
      <c r="O2372" s="1"/>
      <c r="P2372" s="1"/>
      <c r="Q2372" s="1"/>
      <c r="R2372" s="1"/>
      <c r="Z2372" s="103"/>
      <c r="AA2372" s="103"/>
      <c r="AB2372" s="1"/>
    </row>
    <row r="2373" spans="15:30">
      <c r="O2373" s="1"/>
      <c r="P2373" s="1"/>
      <c r="Q2373" s="1"/>
      <c r="R2373" s="1"/>
      <c r="Z2373" s="103"/>
      <c r="AA2373" s="103"/>
      <c r="AB2373" s="1"/>
    </row>
    <row r="2374" spans="15:30">
      <c r="O2374" s="1"/>
      <c r="P2374" s="1"/>
      <c r="Q2374" s="1"/>
      <c r="R2374" s="1"/>
      <c r="Z2374" s="103"/>
      <c r="AA2374" s="103"/>
      <c r="AB2374" s="1"/>
    </row>
    <row r="2375" spans="15:30">
      <c r="O2375" s="1"/>
      <c r="P2375" s="1"/>
      <c r="Q2375" s="1"/>
      <c r="R2375" s="1"/>
      <c r="Z2375" s="103"/>
      <c r="AA2375" s="103"/>
      <c r="AB2375" s="1"/>
    </row>
    <row r="2376" spans="15:30">
      <c r="O2376" s="1"/>
      <c r="P2376" s="1"/>
      <c r="Q2376" s="1"/>
      <c r="R2376" s="1"/>
      <c r="Z2376" s="103"/>
      <c r="AA2376" s="103"/>
      <c r="AB2376" s="1"/>
      <c r="AD2376" s="102"/>
    </row>
    <row r="2377" spans="15:30">
      <c r="O2377" s="1"/>
      <c r="P2377" s="1"/>
      <c r="Q2377" s="1"/>
      <c r="R2377" s="1"/>
      <c r="Z2377" s="103"/>
      <c r="AA2377" s="103"/>
      <c r="AB2377" s="1"/>
    </row>
    <row r="2378" spans="15:30">
      <c r="O2378" s="1"/>
      <c r="P2378" s="1"/>
      <c r="Q2378" s="1"/>
      <c r="R2378" s="1"/>
      <c r="Z2378" s="103"/>
      <c r="AA2378" s="103"/>
      <c r="AB2378" s="1"/>
    </row>
    <row r="2379" spans="15:30">
      <c r="O2379" s="1"/>
      <c r="P2379" s="1"/>
      <c r="Q2379" s="1"/>
      <c r="R2379" s="1"/>
      <c r="Z2379" s="103"/>
      <c r="AA2379" s="103"/>
      <c r="AB2379" s="1"/>
    </row>
    <row r="2380" spans="15:30">
      <c r="O2380" s="1"/>
      <c r="P2380" s="1"/>
      <c r="Q2380" s="1"/>
      <c r="R2380" s="1"/>
      <c r="Z2380" s="103"/>
      <c r="AA2380" s="103"/>
      <c r="AB2380" s="1"/>
    </row>
    <row r="2381" spans="15:30">
      <c r="O2381" s="1"/>
      <c r="P2381" s="1"/>
      <c r="Q2381" s="1"/>
      <c r="R2381" s="1"/>
      <c r="Z2381" s="103"/>
      <c r="AA2381" s="103"/>
      <c r="AB2381" s="1"/>
    </row>
    <row r="2382" spans="15:30">
      <c r="O2382" s="1"/>
      <c r="P2382" s="1"/>
      <c r="Q2382" s="1"/>
      <c r="R2382" s="1"/>
      <c r="Z2382" s="103"/>
      <c r="AA2382" s="103"/>
      <c r="AB2382" s="1"/>
    </row>
    <row r="2383" spans="15:30">
      <c r="O2383" s="1"/>
      <c r="P2383" s="1"/>
      <c r="Q2383" s="1"/>
      <c r="R2383" s="1"/>
      <c r="Z2383" s="103"/>
      <c r="AA2383" s="103"/>
      <c r="AB2383" s="1"/>
    </row>
    <row r="2384" spans="15:30">
      <c r="O2384" s="1"/>
      <c r="P2384" s="1"/>
      <c r="Q2384" s="1"/>
      <c r="R2384" s="1"/>
      <c r="Z2384" s="103"/>
      <c r="AA2384" s="103"/>
      <c r="AB2384" s="1"/>
    </row>
    <row r="2385" spans="15:28">
      <c r="O2385" s="1"/>
      <c r="P2385" s="1"/>
      <c r="Q2385" s="1"/>
      <c r="R2385" s="1"/>
      <c r="Z2385" s="103"/>
      <c r="AA2385" s="103"/>
      <c r="AB2385" s="1"/>
    </row>
    <row r="2386" spans="15:28">
      <c r="O2386" s="1"/>
      <c r="P2386" s="1"/>
      <c r="Q2386" s="1"/>
      <c r="R2386" s="1"/>
      <c r="Z2386" s="103"/>
      <c r="AA2386" s="103"/>
      <c r="AB2386" s="1"/>
    </row>
    <row r="2387" spans="15:28">
      <c r="O2387" s="1"/>
      <c r="P2387" s="1"/>
      <c r="Q2387" s="1"/>
      <c r="R2387" s="1"/>
      <c r="Z2387" s="103"/>
      <c r="AA2387" s="103"/>
      <c r="AB2387" s="1"/>
    </row>
    <row r="2388" spans="15:28">
      <c r="O2388" s="1"/>
      <c r="P2388" s="1"/>
      <c r="Q2388" s="1"/>
      <c r="R2388" s="1"/>
      <c r="Z2388" s="103"/>
      <c r="AA2388" s="103"/>
      <c r="AB2388" s="1"/>
    </row>
    <row r="2389" spans="15:28">
      <c r="O2389" s="1"/>
      <c r="P2389" s="1"/>
      <c r="Q2389" s="1"/>
      <c r="R2389" s="1"/>
      <c r="Z2389" s="103"/>
      <c r="AA2389" s="103"/>
      <c r="AB2389" s="1"/>
    </row>
    <row r="2390" spans="15:28">
      <c r="O2390" s="1"/>
      <c r="P2390" s="1"/>
      <c r="Q2390" s="1"/>
      <c r="R2390" s="1"/>
      <c r="Z2390" s="103"/>
      <c r="AA2390" s="103"/>
      <c r="AB2390" s="1"/>
    </row>
    <row r="2391" spans="15:28">
      <c r="O2391" s="1"/>
      <c r="P2391" s="1"/>
      <c r="Q2391" s="1"/>
      <c r="R2391" s="1"/>
      <c r="Z2391" s="103"/>
      <c r="AA2391" s="103"/>
      <c r="AB2391" s="1"/>
    </row>
    <row r="2392" spans="15:28">
      <c r="O2392" s="1"/>
      <c r="P2392" s="1"/>
      <c r="Q2392" s="1"/>
      <c r="R2392" s="1"/>
      <c r="Z2392" s="103"/>
      <c r="AA2392" s="103"/>
      <c r="AB2392" s="1"/>
    </row>
    <row r="2393" spans="15:28">
      <c r="O2393" s="1"/>
      <c r="P2393" s="1"/>
      <c r="Q2393" s="1"/>
      <c r="R2393" s="1"/>
      <c r="Z2393" s="103"/>
      <c r="AA2393" s="103"/>
      <c r="AB2393" s="1"/>
    </row>
    <row r="2394" spans="15:28">
      <c r="O2394" s="1"/>
      <c r="P2394" s="1"/>
      <c r="Q2394" s="1"/>
      <c r="R2394" s="1"/>
      <c r="Z2394" s="103"/>
      <c r="AA2394" s="103"/>
      <c r="AB2394" s="1"/>
    </row>
    <row r="2395" spans="15:28">
      <c r="O2395" s="1"/>
      <c r="P2395" s="1"/>
      <c r="Q2395" s="1"/>
      <c r="R2395" s="1"/>
      <c r="Z2395" s="103"/>
      <c r="AA2395" s="103"/>
      <c r="AB2395" s="1"/>
    </row>
    <row r="2396" spans="15:28">
      <c r="O2396" s="1"/>
      <c r="P2396" s="1"/>
      <c r="Q2396" s="1"/>
      <c r="R2396" s="1"/>
      <c r="Z2396" s="103"/>
      <c r="AA2396" s="103"/>
      <c r="AB2396" s="1"/>
    </row>
    <row r="2397" spans="15:28">
      <c r="O2397" s="1"/>
      <c r="P2397" s="1"/>
      <c r="Q2397" s="1"/>
      <c r="R2397" s="1"/>
      <c r="Z2397" s="103"/>
      <c r="AA2397" s="103"/>
      <c r="AB2397" s="1"/>
    </row>
    <row r="2398" spans="15:28">
      <c r="O2398" s="1"/>
      <c r="P2398" s="1"/>
      <c r="Q2398" s="1"/>
      <c r="R2398" s="1"/>
      <c r="Z2398" s="103"/>
      <c r="AA2398" s="103"/>
      <c r="AB2398" s="1"/>
    </row>
    <row r="2399" spans="15:28">
      <c r="O2399" s="1"/>
      <c r="P2399" s="1"/>
      <c r="Q2399" s="1"/>
      <c r="R2399" s="1"/>
      <c r="Z2399" s="103"/>
      <c r="AA2399" s="103"/>
      <c r="AB2399" s="1"/>
    </row>
    <row r="2400" spans="15:28">
      <c r="O2400" s="1"/>
      <c r="P2400" s="1"/>
      <c r="Q2400" s="1"/>
      <c r="R2400" s="1"/>
      <c r="Z2400" s="103"/>
      <c r="AA2400" s="103"/>
      <c r="AB2400" s="1"/>
    </row>
    <row r="2401" spans="15:28">
      <c r="O2401" s="1"/>
      <c r="P2401" s="1"/>
      <c r="Q2401" s="1"/>
      <c r="R2401" s="1"/>
      <c r="Z2401" s="103"/>
      <c r="AA2401" s="103"/>
      <c r="AB2401" s="1"/>
    </row>
    <row r="2402" spans="15:28">
      <c r="O2402" s="1"/>
      <c r="P2402" s="1"/>
      <c r="Q2402" s="1"/>
      <c r="R2402" s="1"/>
      <c r="Z2402" s="103"/>
      <c r="AA2402" s="103"/>
      <c r="AB2402" s="1"/>
    </row>
    <row r="2403" spans="15:28">
      <c r="O2403" s="1"/>
      <c r="P2403" s="1"/>
      <c r="Q2403" s="1"/>
      <c r="R2403" s="1"/>
      <c r="Z2403" s="103"/>
      <c r="AA2403" s="103"/>
      <c r="AB2403" s="1"/>
    </row>
    <row r="2404" spans="15:28">
      <c r="O2404" s="1"/>
      <c r="P2404" s="1"/>
      <c r="Q2404" s="1"/>
      <c r="R2404" s="1"/>
      <c r="Z2404" s="103"/>
      <c r="AA2404" s="103"/>
      <c r="AB2404" s="1"/>
    </row>
    <row r="2405" spans="15:28">
      <c r="O2405" s="1"/>
      <c r="P2405" s="1"/>
      <c r="Q2405" s="1"/>
      <c r="R2405" s="1"/>
      <c r="Z2405" s="103"/>
      <c r="AA2405" s="103"/>
      <c r="AB2405" s="1"/>
    </row>
    <row r="2406" spans="15:28">
      <c r="O2406" s="1"/>
      <c r="P2406" s="1"/>
      <c r="Q2406" s="1"/>
      <c r="R2406" s="1"/>
      <c r="Z2406" s="103"/>
      <c r="AA2406" s="103"/>
      <c r="AB2406" s="1"/>
    </row>
    <row r="2407" spans="15:28">
      <c r="O2407" s="1"/>
      <c r="P2407" s="1"/>
      <c r="Q2407" s="1"/>
      <c r="R2407" s="1"/>
      <c r="Z2407" s="103"/>
      <c r="AA2407" s="103"/>
      <c r="AB2407" s="1"/>
    </row>
    <row r="2408" spans="15:28">
      <c r="O2408" s="1"/>
      <c r="P2408" s="1"/>
      <c r="Q2408" s="1"/>
      <c r="R2408" s="1"/>
      <c r="Z2408" s="103"/>
      <c r="AA2408" s="103"/>
      <c r="AB2408" s="1"/>
    </row>
    <row r="2409" spans="15:28">
      <c r="O2409" s="1"/>
      <c r="P2409" s="1"/>
      <c r="Q2409" s="1"/>
      <c r="R2409" s="1"/>
      <c r="Z2409" s="103"/>
      <c r="AA2409" s="103"/>
      <c r="AB2409" s="1"/>
    </row>
    <row r="2410" spans="15:28">
      <c r="O2410" s="1"/>
      <c r="P2410" s="1"/>
      <c r="Q2410" s="1"/>
      <c r="R2410" s="1"/>
      <c r="Z2410" s="103"/>
      <c r="AA2410" s="103"/>
      <c r="AB2410" s="1"/>
    </row>
    <row r="2411" spans="15:28">
      <c r="O2411" s="1"/>
      <c r="P2411" s="1"/>
      <c r="Q2411" s="1"/>
      <c r="R2411" s="1"/>
      <c r="Z2411" s="103"/>
      <c r="AA2411" s="103"/>
      <c r="AB2411" s="1"/>
    </row>
    <row r="2412" spans="15:28">
      <c r="O2412" s="1"/>
      <c r="P2412" s="1"/>
      <c r="Q2412" s="1"/>
      <c r="R2412" s="1"/>
      <c r="Z2412" s="103"/>
      <c r="AA2412" s="103"/>
      <c r="AB2412" s="1"/>
    </row>
    <row r="2413" spans="15:28">
      <c r="O2413" s="1"/>
      <c r="P2413" s="1"/>
      <c r="Q2413" s="1"/>
      <c r="R2413" s="1"/>
      <c r="Z2413" s="103"/>
      <c r="AA2413" s="103"/>
      <c r="AB2413" s="1"/>
    </row>
    <row r="2414" spans="15:28">
      <c r="O2414" s="1"/>
      <c r="P2414" s="1"/>
      <c r="Q2414" s="1"/>
      <c r="R2414" s="1"/>
      <c r="Z2414" s="103"/>
      <c r="AA2414" s="103"/>
      <c r="AB2414" s="1"/>
    </row>
    <row r="2415" spans="15:28">
      <c r="O2415" s="1"/>
      <c r="P2415" s="1"/>
      <c r="Q2415" s="1"/>
      <c r="R2415" s="1"/>
      <c r="Z2415" s="103"/>
      <c r="AA2415" s="103"/>
      <c r="AB2415" s="1"/>
    </row>
    <row r="2416" spans="15:28">
      <c r="O2416" s="1"/>
      <c r="P2416" s="1"/>
      <c r="Q2416" s="1"/>
      <c r="R2416" s="1"/>
      <c r="Z2416" s="103"/>
      <c r="AA2416" s="103"/>
      <c r="AB2416" s="1"/>
    </row>
    <row r="2417" spans="15:30">
      <c r="O2417" s="1"/>
      <c r="P2417" s="1"/>
      <c r="Q2417" s="1"/>
      <c r="R2417" s="1"/>
      <c r="Z2417" s="103"/>
      <c r="AA2417" s="103"/>
      <c r="AB2417" s="1"/>
    </row>
    <row r="2418" spans="15:30">
      <c r="O2418" s="1"/>
      <c r="P2418" s="1"/>
      <c r="Q2418" s="1"/>
      <c r="R2418" s="1"/>
      <c r="Z2418" s="103"/>
      <c r="AA2418" s="103"/>
      <c r="AB2418" s="1"/>
    </row>
    <row r="2419" spans="15:30">
      <c r="O2419" s="1"/>
      <c r="P2419" s="1"/>
      <c r="Q2419" s="1"/>
      <c r="R2419" s="1"/>
      <c r="Z2419" s="103"/>
      <c r="AA2419" s="103"/>
      <c r="AB2419" s="1"/>
    </row>
    <row r="2420" spans="15:30">
      <c r="O2420" s="1"/>
      <c r="P2420" s="1"/>
      <c r="Q2420" s="1"/>
      <c r="R2420" s="1"/>
      <c r="Z2420" s="103"/>
      <c r="AA2420" s="103"/>
      <c r="AB2420" s="1"/>
      <c r="AD2420" s="102"/>
    </row>
    <row r="2421" spans="15:30">
      <c r="O2421" s="1"/>
      <c r="P2421" s="1"/>
      <c r="Q2421" s="1"/>
      <c r="R2421" s="1"/>
      <c r="Z2421" s="103"/>
      <c r="AA2421" s="103"/>
      <c r="AB2421" s="1"/>
    </row>
    <row r="2422" spans="15:30">
      <c r="O2422" s="1"/>
      <c r="P2422" s="1"/>
      <c r="Q2422" s="1"/>
      <c r="R2422" s="1"/>
      <c r="Z2422" s="103"/>
      <c r="AA2422" s="103"/>
      <c r="AB2422" s="1"/>
    </row>
    <row r="2423" spans="15:30">
      <c r="O2423" s="1"/>
      <c r="P2423" s="1"/>
      <c r="Q2423" s="1"/>
      <c r="R2423" s="1"/>
      <c r="Z2423" s="103"/>
      <c r="AA2423" s="103"/>
      <c r="AB2423" s="1"/>
    </row>
    <row r="2424" spans="15:30">
      <c r="O2424" s="1"/>
      <c r="P2424" s="1"/>
      <c r="Q2424" s="1"/>
      <c r="R2424" s="1"/>
      <c r="Z2424" s="103"/>
      <c r="AA2424" s="103"/>
      <c r="AB2424" s="1"/>
    </row>
    <row r="2425" spans="15:30">
      <c r="O2425" s="1"/>
      <c r="P2425" s="1"/>
      <c r="Q2425" s="1"/>
      <c r="R2425" s="1"/>
      <c r="Z2425" s="103"/>
      <c r="AA2425" s="103"/>
      <c r="AB2425" s="1"/>
    </row>
    <row r="2426" spans="15:30">
      <c r="O2426" s="1"/>
      <c r="P2426" s="1"/>
      <c r="Q2426" s="1"/>
      <c r="R2426" s="1"/>
      <c r="Z2426" s="103"/>
      <c r="AA2426" s="103"/>
      <c r="AB2426" s="1"/>
    </row>
    <row r="2427" spans="15:30">
      <c r="O2427" s="1"/>
      <c r="P2427" s="1"/>
      <c r="Q2427" s="1"/>
      <c r="R2427" s="1"/>
      <c r="Z2427" s="103"/>
      <c r="AA2427" s="103"/>
      <c r="AB2427" s="1"/>
    </row>
    <row r="2428" spans="15:30">
      <c r="O2428" s="1"/>
      <c r="P2428" s="1"/>
      <c r="Q2428" s="1"/>
      <c r="R2428" s="1"/>
      <c r="Z2428" s="103"/>
      <c r="AA2428" s="103"/>
      <c r="AB2428" s="1"/>
    </row>
    <row r="2429" spans="15:30">
      <c r="O2429" s="1"/>
      <c r="P2429" s="1"/>
      <c r="Q2429" s="1"/>
      <c r="R2429" s="1"/>
      <c r="Z2429" s="103"/>
      <c r="AA2429" s="103"/>
      <c r="AB2429" s="1"/>
    </row>
    <row r="2430" spans="15:30">
      <c r="O2430" s="1"/>
      <c r="P2430" s="1"/>
      <c r="Q2430" s="1"/>
      <c r="R2430" s="1"/>
      <c r="Z2430" s="103"/>
      <c r="AA2430" s="103"/>
      <c r="AB2430" s="1"/>
    </row>
    <row r="2431" spans="15:30">
      <c r="O2431" s="1"/>
      <c r="P2431" s="1"/>
      <c r="Q2431" s="1"/>
      <c r="R2431" s="1"/>
      <c r="Z2431" s="103"/>
      <c r="AA2431" s="103"/>
      <c r="AB2431" s="1"/>
    </row>
    <row r="2432" spans="15:30">
      <c r="O2432" s="1"/>
      <c r="P2432" s="1"/>
      <c r="Q2432" s="1"/>
      <c r="R2432" s="1"/>
      <c r="Z2432" s="103"/>
      <c r="AA2432" s="103"/>
      <c r="AB2432" s="1"/>
    </row>
    <row r="2433" spans="15:30">
      <c r="O2433" s="1"/>
      <c r="P2433" s="1"/>
      <c r="Q2433" s="1"/>
      <c r="R2433" s="1"/>
      <c r="Z2433" s="103"/>
      <c r="AA2433" s="103"/>
      <c r="AB2433" s="1"/>
    </row>
    <row r="2434" spans="15:30">
      <c r="O2434" s="1"/>
      <c r="P2434" s="1"/>
      <c r="Q2434" s="1"/>
      <c r="R2434" s="1"/>
      <c r="Z2434" s="103"/>
      <c r="AA2434" s="103"/>
      <c r="AB2434" s="1"/>
    </row>
    <row r="2435" spans="15:30">
      <c r="O2435" s="1"/>
      <c r="P2435" s="1"/>
      <c r="Q2435" s="1"/>
      <c r="R2435" s="1"/>
      <c r="Z2435" s="103"/>
      <c r="AA2435" s="103"/>
      <c r="AB2435" s="1"/>
    </row>
    <row r="2436" spans="15:30">
      <c r="O2436" s="1"/>
      <c r="P2436" s="1"/>
      <c r="Q2436" s="1"/>
      <c r="R2436" s="1"/>
      <c r="Z2436" s="103"/>
      <c r="AA2436" s="103"/>
      <c r="AB2436" s="1"/>
    </row>
    <row r="2437" spans="15:30">
      <c r="O2437" s="1"/>
      <c r="P2437" s="1"/>
      <c r="Q2437" s="1"/>
      <c r="R2437" s="1"/>
      <c r="Z2437" s="103"/>
      <c r="AA2437" s="103"/>
      <c r="AB2437" s="1"/>
    </row>
    <row r="2438" spans="15:30">
      <c r="O2438" s="1"/>
      <c r="P2438" s="1"/>
      <c r="Q2438" s="1"/>
      <c r="R2438" s="1"/>
      <c r="Z2438" s="103"/>
      <c r="AA2438" s="103"/>
      <c r="AB2438" s="1"/>
    </row>
    <row r="2439" spans="15:30">
      <c r="O2439" s="1"/>
      <c r="P2439" s="1"/>
      <c r="Q2439" s="1"/>
      <c r="R2439" s="1"/>
      <c r="Z2439" s="103"/>
      <c r="AA2439" s="103"/>
      <c r="AB2439" s="1"/>
    </row>
    <row r="2440" spans="15:30">
      <c r="O2440" s="1"/>
      <c r="P2440" s="1"/>
      <c r="Q2440" s="1"/>
      <c r="R2440" s="1"/>
      <c r="Z2440" s="103"/>
      <c r="AA2440" s="103"/>
      <c r="AB2440" s="1"/>
      <c r="AD2440" s="102"/>
    </row>
    <row r="2441" spans="15:30">
      <c r="O2441" s="1"/>
      <c r="P2441" s="1"/>
      <c r="Q2441" s="1"/>
      <c r="R2441" s="1"/>
      <c r="Z2441" s="103"/>
      <c r="AA2441" s="103"/>
      <c r="AB2441" s="1"/>
    </row>
    <row r="2442" spans="15:30">
      <c r="O2442" s="1"/>
      <c r="P2442" s="1"/>
      <c r="Q2442" s="1"/>
      <c r="R2442" s="1"/>
      <c r="Z2442" s="103"/>
      <c r="AA2442" s="103"/>
      <c r="AB2442" s="1"/>
    </row>
    <row r="2443" spans="15:30">
      <c r="O2443" s="1"/>
      <c r="P2443" s="1"/>
      <c r="Q2443" s="1"/>
      <c r="R2443" s="1"/>
      <c r="Z2443" s="103"/>
      <c r="AA2443" s="103"/>
      <c r="AB2443" s="1"/>
    </row>
    <row r="2444" spans="15:30">
      <c r="O2444" s="1"/>
      <c r="P2444" s="1"/>
      <c r="Q2444" s="1"/>
      <c r="R2444" s="1"/>
      <c r="Z2444" s="103"/>
      <c r="AA2444" s="103"/>
      <c r="AB2444" s="1"/>
    </row>
    <row r="2445" spans="15:30">
      <c r="O2445" s="1"/>
      <c r="P2445" s="1"/>
      <c r="Q2445" s="1"/>
      <c r="R2445" s="1"/>
      <c r="Z2445" s="103"/>
      <c r="AA2445" s="103"/>
      <c r="AB2445" s="1"/>
    </row>
    <row r="2446" spans="15:30">
      <c r="O2446" s="1"/>
      <c r="P2446" s="1"/>
      <c r="Q2446" s="1"/>
      <c r="R2446" s="1"/>
      <c r="Z2446" s="103"/>
      <c r="AA2446" s="103"/>
      <c r="AB2446" s="1"/>
    </row>
    <row r="2447" spans="15:30">
      <c r="O2447" s="1"/>
      <c r="P2447" s="1"/>
      <c r="Q2447" s="1"/>
      <c r="R2447" s="1"/>
      <c r="Z2447" s="103"/>
      <c r="AA2447" s="103"/>
      <c r="AB2447" s="1"/>
    </row>
    <row r="2448" spans="15:30">
      <c r="O2448" s="1"/>
      <c r="P2448" s="1"/>
      <c r="Q2448" s="1"/>
      <c r="R2448" s="1"/>
      <c r="Z2448" s="103"/>
      <c r="AA2448" s="103"/>
      <c r="AB2448" s="1"/>
    </row>
    <row r="2449" spans="15:30">
      <c r="O2449" s="1"/>
      <c r="P2449" s="1"/>
      <c r="Q2449" s="1"/>
      <c r="R2449" s="1"/>
      <c r="Z2449" s="103"/>
      <c r="AA2449" s="103"/>
      <c r="AB2449" s="1"/>
    </row>
    <row r="2450" spans="15:30">
      <c r="O2450" s="1"/>
      <c r="P2450" s="1"/>
      <c r="Q2450" s="1"/>
      <c r="R2450" s="1"/>
      <c r="Z2450" s="103"/>
      <c r="AA2450" s="103"/>
      <c r="AB2450" s="1"/>
    </row>
    <row r="2451" spans="15:30">
      <c r="O2451" s="1"/>
      <c r="P2451" s="1"/>
      <c r="Q2451" s="1"/>
      <c r="R2451" s="1"/>
      <c r="Z2451" s="103"/>
      <c r="AA2451" s="103"/>
      <c r="AB2451" s="1"/>
    </row>
    <row r="2452" spans="15:30">
      <c r="O2452" s="1"/>
      <c r="P2452" s="1"/>
      <c r="Q2452" s="1"/>
      <c r="R2452" s="1"/>
      <c r="Z2452" s="103"/>
      <c r="AA2452" s="103"/>
      <c r="AB2452" s="1"/>
    </row>
    <row r="2453" spans="15:30">
      <c r="O2453" s="1"/>
      <c r="P2453" s="1"/>
      <c r="Q2453" s="1"/>
      <c r="R2453" s="1"/>
      <c r="Z2453" s="103"/>
      <c r="AA2453" s="103"/>
      <c r="AB2453" s="1"/>
    </row>
    <row r="2454" spans="15:30">
      <c r="O2454" s="1"/>
      <c r="P2454" s="1"/>
      <c r="Q2454" s="1"/>
      <c r="R2454" s="1"/>
      <c r="Z2454" s="103"/>
      <c r="AA2454" s="103"/>
      <c r="AB2454" s="1"/>
    </row>
    <row r="2455" spans="15:30">
      <c r="O2455" s="1"/>
      <c r="P2455" s="1"/>
      <c r="Q2455" s="1"/>
      <c r="R2455" s="1"/>
      <c r="Z2455" s="103"/>
      <c r="AA2455" s="103"/>
      <c r="AB2455" s="1"/>
    </row>
    <row r="2456" spans="15:30">
      <c r="O2456" s="1"/>
      <c r="P2456" s="1"/>
      <c r="Q2456" s="1"/>
      <c r="R2456" s="1"/>
      <c r="Z2456" s="103"/>
      <c r="AA2456" s="103"/>
      <c r="AB2456" s="1"/>
    </row>
    <row r="2457" spans="15:30">
      <c r="O2457" s="1"/>
      <c r="P2457" s="1"/>
      <c r="Q2457" s="1"/>
      <c r="R2457" s="1"/>
      <c r="Z2457" s="103"/>
      <c r="AA2457" s="103"/>
      <c r="AB2457" s="1"/>
    </row>
    <row r="2458" spans="15:30">
      <c r="O2458" s="1"/>
      <c r="P2458" s="1"/>
      <c r="Q2458" s="1"/>
      <c r="R2458" s="1"/>
      <c r="Z2458" s="103"/>
      <c r="AA2458" s="103"/>
      <c r="AB2458" s="1"/>
    </row>
    <row r="2459" spans="15:30">
      <c r="O2459" s="1"/>
      <c r="P2459" s="1"/>
      <c r="Q2459" s="1"/>
      <c r="R2459" s="1"/>
      <c r="Z2459" s="103"/>
      <c r="AA2459" s="103"/>
      <c r="AB2459" s="1"/>
    </row>
    <row r="2460" spans="15:30">
      <c r="O2460" s="1"/>
      <c r="P2460" s="1"/>
      <c r="Q2460" s="1"/>
      <c r="R2460" s="1"/>
      <c r="Z2460" s="103"/>
      <c r="AA2460" s="103"/>
      <c r="AB2460" s="1"/>
    </row>
    <row r="2461" spans="15:30">
      <c r="O2461" s="1"/>
      <c r="P2461" s="1"/>
      <c r="Q2461" s="1"/>
      <c r="R2461" s="1"/>
      <c r="Z2461" s="103"/>
      <c r="AA2461" s="103"/>
      <c r="AB2461" s="1"/>
    </row>
    <row r="2462" spans="15:30">
      <c r="O2462" s="1"/>
      <c r="P2462" s="1"/>
      <c r="Q2462" s="1"/>
      <c r="R2462" s="1"/>
      <c r="Z2462" s="103"/>
      <c r="AA2462" s="103"/>
      <c r="AB2462" s="1"/>
      <c r="AD2462" s="102"/>
    </row>
    <row r="2463" spans="15:30">
      <c r="O2463" s="1"/>
      <c r="P2463" s="1"/>
      <c r="Q2463" s="1"/>
      <c r="R2463" s="1"/>
      <c r="Z2463" s="103"/>
      <c r="AA2463" s="103"/>
      <c r="AB2463" s="1"/>
    </row>
    <row r="2464" spans="15:30">
      <c r="O2464" s="1"/>
      <c r="P2464" s="1"/>
      <c r="Q2464" s="1"/>
      <c r="R2464" s="1"/>
      <c r="Z2464" s="103"/>
      <c r="AA2464" s="103"/>
      <c r="AB2464" s="1"/>
    </row>
    <row r="2465" spans="15:30">
      <c r="O2465" s="1"/>
      <c r="P2465" s="1"/>
      <c r="Q2465" s="1"/>
      <c r="R2465" s="1"/>
      <c r="Z2465" s="103"/>
      <c r="AA2465" s="103"/>
      <c r="AB2465" s="1"/>
    </row>
    <row r="2466" spans="15:30">
      <c r="O2466" s="1"/>
      <c r="P2466" s="1"/>
      <c r="Q2466" s="1"/>
      <c r="R2466" s="1"/>
      <c r="Z2466" s="103"/>
      <c r="AA2466" s="103"/>
      <c r="AB2466" s="1"/>
    </row>
    <row r="2467" spans="15:30">
      <c r="O2467" s="1"/>
      <c r="P2467" s="1"/>
      <c r="Q2467" s="1"/>
      <c r="R2467" s="1"/>
      <c r="Z2467" s="103"/>
      <c r="AA2467" s="103"/>
      <c r="AB2467" s="1"/>
    </row>
    <row r="2468" spans="15:30">
      <c r="O2468" s="1"/>
      <c r="P2468" s="1"/>
      <c r="Q2468" s="1"/>
      <c r="R2468" s="1"/>
      <c r="Z2468" s="103"/>
      <c r="AA2468" s="103"/>
      <c r="AB2468" s="1"/>
    </row>
    <row r="2469" spans="15:30">
      <c r="O2469" s="1"/>
      <c r="P2469" s="1"/>
      <c r="Q2469" s="1"/>
      <c r="R2469" s="1"/>
      <c r="Z2469" s="103"/>
      <c r="AA2469" s="103"/>
      <c r="AB2469" s="1"/>
      <c r="AD2469" s="102"/>
    </row>
    <row r="2470" spans="15:30">
      <c r="O2470" s="1"/>
      <c r="P2470" s="1"/>
      <c r="Q2470" s="1"/>
      <c r="R2470" s="1"/>
      <c r="Z2470" s="103"/>
      <c r="AA2470" s="103"/>
      <c r="AB2470" s="1"/>
    </row>
    <row r="2471" spans="15:30">
      <c r="O2471" s="1"/>
      <c r="P2471" s="1"/>
      <c r="Q2471" s="1"/>
      <c r="R2471" s="1"/>
      <c r="Z2471" s="103"/>
      <c r="AA2471" s="103"/>
      <c r="AB2471" s="1"/>
    </row>
    <row r="2472" spans="15:30">
      <c r="O2472" s="1"/>
      <c r="P2472" s="1"/>
      <c r="Q2472" s="1"/>
      <c r="R2472" s="1"/>
      <c r="Z2472" s="103"/>
      <c r="AA2472" s="103"/>
      <c r="AB2472" s="1"/>
    </row>
    <row r="2473" spans="15:30">
      <c r="O2473" s="1"/>
      <c r="P2473" s="1"/>
      <c r="Q2473" s="1"/>
      <c r="R2473" s="1"/>
      <c r="Z2473" s="103"/>
      <c r="AA2473" s="103"/>
      <c r="AB2473" s="1"/>
    </row>
    <row r="2474" spans="15:30">
      <c r="O2474" s="1"/>
      <c r="P2474" s="1"/>
      <c r="Q2474" s="1"/>
      <c r="R2474" s="1"/>
      <c r="Z2474" s="103"/>
      <c r="AA2474" s="103"/>
      <c r="AB2474" s="1"/>
    </row>
    <row r="2475" spans="15:30">
      <c r="O2475" s="1"/>
      <c r="P2475" s="1"/>
      <c r="Q2475" s="1"/>
      <c r="R2475" s="1"/>
      <c r="Z2475" s="103"/>
      <c r="AA2475" s="103"/>
      <c r="AB2475" s="1"/>
    </row>
    <row r="2476" spans="15:30">
      <c r="O2476" s="1"/>
      <c r="P2476" s="1"/>
      <c r="Q2476" s="1"/>
      <c r="R2476" s="1"/>
      <c r="Z2476" s="103"/>
      <c r="AA2476" s="103"/>
      <c r="AB2476" s="1"/>
    </row>
    <row r="2477" spans="15:30">
      <c r="O2477" s="1"/>
      <c r="P2477" s="1"/>
      <c r="Q2477" s="1"/>
      <c r="R2477" s="1"/>
      <c r="Z2477" s="103"/>
      <c r="AA2477" s="103"/>
      <c r="AB2477" s="1"/>
    </row>
    <row r="2478" spans="15:30">
      <c r="O2478" s="1"/>
      <c r="P2478" s="1"/>
      <c r="Q2478" s="1"/>
      <c r="R2478" s="1"/>
      <c r="Z2478" s="103"/>
      <c r="AA2478" s="103"/>
      <c r="AB2478" s="1"/>
    </row>
    <row r="2479" spans="15:30">
      <c r="O2479" s="1"/>
      <c r="P2479" s="1"/>
      <c r="Q2479" s="1"/>
      <c r="R2479" s="1"/>
      <c r="Z2479" s="103"/>
      <c r="AA2479" s="103"/>
      <c r="AB2479" s="1"/>
    </row>
    <row r="2480" spans="15:30">
      <c r="O2480" s="1"/>
      <c r="P2480" s="1"/>
      <c r="Q2480" s="1"/>
      <c r="R2480" s="1"/>
      <c r="Z2480" s="103"/>
      <c r="AA2480" s="103"/>
      <c r="AB2480" s="1"/>
    </row>
    <row r="2481" spans="15:30">
      <c r="O2481" s="1"/>
      <c r="P2481" s="1"/>
      <c r="Q2481" s="1"/>
      <c r="R2481" s="1"/>
      <c r="Z2481" s="103"/>
      <c r="AA2481" s="103"/>
      <c r="AB2481" s="1"/>
    </row>
    <row r="2482" spans="15:30">
      <c r="O2482" s="1"/>
      <c r="P2482" s="1"/>
      <c r="Q2482" s="1"/>
      <c r="R2482" s="1"/>
      <c r="Z2482" s="103"/>
      <c r="AA2482" s="103"/>
      <c r="AB2482" s="1"/>
    </row>
    <row r="2483" spans="15:30">
      <c r="O2483" s="1"/>
      <c r="P2483" s="1"/>
      <c r="Q2483" s="1"/>
      <c r="R2483" s="1"/>
      <c r="Z2483" s="103"/>
      <c r="AA2483" s="103"/>
      <c r="AB2483" s="1"/>
    </row>
    <row r="2484" spans="15:30">
      <c r="O2484" s="1"/>
      <c r="P2484" s="1"/>
      <c r="Q2484" s="1"/>
      <c r="R2484" s="1"/>
      <c r="Z2484" s="103"/>
      <c r="AA2484" s="103"/>
      <c r="AB2484" s="1"/>
    </row>
    <row r="2485" spans="15:30">
      <c r="O2485" s="1"/>
      <c r="P2485" s="1"/>
      <c r="Q2485" s="1"/>
      <c r="R2485" s="1"/>
      <c r="Z2485" s="103"/>
      <c r="AA2485" s="103"/>
      <c r="AB2485" s="1"/>
    </row>
    <row r="2486" spans="15:30">
      <c r="O2486" s="1"/>
      <c r="P2486" s="1"/>
      <c r="Q2486" s="1"/>
      <c r="R2486" s="1"/>
      <c r="Z2486" s="103"/>
      <c r="AA2486" s="103"/>
      <c r="AB2486" s="1"/>
    </row>
    <row r="2487" spans="15:30">
      <c r="O2487" s="1"/>
      <c r="P2487" s="1"/>
      <c r="Q2487" s="1"/>
      <c r="R2487" s="1"/>
      <c r="Z2487" s="103"/>
      <c r="AA2487" s="103"/>
      <c r="AB2487" s="1"/>
    </row>
    <row r="2488" spans="15:30">
      <c r="O2488" s="1"/>
      <c r="P2488" s="1"/>
      <c r="Q2488" s="1"/>
      <c r="R2488" s="1"/>
      <c r="Z2488" s="103"/>
      <c r="AA2488" s="103"/>
      <c r="AB2488" s="1"/>
    </row>
    <row r="2489" spans="15:30">
      <c r="O2489" s="1"/>
      <c r="P2489" s="1"/>
      <c r="Q2489" s="1"/>
      <c r="R2489" s="1"/>
      <c r="Z2489" s="103"/>
      <c r="AA2489" s="103"/>
      <c r="AB2489" s="1"/>
      <c r="AD2489" s="102"/>
    </row>
    <row r="2490" spans="15:30">
      <c r="O2490" s="1"/>
      <c r="P2490" s="1"/>
      <c r="Q2490" s="1"/>
      <c r="R2490" s="1"/>
      <c r="Z2490" s="103"/>
      <c r="AA2490" s="103"/>
      <c r="AB2490" s="1"/>
    </row>
    <row r="2491" spans="15:30">
      <c r="O2491" s="1"/>
      <c r="P2491" s="1"/>
      <c r="Q2491" s="1"/>
      <c r="R2491" s="1"/>
      <c r="Z2491" s="103"/>
      <c r="AA2491" s="103"/>
      <c r="AB2491" s="1"/>
    </row>
    <row r="2492" spans="15:30">
      <c r="O2492" s="1"/>
      <c r="P2492" s="1"/>
      <c r="Q2492" s="1"/>
      <c r="R2492" s="1"/>
      <c r="Z2492" s="103"/>
      <c r="AA2492" s="103"/>
      <c r="AB2492" s="1"/>
    </row>
    <row r="2493" spans="15:30">
      <c r="O2493" s="1"/>
      <c r="P2493" s="1"/>
      <c r="Q2493" s="1"/>
      <c r="R2493" s="1"/>
      <c r="Z2493" s="103"/>
      <c r="AA2493" s="103"/>
      <c r="AB2493" s="1"/>
    </row>
    <row r="2494" spans="15:30">
      <c r="O2494" s="1"/>
      <c r="P2494" s="1"/>
      <c r="Q2494" s="1"/>
      <c r="R2494" s="1"/>
      <c r="Z2494" s="103"/>
      <c r="AA2494" s="103"/>
      <c r="AB2494" s="1"/>
    </row>
    <row r="2495" spans="15:30">
      <c r="O2495" s="1"/>
      <c r="P2495" s="1"/>
      <c r="Q2495" s="1"/>
      <c r="R2495" s="1"/>
      <c r="Z2495" s="103"/>
      <c r="AA2495" s="103"/>
      <c r="AB2495" s="1"/>
    </row>
    <row r="2496" spans="15:30">
      <c r="O2496" s="1"/>
      <c r="P2496" s="1"/>
      <c r="Q2496" s="1"/>
      <c r="R2496" s="1"/>
      <c r="Z2496" s="103"/>
      <c r="AA2496" s="103"/>
      <c r="AB2496" s="1"/>
    </row>
    <row r="2497" spans="15:28">
      <c r="O2497" s="1"/>
      <c r="P2497" s="1"/>
      <c r="Q2497" s="1"/>
      <c r="R2497" s="1"/>
      <c r="Z2497" s="103"/>
      <c r="AA2497" s="103"/>
      <c r="AB2497" s="1"/>
    </row>
    <row r="2498" spans="15:28">
      <c r="O2498" s="1"/>
      <c r="P2498" s="1"/>
      <c r="Q2498" s="1"/>
      <c r="R2498" s="1"/>
      <c r="Z2498" s="103"/>
      <c r="AA2498" s="103"/>
      <c r="AB2498" s="1"/>
    </row>
    <row r="2499" spans="15:28">
      <c r="O2499" s="1"/>
      <c r="P2499" s="1"/>
      <c r="Q2499" s="1"/>
      <c r="R2499" s="1"/>
      <c r="Z2499" s="103"/>
      <c r="AA2499" s="103"/>
      <c r="AB2499" s="1"/>
    </row>
    <row r="2500" spans="15:28">
      <c r="O2500" s="1"/>
      <c r="P2500" s="1"/>
      <c r="Q2500" s="1"/>
      <c r="R2500" s="1"/>
      <c r="Z2500" s="103"/>
      <c r="AA2500" s="103"/>
      <c r="AB2500" s="1"/>
    </row>
    <row r="2501" spans="15:28">
      <c r="O2501" s="1"/>
      <c r="P2501" s="1"/>
      <c r="Q2501" s="1"/>
      <c r="R2501" s="1"/>
      <c r="Z2501" s="103"/>
      <c r="AA2501" s="103"/>
      <c r="AB2501" s="1"/>
    </row>
    <row r="2502" spans="15:28">
      <c r="O2502" s="1"/>
      <c r="P2502" s="1"/>
      <c r="Q2502" s="1"/>
      <c r="R2502" s="1"/>
      <c r="Z2502" s="103"/>
      <c r="AA2502" s="103"/>
      <c r="AB2502" s="1"/>
    </row>
    <row r="2503" spans="15:28">
      <c r="O2503" s="1"/>
      <c r="P2503" s="1"/>
      <c r="Q2503" s="1"/>
      <c r="R2503" s="1"/>
      <c r="Z2503" s="103"/>
      <c r="AA2503" s="103"/>
      <c r="AB2503" s="1"/>
    </row>
    <row r="2504" spans="15:28">
      <c r="O2504" s="1"/>
      <c r="P2504" s="1"/>
      <c r="Q2504" s="1"/>
      <c r="R2504" s="1"/>
      <c r="Z2504" s="103"/>
      <c r="AA2504" s="103"/>
      <c r="AB2504" s="1"/>
    </row>
    <row r="2505" spans="15:28">
      <c r="O2505" s="1"/>
      <c r="P2505" s="1"/>
      <c r="Q2505" s="1"/>
      <c r="R2505" s="1"/>
      <c r="Z2505" s="103"/>
      <c r="AA2505" s="103"/>
      <c r="AB2505" s="1"/>
    </row>
    <row r="2506" spans="15:28">
      <c r="O2506" s="1"/>
      <c r="P2506" s="1"/>
      <c r="Q2506" s="1"/>
      <c r="R2506" s="1"/>
      <c r="Z2506" s="103"/>
      <c r="AA2506" s="103"/>
      <c r="AB2506" s="1"/>
    </row>
    <row r="2507" spans="15:28">
      <c r="O2507" s="1"/>
      <c r="P2507" s="1"/>
      <c r="Q2507" s="1"/>
      <c r="R2507" s="1"/>
      <c r="Z2507" s="103"/>
      <c r="AA2507" s="103"/>
      <c r="AB2507" s="1"/>
    </row>
    <row r="2508" spans="15:28">
      <c r="O2508" s="1"/>
      <c r="P2508" s="1"/>
      <c r="Q2508" s="1"/>
      <c r="R2508" s="1"/>
      <c r="Z2508" s="103"/>
      <c r="AA2508" s="103"/>
      <c r="AB2508" s="1"/>
    </row>
    <row r="2509" spans="15:28">
      <c r="O2509" s="1"/>
      <c r="P2509" s="1"/>
      <c r="Q2509" s="1"/>
      <c r="R2509" s="1"/>
      <c r="Z2509" s="103"/>
      <c r="AA2509" s="103"/>
      <c r="AB2509" s="1"/>
    </row>
    <row r="2510" spans="15:28">
      <c r="O2510" s="1"/>
      <c r="P2510" s="1"/>
      <c r="Q2510" s="1"/>
      <c r="R2510" s="1"/>
      <c r="Z2510" s="103"/>
      <c r="AA2510" s="103"/>
      <c r="AB2510" s="1"/>
    </row>
    <row r="2511" spans="15:28">
      <c r="O2511" s="1"/>
      <c r="P2511" s="1"/>
      <c r="Q2511" s="1"/>
      <c r="R2511" s="1"/>
      <c r="Z2511" s="103"/>
      <c r="AA2511" s="103"/>
      <c r="AB2511" s="1"/>
    </row>
    <row r="2512" spans="15:28">
      <c r="O2512" s="1"/>
      <c r="P2512" s="1"/>
      <c r="Q2512" s="1"/>
      <c r="R2512" s="1"/>
      <c r="Z2512" s="103"/>
      <c r="AA2512" s="103"/>
      <c r="AB2512" s="1"/>
    </row>
    <row r="2513" spans="15:28">
      <c r="O2513" s="1"/>
      <c r="P2513" s="1"/>
      <c r="Q2513" s="1"/>
      <c r="R2513" s="1"/>
      <c r="Z2513" s="103"/>
      <c r="AA2513" s="103"/>
      <c r="AB2513" s="1"/>
    </row>
    <row r="2514" spans="15:28">
      <c r="O2514" s="1"/>
      <c r="P2514" s="1"/>
      <c r="Q2514" s="1"/>
      <c r="R2514" s="1"/>
      <c r="Z2514" s="103"/>
      <c r="AA2514" s="103"/>
      <c r="AB2514" s="1"/>
    </row>
    <row r="2515" spans="15:28">
      <c r="O2515" s="1"/>
      <c r="P2515" s="1"/>
      <c r="Q2515" s="1"/>
      <c r="R2515" s="1"/>
      <c r="Z2515" s="103"/>
      <c r="AA2515" s="103"/>
      <c r="AB2515" s="1"/>
    </row>
    <row r="2516" spans="15:28">
      <c r="O2516" s="1"/>
      <c r="P2516" s="1"/>
      <c r="Q2516" s="1"/>
      <c r="R2516" s="1"/>
      <c r="Z2516" s="103"/>
      <c r="AA2516" s="103"/>
      <c r="AB2516" s="1"/>
    </row>
    <row r="2517" spans="15:28">
      <c r="O2517" s="1"/>
      <c r="P2517" s="1"/>
      <c r="Q2517" s="1"/>
      <c r="R2517" s="1"/>
      <c r="Z2517" s="103"/>
      <c r="AA2517" s="103"/>
      <c r="AB2517" s="1"/>
    </row>
    <row r="2518" spans="15:28">
      <c r="O2518" s="1"/>
      <c r="P2518" s="1"/>
      <c r="Q2518" s="1"/>
      <c r="R2518" s="1"/>
      <c r="Z2518" s="103"/>
      <c r="AA2518" s="103"/>
      <c r="AB2518" s="1"/>
    </row>
    <row r="2519" spans="15:28">
      <c r="O2519" s="1"/>
      <c r="P2519" s="1"/>
      <c r="Q2519" s="1"/>
      <c r="R2519" s="1"/>
      <c r="Z2519" s="103"/>
      <c r="AA2519" s="103"/>
      <c r="AB2519" s="1"/>
    </row>
    <row r="2520" spans="15:28">
      <c r="O2520" s="1"/>
      <c r="P2520" s="1"/>
      <c r="Q2520" s="1"/>
      <c r="R2520" s="1"/>
      <c r="Z2520" s="103"/>
      <c r="AA2520" s="103"/>
      <c r="AB2520" s="1"/>
    </row>
    <row r="2521" spans="15:28">
      <c r="O2521" s="1"/>
      <c r="P2521" s="1"/>
      <c r="Q2521" s="1"/>
      <c r="R2521" s="1"/>
      <c r="Z2521" s="103"/>
      <c r="AA2521" s="103"/>
      <c r="AB2521" s="1"/>
    </row>
    <row r="2522" spans="15:28">
      <c r="O2522" s="1"/>
      <c r="P2522" s="1"/>
      <c r="Q2522" s="1"/>
      <c r="R2522" s="1"/>
      <c r="Z2522" s="103"/>
      <c r="AA2522" s="103"/>
      <c r="AB2522" s="1"/>
    </row>
    <row r="2523" spans="15:28">
      <c r="O2523" s="1"/>
      <c r="P2523" s="1"/>
      <c r="Q2523" s="1"/>
      <c r="R2523" s="1"/>
      <c r="Z2523" s="103"/>
      <c r="AA2523" s="103"/>
      <c r="AB2523" s="1"/>
    </row>
    <row r="2524" spans="15:28">
      <c r="O2524" s="1"/>
      <c r="P2524" s="1"/>
      <c r="Q2524" s="1"/>
      <c r="R2524" s="1"/>
      <c r="Z2524" s="103"/>
      <c r="AA2524" s="103"/>
      <c r="AB2524" s="1"/>
    </row>
    <row r="2525" spans="15:28">
      <c r="O2525" s="1"/>
      <c r="P2525" s="1"/>
      <c r="Q2525" s="1"/>
      <c r="R2525" s="1"/>
      <c r="Z2525" s="103"/>
      <c r="AA2525" s="103"/>
      <c r="AB2525" s="1"/>
    </row>
    <row r="2526" spans="15:28">
      <c r="O2526" s="1"/>
      <c r="P2526" s="1"/>
      <c r="Q2526" s="1"/>
      <c r="R2526" s="1"/>
      <c r="Z2526" s="103"/>
      <c r="AA2526" s="103"/>
      <c r="AB2526" s="1"/>
    </row>
    <row r="2527" spans="15:28">
      <c r="O2527" s="1"/>
      <c r="P2527" s="1"/>
      <c r="Q2527" s="1"/>
      <c r="R2527" s="1"/>
      <c r="Z2527" s="103"/>
      <c r="AA2527" s="103"/>
      <c r="AB2527" s="1"/>
    </row>
    <row r="2528" spans="15:28">
      <c r="O2528" s="1"/>
      <c r="P2528" s="1"/>
      <c r="Q2528" s="1"/>
      <c r="R2528" s="1"/>
      <c r="Z2528" s="103"/>
      <c r="AA2528" s="103"/>
      <c r="AB2528" s="1"/>
    </row>
    <row r="2529" spans="15:28">
      <c r="O2529" s="1"/>
      <c r="P2529" s="1"/>
      <c r="Q2529" s="1"/>
      <c r="R2529" s="1"/>
      <c r="Z2529" s="103"/>
      <c r="AA2529" s="103"/>
      <c r="AB2529" s="1"/>
    </row>
    <row r="2530" spans="15:28">
      <c r="O2530" s="1"/>
      <c r="P2530" s="1"/>
      <c r="Q2530" s="1"/>
      <c r="R2530" s="1"/>
      <c r="Z2530" s="103"/>
      <c r="AA2530" s="103"/>
      <c r="AB2530" s="1"/>
    </row>
    <row r="2531" spans="15:28">
      <c r="O2531" s="1"/>
      <c r="P2531" s="1"/>
      <c r="Q2531" s="1"/>
      <c r="R2531" s="1"/>
      <c r="Z2531" s="103"/>
      <c r="AA2531" s="103"/>
      <c r="AB2531" s="1"/>
    </row>
    <row r="2532" spans="15:28">
      <c r="O2532" s="1"/>
      <c r="P2532" s="1"/>
      <c r="Q2532" s="1"/>
      <c r="R2532" s="1"/>
      <c r="Z2532" s="103"/>
      <c r="AA2532" s="103"/>
      <c r="AB2532" s="1"/>
    </row>
    <row r="2533" spans="15:28">
      <c r="O2533" s="1"/>
      <c r="P2533" s="1"/>
      <c r="Q2533" s="1"/>
      <c r="R2533" s="1"/>
      <c r="Z2533" s="103"/>
      <c r="AA2533" s="103"/>
      <c r="AB2533" s="1"/>
    </row>
    <row r="2534" spans="15:28">
      <c r="O2534" s="1"/>
      <c r="P2534" s="1"/>
      <c r="Q2534" s="1"/>
      <c r="R2534" s="1"/>
      <c r="Z2534" s="103"/>
      <c r="AA2534" s="103"/>
      <c r="AB2534" s="1"/>
    </row>
    <row r="2535" spans="15:28">
      <c r="O2535" s="1"/>
      <c r="P2535" s="1"/>
      <c r="Q2535" s="1"/>
      <c r="R2535" s="1"/>
      <c r="Z2535" s="103"/>
      <c r="AA2535" s="103"/>
      <c r="AB2535" s="1"/>
    </row>
    <row r="2536" spans="15:28">
      <c r="O2536" s="1"/>
      <c r="P2536" s="1"/>
      <c r="Q2536" s="1"/>
      <c r="R2536" s="1"/>
      <c r="Z2536" s="103"/>
      <c r="AA2536" s="103"/>
      <c r="AB2536" s="1"/>
    </row>
    <row r="2537" spans="15:28">
      <c r="O2537" s="1"/>
      <c r="P2537" s="1"/>
      <c r="Q2537" s="1"/>
      <c r="R2537" s="1"/>
      <c r="Z2537" s="103"/>
      <c r="AA2537" s="103"/>
      <c r="AB2537" s="1"/>
    </row>
    <row r="2538" spans="15:28">
      <c r="O2538" s="1"/>
      <c r="P2538" s="1"/>
      <c r="Q2538" s="1"/>
      <c r="R2538" s="1"/>
      <c r="Z2538" s="103"/>
      <c r="AA2538" s="103"/>
      <c r="AB2538" s="1"/>
    </row>
    <row r="2539" spans="15:28">
      <c r="O2539" s="1"/>
      <c r="P2539" s="1"/>
      <c r="Q2539" s="1"/>
      <c r="R2539" s="1"/>
      <c r="Z2539" s="103"/>
      <c r="AA2539" s="103"/>
      <c r="AB2539" s="1"/>
    </row>
    <row r="2540" spans="15:28">
      <c r="O2540" s="1"/>
      <c r="P2540" s="1"/>
      <c r="Q2540" s="1"/>
      <c r="R2540" s="1"/>
      <c r="Z2540" s="103"/>
      <c r="AA2540" s="103"/>
      <c r="AB2540" s="1"/>
    </row>
    <row r="2541" spans="15:28">
      <c r="O2541" s="1"/>
      <c r="P2541" s="1"/>
      <c r="Q2541" s="1"/>
      <c r="R2541" s="1"/>
      <c r="Z2541" s="103"/>
      <c r="AA2541" s="103"/>
      <c r="AB2541" s="1"/>
    </row>
    <row r="2542" spans="15:28">
      <c r="O2542" s="1"/>
      <c r="P2542" s="1"/>
      <c r="Q2542" s="1"/>
      <c r="R2542" s="1"/>
      <c r="Z2542" s="103"/>
      <c r="AA2542" s="103"/>
      <c r="AB2542" s="1"/>
    </row>
    <row r="2543" spans="15:28">
      <c r="O2543" s="1"/>
      <c r="P2543" s="1"/>
      <c r="Q2543" s="1"/>
      <c r="R2543" s="1"/>
      <c r="Z2543" s="103"/>
      <c r="AA2543" s="103"/>
      <c r="AB2543" s="1"/>
    </row>
    <row r="2544" spans="15:28">
      <c r="O2544" s="1"/>
      <c r="P2544" s="1"/>
      <c r="Q2544" s="1"/>
      <c r="R2544" s="1"/>
      <c r="Z2544" s="103"/>
      <c r="AA2544" s="103"/>
      <c r="AB2544" s="1"/>
    </row>
    <row r="2545" spans="15:30">
      <c r="O2545" s="1"/>
      <c r="P2545" s="1"/>
      <c r="Q2545" s="1"/>
      <c r="R2545" s="1"/>
      <c r="Z2545" s="103"/>
      <c r="AA2545" s="103"/>
      <c r="AB2545" s="1"/>
    </row>
    <row r="2546" spans="15:30">
      <c r="O2546" s="1"/>
      <c r="P2546" s="1"/>
      <c r="Q2546" s="1"/>
      <c r="R2546" s="1"/>
      <c r="Z2546" s="103"/>
      <c r="AA2546" s="103"/>
      <c r="AB2546" s="1"/>
    </row>
    <row r="2547" spans="15:30">
      <c r="O2547" s="1"/>
      <c r="P2547" s="1"/>
      <c r="Q2547" s="1"/>
      <c r="R2547" s="1"/>
      <c r="Z2547" s="103"/>
      <c r="AA2547" s="103"/>
      <c r="AB2547" s="1"/>
    </row>
    <row r="2548" spans="15:30">
      <c r="O2548" s="1"/>
      <c r="P2548" s="1"/>
      <c r="Q2548" s="1"/>
      <c r="R2548" s="1"/>
      <c r="Z2548" s="103"/>
      <c r="AA2548" s="103"/>
      <c r="AB2548" s="1"/>
    </row>
    <row r="2549" spans="15:30">
      <c r="O2549" s="1"/>
      <c r="P2549" s="1"/>
      <c r="Q2549" s="1"/>
      <c r="R2549" s="1"/>
      <c r="Z2549" s="103"/>
      <c r="AA2549" s="103"/>
      <c r="AB2549" s="1"/>
    </row>
    <row r="2550" spans="15:30">
      <c r="O2550" s="1"/>
      <c r="P2550" s="1"/>
      <c r="Q2550" s="1"/>
      <c r="R2550" s="1"/>
      <c r="Z2550" s="103"/>
      <c r="AA2550" s="103"/>
      <c r="AB2550" s="1"/>
    </row>
    <row r="2551" spans="15:30">
      <c r="O2551" s="1"/>
      <c r="P2551" s="1"/>
      <c r="Q2551" s="1"/>
      <c r="R2551" s="1"/>
      <c r="Z2551" s="103"/>
      <c r="AA2551" s="103"/>
      <c r="AB2551" s="1"/>
    </row>
    <row r="2552" spans="15:30">
      <c r="O2552" s="1"/>
      <c r="P2552" s="1"/>
      <c r="Q2552" s="1"/>
      <c r="R2552" s="1"/>
      <c r="Z2552" s="103"/>
      <c r="AA2552" s="103"/>
      <c r="AB2552" s="1"/>
    </row>
    <row r="2553" spans="15:30">
      <c r="O2553" s="1"/>
      <c r="P2553" s="1"/>
      <c r="Q2553" s="1"/>
      <c r="R2553" s="1"/>
      <c r="Z2553" s="103"/>
      <c r="AA2553" s="103"/>
      <c r="AB2553" s="1"/>
      <c r="AD2553" s="102"/>
    </row>
    <row r="2554" spans="15:30">
      <c r="O2554" s="1"/>
      <c r="P2554" s="1"/>
      <c r="Q2554" s="1"/>
      <c r="R2554" s="1"/>
      <c r="Z2554" s="103"/>
      <c r="AA2554" s="103"/>
      <c r="AB2554" s="1"/>
    </row>
    <row r="2555" spans="15:30">
      <c r="O2555" s="1"/>
      <c r="P2555" s="1"/>
      <c r="Q2555" s="1"/>
      <c r="R2555" s="1"/>
      <c r="Z2555" s="103"/>
      <c r="AA2555" s="103"/>
      <c r="AB2555" s="1"/>
    </row>
    <row r="2556" spans="15:30">
      <c r="O2556" s="1"/>
      <c r="P2556" s="1"/>
      <c r="Q2556" s="1"/>
      <c r="R2556" s="1"/>
      <c r="Z2556" s="103"/>
      <c r="AA2556" s="103"/>
      <c r="AB2556" s="1"/>
    </row>
    <row r="2557" spans="15:30">
      <c r="O2557" s="1"/>
      <c r="P2557" s="1"/>
      <c r="Q2557" s="1"/>
      <c r="R2557" s="1"/>
      <c r="Z2557" s="103"/>
      <c r="AA2557" s="103"/>
      <c r="AB2557" s="1"/>
    </row>
    <row r="2558" spans="15:30">
      <c r="O2558" s="1"/>
      <c r="P2558" s="1"/>
      <c r="Q2558" s="1"/>
      <c r="R2558" s="1"/>
      <c r="Z2558" s="103"/>
      <c r="AA2558" s="103"/>
      <c r="AB2558" s="1"/>
    </row>
    <row r="2559" spans="15:30">
      <c r="O2559" s="1"/>
      <c r="P2559" s="1"/>
      <c r="Q2559" s="1"/>
      <c r="R2559" s="1"/>
      <c r="Z2559" s="103"/>
      <c r="AA2559" s="103"/>
      <c r="AB2559" s="1"/>
    </row>
    <row r="2560" spans="15:30">
      <c r="O2560" s="1"/>
      <c r="P2560" s="1"/>
      <c r="Q2560" s="1"/>
      <c r="R2560" s="1"/>
      <c r="Z2560" s="103"/>
      <c r="AA2560" s="103"/>
      <c r="AB2560" s="1"/>
    </row>
    <row r="2561" spans="15:30">
      <c r="O2561" s="1"/>
      <c r="P2561" s="1"/>
      <c r="Q2561" s="1"/>
      <c r="R2561" s="1"/>
      <c r="Z2561" s="103"/>
      <c r="AA2561" s="103"/>
      <c r="AB2561" s="1"/>
    </row>
    <row r="2562" spans="15:30">
      <c r="O2562" s="1"/>
      <c r="P2562" s="1"/>
      <c r="Q2562" s="1"/>
      <c r="R2562" s="1"/>
      <c r="Z2562" s="103"/>
      <c r="AA2562" s="103"/>
      <c r="AB2562" s="1"/>
    </row>
    <row r="2563" spans="15:30">
      <c r="O2563" s="1"/>
      <c r="P2563" s="1"/>
      <c r="Q2563" s="1"/>
      <c r="R2563" s="1"/>
      <c r="Z2563" s="103"/>
      <c r="AA2563" s="103"/>
      <c r="AB2563" s="1"/>
    </row>
    <row r="2564" spans="15:30">
      <c r="O2564" s="1"/>
      <c r="P2564" s="1"/>
      <c r="Q2564" s="1"/>
      <c r="R2564" s="1"/>
      <c r="Z2564" s="103"/>
      <c r="AA2564" s="103"/>
      <c r="AB2564" s="1"/>
      <c r="AD2564" s="102"/>
    </row>
    <row r="2565" spans="15:30">
      <c r="O2565" s="1"/>
      <c r="P2565" s="1"/>
      <c r="Q2565" s="1"/>
      <c r="R2565" s="1"/>
      <c r="Z2565" s="103"/>
      <c r="AA2565" s="103"/>
      <c r="AB2565" s="1"/>
      <c r="AD2565" s="102"/>
    </row>
    <row r="2566" spans="15:30">
      <c r="O2566" s="1"/>
      <c r="P2566" s="1"/>
      <c r="Q2566" s="1"/>
      <c r="R2566" s="1"/>
      <c r="Z2566" s="103"/>
      <c r="AA2566" s="103"/>
      <c r="AB2566" s="1"/>
    </row>
    <row r="2567" spans="15:30">
      <c r="O2567" s="1"/>
      <c r="P2567" s="1"/>
      <c r="Q2567" s="1"/>
      <c r="R2567" s="1"/>
      <c r="Z2567" s="103"/>
      <c r="AA2567" s="103"/>
      <c r="AB2567" s="1"/>
    </row>
    <row r="2568" spans="15:30">
      <c r="O2568" s="1"/>
      <c r="P2568" s="1"/>
      <c r="Q2568" s="1"/>
      <c r="R2568" s="1"/>
      <c r="Z2568" s="103"/>
      <c r="AA2568" s="103"/>
      <c r="AB2568" s="1"/>
    </row>
    <row r="2569" spans="15:30">
      <c r="O2569" s="1"/>
      <c r="P2569" s="1"/>
      <c r="Q2569" s="1"/>
      <c r="R2569" s="1"/>
      <c r="Z2569" s="103"/>
      <c r="AA2569" s="103"/>
      <c r="AB2569" s="1"/>
    </row>
    <row r="2570" spans="15:30">
      <c r="O2570" s="1"/>
      <c r="P2570" s="1"/>
      <c r="Q2570" s="1"/>
      <c r="R2570" s="1"/>
      <c r="Z2570" s="103"/>
      <c r="AA2570" s="103"/>
      <c r="AB2570" s="1"/>
    </row>
    <row r="2571" spans="15:30">
      <c r="O2571" s="1"/>
      <c r="P2571" s="1"/>
      <c r="Q2571" s="1"/>
      <c r="R2571" s="1"/>
      <c r="Z2571" s="103"/>
      <c r="AA2571" s="103"/>
      <c r="AB2571" s="1"/>
    </row>
    <row r="2572" spans="15:30">
      <c r="O2572" s="1"/>
      <c r="P2572" s="1"/>
      <c r="Q2572" s="1"/>
      <c r="R2572" s="1"/>
      <c r="Z2572" s="103"/>
      <c r="AA2572" s="103"/>
      <c r="AB2572" s="1"/>
    </row>
    <row r="2573" spans="15:30">
      <c r="O2573" s="1"/>
      <c r="P2573" s="1"/>
      <c r="Q2573" s="1"/>
      <c r="R2573" s="1"/>
      <c r="Z2573" s="103"/>
      <c r="AA2573" s="103"/>
      <c r="AB2573" s="1"/>
    </row>
    <row r="2574" spans="15:30">
      <c r="O2574" s="1"/>
      <c r="P2574" s="1"/>
      <c r="Q2574" s="1"/>
      <c r="R2574" s="1"/>
      <c r="Z2574" s="103"/>
      <c r="AA2574" s="103"/>
      <c r="AB2574" s="1"/>
    </row>
    <row r="2575" spans="15:30">
      <c r="O2575" s="1"/>
      <c r="P2575" s="1"/>
      <c r="Q2575" s="1"/>
      <c r="R2575" s="1"/>
      <c r="Z2575" s="103"/>
      <c r="AA2575" s="103"/>
      <c r="AB2575" s="1"/>
    </row>
    <row r="2576" spans="15:30">
      <c r="O2576" s="1"/>
      <c r="P2576" s="1"/>
      <c r="Q2576" s="1"/>
      <c r="R2576" s="1"/>
      <c r="Z2576" s="103"/>
      <c r="AA2576" s="103"/>
      <c r="AB2576" s="1"/>
    </row>
    <row r="2577" spans="15:30">
      <c r="O2577" s="1"/>
      <c r="P2577" s="1"/>
      <c r="Q2577" s="1"/>
      <c r="R2577" s="1"/>
      <c r="Z2577" s="103"/>
      <c r="AA2577" s="103"/>
      <c r="AB2577" s="1"/>
    </row>
    <row r="2578" spans="15:30">
      <c r="O2578" s="1"/>
      <c r="P2578" s="1"/>
      <c r="Q2578" s="1"/>
      <c r="R2578" s="1"/>
      <c r="Z2578" s="103"/>
      <c r="AA2578" s="103"/>
      <c r="AB2578" s="1"/>
    </row>
    <row r="2579" spans="15:30">
      <c r="O2579" s="1"/>
      <c r="P2579" s="1"/>
      <c r="Q2579" s="1"/>
      <c r="R2579" s="1"/>
      <c r="Z2579" s="103"/>
      <c r="AA2579" s="103"/>
      <c r="AB2579" s="1"/>
    </row>
    <row r="2580" spans="15:30">
      <c r="O2580" s="1"/>
      <c r="P2580" s="1"/>
      <c r="Q2580" s="1"/>
      <c r="R2580" s="1"/>
      <c r="Z2580" s="103"/>
      <c r="AA2580" s="103"/>
      <c r="AB2580" s="1"/>
      <c r="AD2580" s="102"/>
    </row>
    <row r="2581" spans="15:30">
      <c r="O2581" s="1"/>
      <c r="P2581" s="1"/>
      <c r="Q2581" s="1"/>
      <c r="R2581" s="1"/>
      <c r="Z2581" s="103"/>
      <c r="AA2581" s="103"/>
      <c r="AB2581" s="1"/>
    </row>
    <row r="2582" spans="15:30">
      <c r="O2582" s="1"/>
      <c r="P2582" s="1"/>
      <c r="Q2582" s="1"/>
      <c r="R2582" s="1"/>
      <c r="Z2582" s="103"/>
      <c r="AA2582" s="103"/>
      <c r="AB2582" s="1"/>
    </row>
    <row r="2583" spans="15:30">
      <c r="O2583" s="1"/>
      <c r="P2583" s="1"/>
      <c r="Q2583" s="1"/>
      <c r="R2583" s="1"/>
      <c r="Z2583" s="103"/>
      <c r="AA2583" s="103"/>
      <c r="AB2583" s="1"/>
    </row>
    <row r="2584" spans="15:30">
      <c r="O2584" s="1"/>
      <c r="P2584" s="1"/>
      <c r="Q2584" s="1"/>
      <c r="R2584" s="1"/>
      <c r="Z2584" s="103"/>
      <c r="AA2584" s="103"/>
      <c r="AB2584" s="1"/>
    </row>
    <row r="2585" spans="15:30">
      <c r="O2585" s="1"/>
      <c r="P2585" s="1"/>
      <c r="Q2585" s="1"/>
      <c r="R2585" s="1"/>
      <c r="Z2585" s="103"/>
      <c r="AA2585" s="103"/>
      <c r="AB2585" s="1"/>
    </row>
    <row r="2586" spans="15:30">
      <c r="O2586" s="1"/>
      <c r="P2586" s="1"/>
      <c r="Q2586" s="1"/>
      <c r="R2586" s="1"/>
      <c r="Z2586" s="103"/>
      <c r="AA2586" s="103"/>
      <c r="AB2586" s="1"/>
    </row>
    <row r="2587" spans="15:30">
      <c r="O2587" s="1"/>
      <c r="P2587" s="1"/>
      <c r="Q2587" s="1"/>
      <c r="R2587" s="1"/>
      <c r="Z2587" s="103"/>
      <c r="AA2587" s="103"/>
      <c r="AB2587" s="1"/>
    </row>
    <row r="2588" spans="15:30">
      <c r="O2588" s="1"/>
      <c r="P2588" s="1"/>
      <c r="Q2588" s="1"/>
      <c r="R2588" s="1"/>
      <c r="Z2588" s="103"/>
      <c r="AA2588" s="103"/>
      <c r="AB2588" s="1"/>
    </row>
    <row r="2589" spans="15:30">
      <c r="O2589" s="1"/>
      <c r="P2589" s="1"/>
      <c r="Q2589" s="1"/>
      <c r="R2589" s="1"/>
      <c r="Z2589" s="103"/>
      <c r="AA2589" s="103"/>
      <c r="AB2589" s="1"/>
    </row>
    <row r="2590" spans="15:30">
      <c r="O2590" s="1"/>
      <c r="P2590" s="1"/>
      <c r="Q2590" s="1"/>
      <c r="R2590" s="1"/>
      <c r="Z2590" s="103"/>
      <c r="AA2590" s="103"/>
      <c r="AB2590" s="1"/>
    </row>
    <row r="2591" spans="15:30">
      <c r="O2591" s="1"/>
      <c r="P2591" s="1"/>
      <c r="Q2591" s="1"/>
      <c r="R2591" s="1"/>
      <c r="Z2591" s="103"/>
      <c r="AA2591" s="103"/>
      <c r="AB2591" s="1"/>
    </row>
    <row r="2592" spans="15:30">
      <c r="O2592" s="1"/>
      <c r="P2592" s="1"/>
      <c r="Q2592" s="1"/>
      <c r="R2592" s="1"/>
      <c r="Z2592" s="103"/>
      <c r="AA2592" s="103"/>
      <c r="AB2592" s="1"/>
    </row>
    <row r="2593" spans="15:30">
      <c r="O2593" s="1"/>
      <c r="P2593" s="1"/>
      <c r="Q2593" s="1"/>
      <c r="R2593" s="1"/>
      <c r="Z2593" s="103"/>
      <c r="AA2593" s="103"/>
      <c r="AB2593" s="1"/>
    </row>
    <row r="2594" spans="15:30">
      <c r="O2594" s="1"/>
      <c r="P2594" s="1"/>
      <c r="Q2594" s="1"/>
      <c r="R2594" s="1"/>
      <c r="Z2594" s="103"/>
      <c r="AA2594" s="103"/>
      <c r="AB2594" s="1"/>
    </row>
    <row r="2595" spans="15:30">
      <c r="O2595" s="1"/>
      <c r="P2595" s="1"/>
      <c r="Q2595" s="1"/>
      <c r="R2595" s="1"/>
      <c r="Z2595" s="103"/>
      <c r="AA2595" s="103"/>
      <c r="AB2595" s="1"/>
      <c r="AD2595" s="102"/>
    </row>
    <row r="2596" spans="15:30">
      <c r="O2596" s="1"/>
      <c r="P2596" s="1"/>
      <c r="Q2596" s="1"/>
      <c r="R2596" s="1"/>
      <c r="Z2596" s="103"/>
      <c r="AA2596" s="103"/>
      <c r="AB2596" s="1"/>
    </row>
    <row r="2597" spans="15:30">
      <c r="O2597" s="1"/>
      <c r="P2597" s="1"/>
      <c r="Q2597" s="1"/>
      <c r="R2597" s="1"/>
      <c r="Z2597" s="103"/>
      <c r="AA2597" s="103"/>
      <c r="AB2597" s="1"/>
    </row>
    <row r="2598" spans="15:30">
      <c r="O2598" s="1"/>
      <c r="P2598" s="1"/>
      <c r="Q2598" s="1"/>
      <c r="R2598" s="1"/>
      <c r="Z2598" s="103"/>
      <c r="AA2598" s="103"/>
      <c r="AB2598" s="1"/>
    </row>
    <row r="2599" spans="15:30">
      <c r="O2599" s="1"/>
      <c r="P2599" s="1"/>
      <c r="Q2599" s="1"/>
      <c r="R2599" s="1"/>
      <c r="Z2599" s="103"/>
      <c r="AA2599" s="103"/>
      <c r="AB2599" s="1"/>
    </row>
    <row r="2600" spans="15:30">
      <c r="O2600" s="1"/>
      <c r="P2600" s="1"/>
      <c r="Q2600" s="1"/>
      <c r="R2600" s="1"/>
      <c r="Z2600" s="103"/>
      <c r="AA2600" s="103"/>
      <c r="AB2600" s="1"/>
    </row>
    <row r="2601" spans="15:30">
      <c r="O2601" s="1"/>
      <c r="P2601" s="1"/>
      <c r="Q2601" s="1"/>
      <c r="R2601" s="1"/>
      <c r="Z2601" s="103"/>
      <c r="AA2601" s="103"/>
      <c r="AB2601" s="1"/>
    </row>
    <row r="2602" spans="15:30">
      <c r="O2602" s="1"/>
      <c r="P2602" s="1"/>
      <c r="Q2602" s="1"/>
      <c r="R2602" s="1"/>
      <c r="Z2602" s="103"/>
      <c r="AA2602" s="103"/>
      <c r="AB2602" s="1"/>
    </row>
    <row r="2603" spans="15:30">
      <c r="O2603" s="1"/>
      <c r="P2603" s="1"/>
      <c r="Q2603" s="1"/>
      <c r="R2603" s="1"/>
      <c r="Z2603" s="103"/>
      <c r="AA2603" s="103"/>
      <c r="AB2603" s="1"/>
    </row>
    <row r="2604" spans="15:30">
      <c r="O2604" s="1"/>
      <c r="P2604" s="1"/>
      <c r="Q2604" s="1"/>
      <c r="R2604" s="1"/>
      <c r="Z2604" s="103"/>
      <c r="AA2604" s="103"/>
      <c r="AB2604" s="1"/>
    </row>
    <row r="2605" spans="15:30">
      <c r="O2605" s="1"/>
      <c r="P2605" s="1"/>
      <c r="Q2605" s="1"/>
      <c r="R2605" s="1"/>
      <c r="Z2605" s="103"/>
      <c r="AA2605" s="103"/>
      <c r="AB2605" s="1"/>
    </row>
    <row r="2606" spans="15:30">
      <c r="O2606" s="1"/>
      <c r="P2606" s="1"/>
      <c r="Q2606" s="1"/>
      <c r="R2606" s="1"/>
      <c r="Z2606" s="103"/>
      <c r="AA2606" s="103"/>
      <c r="AB2606" s="1"/>
    </row>
    <row r="2607" spans="15:30">
      <c r="O2607" s="1"/>
      <c r="P2607" s="1"/>
      <c r="Q2607" s="1"/>
      <c r="R2607" s="1"/>
      <c r="Z2607" s="103"/>
      <c r="AA2607" s="103"/>
      <c r="AB2607" s="1"/>
    </row>
    <row r="2608" spans="15:30">
      <c r="O2608" s="1"/>
      <c r="P2608" s="1"/>
      <c r="Q2608" s="1"/>
      <c r="R2608" s="1"/>
      <c r="Z2608" s="103"/>
      <c r="AA2608" s="103"/>
      <c r="AB2608" s="1"/>
    </row>
    <row r="2609" spans="15:28">
      <c r="O2609" s="1"/>
      <c r="P2609" s="1"/>
      <c r="Q2609" s="1"/>
      <c r="R2609" s="1"/>
      <c r="Z2609" s="103"/>
      <c r="AA2609" s="103"/>
      <c r="AB2609" s="1"/>
    </row>
    <row r="2610" spans="15:28">
      <c r="O2610" s="1"/>
      <c r="P2610" s="1"/>
      <c r="Q2610" s="1"/>
      <c r="R2610" s="1"/>
      <c r="Z2610" s="103"/>
      <c r="AA2610" s="103"/>
      <c r="AB2610" s="1"/>
    </row>
    <row r="2611" spans="15:28">
      <c r="O2611" s="1"/>
      <c r="P2611" s="1"/>
      <c r="Q2611" s="1"/>
      <c r="R2611" s="1"/>
      <c r="Z2611" s="103"/>
      <c r="AA2611" s="103"/>
      <c r="AB2611" s="1"/>
    </row>
    <row r="2612" spans="15:28">
      <c r="O2612" s="1"/>
      <c r="P2612" s="1"/>
      <c r="Q2612" s="1"/>
      <c r="R2612" s="1"/>
      <c r="Z2612" s="103"/>
      <c r="AA2612" s="103"/>
      <c r="AB2612" s="1"/>
    </row>
    <row r="2613" spans="15:28">
      <c r="O2613" s="1"/>
      <c r="P2613" s="1"/>
      <c r="Q2613" s="1"/>
      <c r="R2613" s="1"/>
      <c r="Z2613" s="103"/>
      <c r="AA2613" s="103"/>
      <c r="AB2613" s="1"/>
    </row>
    <row r="2614" spans="15:28">
      <c r="O2614" s="1"/>
      <c r="P2614" s="1"/>
      <c r="Q2614" s="1"/>
      <c r="R2614" s="1"/>
      <c r="Z2614" s="103"/>
      <c r="AA2614" s="103"/>
      <c r="AB2614" s="1"/>
    </row>
    <row r="2615" spans="15:28">
      <c r="O2615" s="1"/>
      <c r="P2615" s="1"/>
      <c r="Q2615" s="1"/>
      <c r="R2615" s="1"/>
      <c r="Z2615" s="103"/>
      <c r="AA2615" s="103"/>
      <c r="AB2615" s="1"/>
    </row>
    <row r="2616" spans="15:28">
      <c r="O2616" s="1"/>
      <c r="P2616" s="1"/>
      <c r="Q2616" s="1"/>
      <c r="R2616" s="1"/>
      <c r="Z2616" s="103"/>
      <c r="AA2616" s="103"/>
      <c r="AB2616" s="1"/>
    </row>
    <row r="2617" spans="15:28">
      <c r="O2617" s="1"/>
      <c r="P2617" s="1"/>
      <c r="Q2617" s="1"/>
      <c r="R2617" s="1"/>
      <c r="Z2617" s="103"/>
      <c r="AA2617" s="103"/>
      <c r="AB2617" s="1"/>
    </row>
    <row r="2618" spans="15:28">
      <c r="O2618" s="1"/>
      <c r="P2618" s="1"/>
      <c r="Q2618" s="1"/>
      <c r="R2618" s="1"/>
      <c r="Z2618" s="103"/>
      <c r="AA2618" s="103"/>
      <c r="AB2618" s="1"/>
    </row>
    <row r="2619" spans="15:28">
      <c r="O2619" s="1"/>
      <c r="P2619" s="1"/>
      <c r="Q2619" s="1"/>
      <c r="R2619" s="1"/>
      <c r="Z2619" s="103"/>
      <c r="AA2619" s="103"/>
      <c r="AB2619" s="1"/>
    </row>
    <row r="2620" spans="15:28">
      <c r="O2620" s="1"/>
      <c r="P2620" s="1"/>
      <c r="Q2620" s="1"/>
      <c r="R2620" s="1"/>
      <c r="Z2620" s="103"/>
      <c r="AA2620" s="103"/>
      <c r="AB2620" s="1"/>
    </row>
    <row r="2621" spans="15:28">
      <c r="O2621" s="1"/>
      <c r="P2621" s="1"/>
      <c r="Q2621" s="1"/>
      <c r="R2621" s="1"/>
      <c r="Z2621" s="103"/>
      <c r="AA2621" s="103"/>
      <c r="AB2621" s="1"/>
    </row>
    <row r="2622" spans="15:28">
      <c r="O2622" s="1"/>
      <c r="P2622" s="1"/>
      <c r="Q2622" s="1"/>
      <c r="R2622" s="1"/>
      <c r="Z2622" s="103"/>
      <c r="AA2622" s="103"/>
      <c r="AB2622" s="1"/>
    </row>
    <row r="2623" spans="15:28">
      <c r="O2623" s="1"/>
      <c r="P2623" s="1"/>
      <c r="Q2623" s="1"/>
      <c r="R2623" s="1"/>
      <c r="Z2623" s="103"/>
      <c r="AA2623" s="103"/>
      <c r="AB2623" s="1"/>
    </row>
    <row r="2624" spans="15:28">
      <c r="O2624" s="1"/>
      <c r="P2624" s="1"/>
      <c r="Q2624" s="1"/>
      <c r="R2624" s="1"/>
      <c r="Z2624" s="103"/>
      <c r="AA2624" s="103"/>
      <c r="AB2624" s="1"/>
    </row>
    <row r="2625" spans="15:30">
      <c r="O2625" s="1"/>
      <c r="P2625" s="1"/>
      <c r="Q2625" s="1"/>
      <c r="R2625" s="1"/>
      <c r="Z2625" s="103"/>
      <c r="AA2625" s="103"/>
      <c r="AB2625" s="1"/>
    </row>
    <row r="2626" spans="15:30">
      <c r="O2626" s="1"/>
      <c r="P2626" s="1"/>
      <c r="Q2626" s="1"/>
      <c r="R2626" s="1"/>
      <c r="Z2626" s="103"/>
      <c r="AA2626" s="103"/>
      <c r="AB2626" s="1"/>
    </row>
    <row r="2627" spans="15:30">
      <c r="O2627" s="1"/>
      <c r="P2627" s="1"/>
      <c r="Q2627" s="1"/>
      <c r="R2627" s="1"/>
      <c r="Z2627" s="103"/>
      <c r="AA2627" s="103"/>
      <c r="AB2627" s="1"/>
      <c r="AD2627" s="102"/>
    </row>
    <row r="2628" spans="15:30">
      <c r="O2628" s="1"/>
      <c r="P2628" s="1"/>
      <c r="Q2628" s="1"/>
      <c r="R2628" s="1"/>
      <c r="Z2628" s="103"/>
      <c r="AA2628" s="103"/>
      <c r="AB2628" s="1"/>
    </row>
    <row r="2629" spans="15:30">
      <c r="O2629" s="1"/>
      <c r="P2629" s="1"/>
      <c r="Q2629" s="1"/>
      <c r="R2629" s="1"/>
      <c r="Z2629" s="103"/>
      <c r="AA2629" s="103"/>
      <c r="AB2629" s="1"/>
    </row>
    <row r="2630" spans="15:30">
      <c r="O2630" s="1"/>
      <c r="P2630" s="1"/>
      <c r="Q2630" s="1"/>
      <c r="R2630" s="1"/>
      <c r="Z2630" s="103"/>
      <c r="AA2630" s="103"/>
      <c r="AB2630" s="1"/>
    </row>
    <row r="2631" spans="15:30">
      <c r="O2631" s="1"/>
      <c r="P2631" s="1"/>
      <c r="Q2631" s="1"/>
      <c r="R2631" s="1"/>
      <c r="Z2631" s="103"/>
      <c r="AA2631" s="103"/>
      <c r="AB2631" s="1"/>
    </row>
    <row r="2632" spans="15:30">
      <c r="O2632" s="1"/>
      <c r="P2632" s="1"/>
      <c r="Q2632" s="1"/>
      <c r="R2632" s="1"/>
      <c r="Z2632" s="103"/>
      <c r="AA2632" s="103"/>
      <c r="AB2632" s="1"/>
    </row>
    <row r="2633" spans="15:30">
      <c r="O2633" s="1"/>
      <c r="P2633" s="1"/>
      <c r="Q2633" s="1"/>
      <c r="R2633" s="1"/>
      <c r="Z2633" s="103"/>
      <c r="AA2633" s="103"/>
      <c r="AB2633" s="1"/>
    </row>
    <row r="2634" spans="15:30">
      <c r="O2634" s="1"/>
      <c r="P2634" s="1"/>
      <c r="Q2634" s="1"/>
      <c r="R2634" s="1"/>
      <c r="Z2634" s="103"/>
      <c r="AA2634" s="103"/>
      <c r="AB2634" s="1"/>
    </row>
    <row r="2635" spans="15:30">
      <c r="O2635" s="1"/>
      <c r="P2635" s="1"/>
      <c r="Q2635" s="1"/>
      <c r="R2635" s="1"/>
      <c r="Z2635" s="103"/>
      <c r="AA2635" s="103"/>
      <c r="AB2635" s="1"/>
    </row>
    <row r="2636" spans="15:30">
      <c r="O2636" s="1"/>
      <c r="P2636" s="1"/>
      <c r="Q2636" s="1"/>
      <c r="R2636" s="1"/>
      <c r="Z2636" s="103"/>
      <c r="AA2636" s="103"/>
      <c r="AB2636" s="1"/>
    </row>
    <row r="2637" spans="15:30">
      <c r="O2637" s="1"/>
      <c r="P2637" s="1"/>
      <c r="Q2637" s="1"/>
      <c r="R2637" s="1"/>
      <c r="Z2637" s="103"/>
      <c r="AA2637" s="103"/>
      <c r="AB2637" s="1"/>
      <c r="AD2637" s="102"/>
    </row>
    <row r="2638" spans="15:30">
      <c r="O2638" s="1"/>
      <c r="P2638" s="1"/>
      <c r="Q2638" s="1"/>
      <c r="R2638" s="1"/>
      <c r="Z2638" s="103"/>
      <c r="AA2638" s="103"/>
      <c r="AB2638" s="1"/>
    </row>
    <row r="2639" spans="15:30">
      <c r="O2639" s="1"/>
      <c r="P2639" s="1"/>
      <c r="Q2639" s="1"/>
      <c r="R2639" s="1"/>
      <c r="Z2639" s="103"/>
      <c r="AA2639" s="103"/>
      <c r="AB2639" s="1"/>
    </row>
    <row r="2640" spans="15:30">
      <c r="O2640" s="1"/>
      <c r="P2640" s="1"/>
      <c r="Q2640" s="1"/>
      <c r="R2640" s="1"/>
      <c r="Z2640" s="103"/>
      <c r="AA2640" s="103"/>
      <c r="AB2640" s="1"/>
    </row>
    <row r="2641" spans="15:30">
      <c r="O2641" s="1"/>
      <c r="P2641" s="1"/>
      <c r="Q2641" s="1"/>
      <c r="R2641" s="1"/>
      <c r="Z2641" s="103"/>
      <c r="AA2641" s="103"/>
      <c r="AB2641" s="1"/>
    </row>
    <row r="2642" spans="15:30">
      <c r="O2642" s="1"/>
      <c r="P2642" s="1"/>
      <c r="Q2642" s="1"/>
      <c r="R2642" s="1"/>
      <c r="Z2642" s="103"/>
      <c r="AA2642" s="103"/>
      <c r="AB2642" s="1"/>
      <c r="AD2642" s="102"/>
    </row>
    <row r="2643" spans="15:30">
      <c r="O2643" s="1"/>
      <c r="P2643" s="1"/>
      <c r="Q2643" s="1"/>
      <c r="R2643" s="1"/>
      <c r="Z2643" s="103"/>
      <c r="AA2643" s="103"/>
      <c r="AB2643" s="1"/>
    </row>
    <row r="2644" spans="15:30">
      <c r="O2644" s="1"/>
      <c r="P2644" s="1"/>
      <c r="Q2644" s="1"/>
      <c r="R2644" s="1"/>
      <c r="Z2644" s="103"/>
      <c r="AA2644" s="103"/>
      <c r="AB2644" s="1"/>
    </row>
    <row r="2645" spans="15:30">
      <c r="O2645" s="1"/>
      <c r="P2645" s="1"/>
      <c r="Q2645" s="1"/>
      <c r="R2645" s="1"/>
      <c r="Z2645" s="103"/>
      <c r="AA2645" s="103"/>
      <c r="AB2645" s="1"/>
    </row>
    <row r="2646" spans="15:30">
      <c r="O2646" s="1"/>
      <c r="P2646" s="1"/>
      <c r="Q2646" s="1"/>
      <c r="R2646" s="1"/>
      <c r="Z2646" s="103"/>
      <c r="AA2646" s="103"/>
      <c r="AB2646" s="1"/>
    </row>
    <row r="2647" spans="15:30">
      <c r="O2647" s="1"/>
      <c r="P2647" s="1"/>
      <c r="Q2647" s="1"/>
      <c r="R2647" s="1"/>
      <c r="Z2647" s="103"/>
      <c r="AA2647" s="103"/>
      <c r="AB2647" s="1"/>
    </row>
    <row r="2648" spans="15:30">
      <c r="O2648" s="1"/>
      <c r="P2648" s="1"/>
      <c r="Q2648" s="1"/>
      <c r="R2648" s="1"/>
      <c r="Z2648" s="103"/>
      <c r="AA2648" s="103"/>
      <c r="AB2648" s="1"/>
    </row>
    <row r="2649" spans="15:30">
      <c r="O2649" s="1"/>
      <c r="P2649" s="1"/>
      <c r="Q2649" s="1"/>
      <c r="R2649" s="1"/>
      <c r="Z2649" s="103"/>
      <c r="AA2649" s="103"/>
      <c r="AB2649" s="1"/>
    </row>
    <row r="2650" spans="15:30">
      <c r="O2650" s="1"/>
      <c r="P2650" s="1"/>
      <c r="Q2650" s="1"/>
      <c r="R2650" s="1"/>
      <c r="Z2650" s="103"/>
      <c r="AA2650" s="103"/>
      <c r="AB2650" s="1"/>
    </row>
    <row r="2651" spans="15:30">
      <c r="O2651" s="1"/>
      <c r="P2651" s="1"/>
      <c r="Q2651" s="1"/>
      <c r="R2651" s="1"/>
      <c r="Z2651" s="103"/>
      <c r="AA2651" s="103"/>
      <c r="AB2651" s="1"/>
    </row>
    <row r="2652" spans="15:30">
      <c r="O2652" s="1"/>
      <c r="P2652" s="1"/>
      <c r="Q2652" s="1"/>
      <c r="R2652" s="1"/>
      <c r="Z2652" s="103"/>
      <c r="AA2652" s="103"/>
      <c r="AB2652" s="1"/>
    </row>
    <row r="2653" spans="15:30">
      <c r="O2653" s="1"/>
      <c r="P2653" s="1"/>
      <c r="Q2653" s="1"/>
      <c r="R2653" s="1"/>
      <c r="Z2653" s="103"/>
      <c r="AA2653" s="103"/>
      <c r="AB2653" s="1"/>
    </row>
    <row r="2654" spans="15:30">
      <c r="O2654" s="1"/>
      <c r="P2654" s="1"/>
      <c r="Q2654" s="1"/>
      <c r="R2654" s="1"/>
      <c r="Z2654" s="103"/>
      <c r="AA2654" s="103"/>
      <c r="AB2654" s="1"/>
    </row>
    <row r="2655" spans="15:30">
      <c r="O2655" s="1"/>
      <c r="P2655" s="1"/>
      <c r="Q2655" s="1"/>
      <c r="R2655" s="1"/>
      <c r="Z2655" s="103"/>
      <c r="AA2655" s="103"/>
      <c r="AB2655" s="1"/>
    </row>
    <row r="2656" spans="15:30">
      <c r="O2656" s="1"/>
      <c r="P2656" s="1"/>
      <c r="Q2656" s="1"/>
      <c r="R2656" s="1"/>
      <c r="Z2656" s="103"/>
      <c r="AA2656" s="103"/>
      <c r="AB2656" s="1"/>
    </row>
    <row r="2657" spans="15:28">
      <c r="O2657" s="1"/>
      <c r="P2657" s="1"/>
      <c r="Q2657" s="1"/>
      <c r="R2657" s="1"/>
      <c r="Z2657" s="103"/>
      <c r="AA2657" s="103"/>
      <c r="AB2657" s="1"/>
    </row>
    <row r="2658" spans="15:28">
      <c r="O2658" s="1"/>
      <c r="P2658" s="1"/>
      <c r="Q2658" s="1"/>
      <c r="R2658" s="1"/>
      <c r="Z2658" s="103"/>
      <c r="AA2658" s="103"/>
      <c r="AB2658" s="1"/>
    </row>
    <row r="2659" spans="15:28">
      <c r="O2659" s="1"/>
      <c r="P2659" s="1"/>
      <c r="Q2659" s="1"/>
      <c r="R2659" s="1"/>
      <c r="Z2659" s="103"/>
      <c r="AA2659" s="103"/>
      <c r="AB2659" s="1"/>
    </row>
    <row r="2660" spans="15:28">
      <c r="O2660" s="1"/>
      <c r="P2660" s="1"/>
      <c r="Q2660" s="1"/>
      <c r="R2660" s="1"/>
      <c r="Z2660" s="103"/>
      <c r="AA2660" s="103"/>
      <c r="AB2660" s="1"/>
    </row>
    <row r="2661" spans="15:28">
      <c r="O2661" s="1"/>
      <c r="P2661" s="1"/>
      <c r="Q2661" s="1"/>
      <c r="R2661" s="1"/>
      <c r="Z2661" s="103"/>
      <c r="AA2661" s="103"/>
      <c r="AB2661" s="1"/>
    </row>
    <row r="2662" spans="15:28">
      <c r="O2662" s="1"/>
      <c r="P2662" s="1"/>
      <c r="Q2662" s="1"/>
      <c r="R2662" s="1"/>
      <c r="Z2662" s="103"/>
      <c r="AA2662" s="103"/>
      <c r="AB2662" s="1"/>
    </row>
    <row r="2663" spans="15:28">
      <c r="O2663" s="1"/>
      <c r="P2663" s="1"/>
      <c r="Q2663" s="1"/>
      <c r="R2663" s="1"/>
      <c r="Z2663" s="103"/>
      <c r="AA2663" s="103"/>
      <c r="AB2663" s="1"/>
    </row>
    <row r="2664" spans="15:28">
      <c r="O2664" s="1"/>
      <c r="P2664" s="1"/>
      <c r="Q2664" s="1"/>
      <c r="R2664" s="1"/>
      <c r="Z2664" s="103"/>
      <c r="AA2664" s="103"/>
      <c r="AB2664" s="1"/>
    </row>
    <row r="2665" spans="15:28">
      <c r="O2665" s="1"/>
      <c r="P2665" s="1"/>
      <c r="Q2665" s="1"/>
      <c r="R2665" s="1"/>
      <c r="Z2665" s="103"/>
      <c r="AA2665" s="103"/>
      <c r="AB2665" s="1"/>
    </row>
    <row r="2666" spans="15:28">
      <c r="O2666" s="1"/>
      <c r="P2666" s="1"/>
      <c r="Q2666" s="1"/>
      <c r="R2666" s="1"/>
      <c r="Z2666" s="103"/>
      <c r="AA2666" s="103"/>
      <c r="AB2666" s="1"/>
    </row>
    <row r="2667" spans="15:28">
      <c r="O2667" s="1"/>
      <c r="P2667" s="1"/>
      <c r="Q2667" s="1"/>
      <c r="R2667" s="1"/>
      <c r="Z2667" s="103"/>
      <c r="AA2667" s="103"/>
      <c r="AB2667" s="1"/>
    </row>
    <row r="2668" spans="15:28">
      <c r="O2668" s="1"/>
      <c r="P2668" s="1"/>
      <c r="Q2668" s="1"/>
      <c r="R2668" s="1"/>
      <c r="Z2668" s="103"/>
      <c r="AA2668" s="103"/>
      <c r="AB2668" s="1"/>
    </row>
    <row r="2669" spans="15:28">
      <c r="O2669" s="1"/>
      <c r="P2669" s="1"/>
      <c r="Q2669" s="1"/>
      <c r="R2669" s="1"/>
      <c r="Z2669" s="103"/>
      <c r="AA2669" s="103"/>
      <c r="AB2669" s="1"/>
    </row>
    <row r="2670" spans="15:28">
      <c r="O2670" s="1"/>
      <c r="P2670" s="1"/>
      <c r="Q2670" s="1"/>
      <c r="R2670" s="1"/>
      <c r="Z2670" s="103"/>
      <c r="AA2670" s="103"/>
      <c r="AB2670" s="1"/>
    </row>
    <row r="2671" spans="15:28">
      <c r="O2671" s="1"/>
      <c r="P2671" s="1"/>
      <c r="Q2671" s="1"/>
      <c r="R2671" s="1"/>
      <c r="Z2671" s="103"/>
      <c r="AA2671" s="103"/>
      <c r="AB2671" s="1"/>
    </row>
    <row r="2672" spans="15:28">
      <c r="O2672" s="1"/>
      <c r="P2672" s="1"/>
      <c r="Q2672" s="1"/>
      <c r="R2672" s="1"/>
      <c r="Z2672" s="103"/>
      <c r="AA2672" s="103"/>
      <c r="AB2672" s="1"/>
    </row>
    <row r="2673" spans="15:30">
      <c r="O2673" s="1"/>
      <c r="P2673" s="1"/>
      <c r="Q2673" s="1"/>
      <c r="R2673" s="1"/>
      <c r="Z2673" s="103"/>
      <c r="AA2673" s="103"/>
      <c r="AB2673" s="1"/>
    </row>
    <row r="2674" spans="15:30">
      <c r="O2674" s="1"/>
      <c r="P2674" s="1"/>
      <c r="Q2674" s="1"/>
      <c r="R2674" s="1"/>
      <c r="Z2674" s="103"/>
      <c r="AA2674" s="103"/>
      <c r="AB2674" s="1"/>
    </row>
    <row r="2675" spans="15:30">
      <c r="O2675" s="1"/>
      <c r="P2675" s="1"/>
      <c r="Q2675" s="1"/>
      <c r="R2675" s="1"/>
      <c r="Z2675" s="103"/>
      <c r="AA2675" s="103"/>
      <c r="AB2675" s="1"/>
    </row>
    <row r="2676" spans="15:30">
      <c r="O2676" s="1"/>
      <c r="P2676" s="1"/>
      <c r="Q2676" s="1"/>
      <c r="R2676" s="1"/>
      <c r="Z2676" s="103"/>
      <c r="AA2676" s="103"/>
      <c r="AB2676" s="1"/>
      <c r="AD2676" s="102"/>
    </row>
    <row r="2677" spans="15:30">
      <c r="O2677" s="1"/>
      <c r="P2677" s="1"/>
      <c r="Q2677" s="1"/>
      <c r="R2677" s="1"/>
      <c r="Z2677" s="103"/>
      <c r="AA2677" s="103"/>
      <c r="AB2677" s="1"/>
    </row>
    <row r="2678" spans="15:30">
      <c r="O2678" s="1"/>
      <c r="P2678" s="1"/>
      <c r="Q2678" s="1"/>
      <c r="R2678" s="1"/>
      <c r="Z2678" s="103"/>
      <c r="AA2678" s="103"/>
      <c r="AB2678" s="1"/>
    </row>
    <row r="2679" spans="15:30">
      <c r="O2679" s="1"/>
      <c r="P2679" s="1"/>
      <c r="Q2679" s="1"/>
      <c r="R2679" s="1"/>
      <c r="Z2679" s="103"/>
      <c r="AA2679" s="103"/>
      <c r="AB2679" s="1"/>
    </row>
    <row r="2680" spans="15:30">
      <c r="O2680" s="1"/>
      <c r="P2680" s="1"/>
      <c r="Q2680" s="1"/>
      <c r="R2680" s="1"/>
      <c r="Z2680" s="103"/>
      <c r="AA2680" s="103"/>
      <c r="AB2680" s="1"/>
    </row>
    <row r="2681" spans="15:30">
      <c r="O2681" s="1"/>
      <c r="P2681" s="1"/>
      <c r="Q2681" s="1"/>
      <c r="R2681" s="1"/>
      <c r="Z2681" s="103"/>
      <c r="AA2681" s="103"/>
      <c r="AB2681" s="1"/>
    </row>
    <row r="2682" spans="15:30">
      <c r="O2682" s="1"/>
      <c r="P2682" s="1"/>
      <c r="Q2682" s="1"/>
      <c r="R2682" s="1"/>
      <c r="Z2682" s="103"/>
      <c r="AA2682" s="103"/>
      <c r="AB2682" s="1"/>
    </row>
    <row r="2683" spans="15:30">
      <c r="O2683" s="1"/>
      <c r="P2683" s="1"/>
      <c r="Q2683" s="1"/>
      <c r="R2683" s="1"/>
      <c r="Z2683" s="103"/>
      <c r="AA2683" s="103"/>
      <c r="AB2683" s="1"/>
    </row>
    <row r="2684" spans="15:30">
      <c r="O2684" s="1"/>
      <c r="P2684" s="1"/>
      <c r="Q2684" s="1"/>
      <c r="R2684" s="1"/>
      <c r="Z2684" s="103"/>
      <c r="AA2684" s="103"/>
      <c r="AB2684" s="1"/>
    </row>
    <row r="2685" spans="15:30">
      <c r="O2685" s="1"/>
      <c r="P2685" s="1"/>
      <c r="Q2685" s="1"/>
      <c r="R2685" s="1"/>
      <c r="Z2685" s="103"/>
      <c r="AA2685" s="103"/>
      <c r="AB2685" s="1"/>
    </row>
    <row r="2686" spans="15:30">
      <c r="O2686" s="1"/>
      <c r="P2686" s="1"/>
      <c r="Q2686" s="1"/>
      <c r="R2686" s="1"/>
      <c r="Z2686" s="103"/>
      <c r="AA2686" s="103"/>
      <c r="AB2686" s="1"/>
    </row>
    <row r="2687" spans="15:30">
      <c r="O2687" s="1"/>
      <c r="P2687" s="1"/>
      <c r="Q2687" s="1"/>
      <c r="R2687" s="1"/>
      <c r="Z2687" s="103"/>
      <c r="AA2687" s="103"/>
      <c r="AB2687" s="1"/>
    </row>
    <row r="2688" spans="15:30">
      <c r="O2688" s="1"/>
      <c r="P2688" s="1"/>
      <c r="Q2688" s="1"/>
      <c r="R2688" s="1"/>
      <c r="Z2688" s="103"/>
      <c r="AA2688" s="103"/>
      <c r="AB2688" s="1"/>
    </row>
    <row r="2689" spans="15:30">
      <c r="O2689" s="1"/>
      <c r="P2689" s="1"/>
      <c r="Q2689" s="1"/>
      <c r="R2689" s="1"/>
      <c r="Z2689" s="103"/>
      <c r="AA2689" s="103"/>
      <c r="AB2689" s="1"/>
    </row>
    <row r="2690" spans="15:30">
      <c r="O2690" s="1"/>
      <c r="P2690" s="1"/>
      <c r="Q2690" s="1"/>
      <c r="R2690" s="1"/>
      <c r="Z2690" s="103"/>
      <c r="AA2690" s="103"/>
      <c r="AB2690" s="1"/>
    </row>
    <row r="2691" spans="15:30">
      <c r="O2691" s="1"/>
      <c r="P2691" s="1"/>
      <c r="Q2691" s="1"/>
      <c r="R2691" s="1"/>
      <c r="Z2691" s="103"/>
      <c r="AA2691" s="103"/>
      <c r="AB2691" s="1"/>
    </row>
    <row r="2692" spans="15:30">
      <c r="O2692" s="1"/>
      <c r="P2692" s="1"/>
      <c r="Q2692" s="1"/>
      <c r="R2692" s="1"/>
      <c r="Z2692" s="103"/>
      <c r="AA2692" s="103"/>
      <c r="AB2692" s="1"/>
    </row>
    <row r="2693" spans="15:30">
      <c r="O2693" s="1"/>
      <c r="P2693" s="1"/>
      <c r="Q2693" s="1"/>
      <c r="R2693" s="1"/>
      <c r="Z2693" s="103"/>
      <c r="AA2693" s="103"/>
      <c r="AB2693" s="1"/>
    </row>
    <row r="2694" spans="15:30">
      <c r="O2694" s="1"/>
      <c r="P2694" s="1"/>
      <c r="Q2694" s="1"/>
      <c r="R2694" s="1"/>
      <c r="Z2694" s="103"/>
      <c r="AA2694" s="103"/>
      <c r="AB2694" s="1"/>
    </row>
    <row r="2695" spans="15:30">
      <c r="O2695" s="1"/>
      <c r="P2695" s="1"/>
      <c r="Q2695" s="1"/>
      <c r="R2695" s="1"/>
      <c r="Z2695" s="103"/>
      <c r="AA2695" s="103"/>
      <c r="AB2695" s="1"/>
    </row>
    <row r="2696" spans="15:30">
      <c r="O2696" s="1"/>
      <c r="P2696" s="1"/>
      <c r="Q2696" s="1"/>
      <c r="R2696" s="1"/>
      <c r="Z2696" s="103"/>
      <c r="AA2696" s="103"/>
      <c r="AB2696" s="1"/>
    </row>
    <row r="2697" spans="15:30">
      <c r="O2697" s="1"/>
      <c r="P2697" s="1"/>
      <c r="Q2697" s="1"/>
      <c r="R2697" s="1"/>
      <c r="Z2697" s="103"/>
      <c r="AA2697" s="103"/>
      <c r="AB2697" s="1"/>
      <c r="AD2697" s="102"/>
    </row>
    <row r="2698" spans="15:30">
      <c r="O2698" s="1"/>
      <c r="P2698" s="1"/>
      <c r="Q2698" s="1"/>
      <c r="R2698" s="1"/>
      <c r="Z2698" s="103"/>
      <c r="AA2698" s="103"/>
      <c r="AB2698" s="1"/>
    </row>
    <row r="2699" spans="15:30">
      <c r="O2699" s="1"/>
      <c r="P2699" s="1"/>
      <c r="Q2699" s="1"/>
      <c r="R2699" s="1"/>
      <c r="Z2699" s="103"/>
      <c r="AA2699" s="103"/>
      <c r="AB2699" s="1"/>
    </row>
    <row r="2700" spans="15:30">
      <c r="O2700" s="1"/>
      <c r="P2700" s="1"/>
      <c r="Q2700" s="1"/>
      <c r="R2700" s="1"/>
      <c r="Z2700" s="103"/>
      <c r="AA2700" s="103"/>
      <c r="AB2700" s="1"/>
    </row>
    <row r="2701" spans="15:30">
      <c r="O2701" s="1"/>
      <c r="P2701" s="1"/>
      <c r="Q2701" s="1"/>
      <c r="R2701" s="1"/>
      <c r="Z2701" s="103"/>
      <c r="AA2701" s="103"/>
      <c r="AB2701" s="1"/>
    </row>
    <row r="2702" spans="15:30">
      <c r="O2702" s="1"/>
      <c r="P2702" s="1"/>
      <c r="Q2702" s="1"/>
      <c r="R2702" s="1"/>
      <c r="Z2702" s="103"/>
      <c r="AA2702" s="103"/>
      <c r="AB2702" s="1"/>
    </row>
    <row r="2703" spans="15:30">
      <c r="O2703" s="1"/>
      <c r="P2703" s="1"/>
      <c r="Q2703" s="1"/>
      <c r="R2703" s="1"/>
      <c r="Z2703" s="103"/>
      <c r="AA2703" s="103"/>
      <c r="AB2703" s="1"/>
    </row>
    <row r="2704" spans="15:30">
      <c r="O2704" s="1"/>
      <c r="P2704" s="1"/>
      <c r="Q2704" s="1"/>
      <c r="R2704" s="1"/>
      <c r="Z2704" s="103"/>
      <c r="AA2704" s="103"/>
      <c r="AB2704" s="1"/>
    </row>
    <row r="2705" spans="15:28">
      <c r="O2705" s="1"/>
      <c r="P2705" s="1"/>
      <c r="Q2705" s="1"/>
      <c r="R2705" s="1"/>
      <c r="Z2705" s="103"/>
      <c r="AA2705" s="103"/>
      <c r="AB2705" s="1"/>
    </row>
    <row r="2706" spans="15:28">
      <c r="O2706" s="1"/>
      <c r="P2706" s="1"/>
      <c r="Q2706" s="1"/>
      <c r="R2706" s="1"/>
      <c r="Z2706" s="103"/>
      <c r="AA2706" s="103"/>
      <c r="AB2706" s="1"/>
    </row>
    <row r="2707" spans="15:28">
      <c r="O2707" s="1"/>
      <c r="P2707" s="1"/>
      <c r="Q2707" s="1"/>
      <c r="R2707" s="1"/>
      <c r="Z2707" s="103"/>
      <c r="AA2707" s="103"/>
      <c r="AB2707" s="1"/>
    </row>
    <row r="2708" spans="15:28">
      <c r="O2708" s="1"/>
      <c r="P2708" s="1"/>
      <c r="Q2708" s="1"/>
      <c r="R2708" s="1"/>
      <c r="Z2708" s="103"/>
      <c r="AA2708" s="103"/>
      <c r="AB2708" s="1"/>
    </row>
    <row r="2709" spans="15:28">
      <c r="O2709" s="1"/>
      <c r="P2709" s="1"/>
      <c r="Q2709" s="1"/>
      <c r="R2709" s="1"/>
      <c r="Z2709" s="103"/>
      <c r="AA2709" s="103"/>
      <c r="AB2709" s="1"/>
    </row>
    <row r="2710" spans="15:28">
      <c r="O2710" s="1"/>
      <c r="P2710" s="1"/>
      <c r="Q2710" s="1"/>
      <c r="R2710" s="1"/>
      <c r="Z2710" s="103"/>
      <c r="AA2710" s="103"/>
      <c r="AB2710" s="1"/>
    </row>
    <row r="2711" spans="15:28">
      <c r="O2711" s="1"/>
      <c r="P2711" s="1"/>
      <c r="Q2711" s="1"/>
      <c r="R2711" s="1"/>
      <c r="Z2711" s="103"/>
      <c r="AA2711" s="103"/>
      <c r="AB2711" s="1"/>
    </row>
    <row r="2712" spans="15:28">
      <c r="O2712" s="1"/>
      <c r="P2712" s="1"/>
      <c r="Q2712" s="1"/>
      <c r="R2712" s="1"/>
      <c r="Z2712" s="103"/>
      <c r="AA2712" s="103"/>
      <c r="AB2712" s="1"/>
    </row>
    <row r="2713" spans="15:28">
      <c r="O2713" s="1"/>
      <c r="P2713" s="1"/>
      <c r="Q2713" s="1"/>
      <c r="R2713" s="1"/>
      <c r="Z2713" s="103"/>
      <c r="AA2713" s="103"/>
      <c r="AB2713" s="1"/>
    </row>
    <row r="2714" spans="15:28">
      <c r="O2714" s="1"/>
      <c r="P2714" s="1"/>
      <c r="Q2714" s="1"/>
      <c r="R2714" s="1"/>
      <c r="Z2714" s="103"/>
      <c r="AA2714" s="103"/>
      <c r="AB2714" s="1"/>
    </row>
    <row r="2715" spans="15:28">
      <c r="O2715" s="1"/>
      <c r="P2715" s="1"/>
      <c r="Q2715" s="1"/>
      <c r="R2715" s="1"/>
      <c r="Z2715" s="103"/>
      <c r="AA2715" s="103"/>
      <c r="AB2715" s="1"/>
    </row>
    <row r="2716" spans="15:28">
      <c r="O2716" s="1"/>
      <c r="P2716" s="1"/>
      <c r="Q2716" s="1"/>
      <c r="R2716" s="1"/>
      <c r="Z2716" s="103"/>
      <c r="AA2716" s="103"/>
      <c r="AB2716" s="1"/>
    </row>
    <row r="2717" spans="15:28">
      <c r="O2717" s="1"/>
      <c r="P2717" s="1"/>
      <c r="Q2717" s="1"/>
      <c r="R2717" s="1"/>
      <c r="Z2717" s="103"/>
      <c r="AA2717" s="103"/>
      <c r="AB2717" s="1"/>
    </row>
    <row r="2718" spans="15:28">
      <c r="O2718" s="1"/>
      <c r="P2718" s="1"/>
      <c r="Q2718" s="1"/>
      <c r="R2718" s="1"/>
      <c r="Z2718" s="103"/>
      <c r="AA2718" s="103"/>
      <c r="AB2718" s="1"/>
    </row>
    <row r="2719" spans="15:28">
      <c r="O2719" s="1"/>
      <c r="P2719" s="1"/>
      <c r="Q2719" s="1"/>
      <c r="R2719" s="1"/>
      <c r="Z2719" s="103"/>
      <c r="AA2719" s="103"/>
      <c r="AB2719" s="1"/>
    </row>
    <row r="2720" spans="15:28">
      <c r="O2720" s="1"/>
      <c r="P2720" s="1"/>
      <c r="Q2720" s="1"/>
      <c r="R2720" s="1"/>
      <c r="Z2720" s="103"/>
      <c r="AA2720" s="103"/>
      <c r="AB2720" s="1"/>
    </row>
    <row r="2721" spans="15:28">
      <c r="O2721" s="1"/>
      <c r="P2721" s="1"/>
      <c r="Q2721" s="1"/>
      <c r="R2721" s="1"/>
      <c r="Z2721" s="103"/>
      <c r="AA2721" s="103"/>
      <c r="AB2721" s="1"/>
    </row>
    <row r="2722" spans="15:28">
      <c r="O2722" s="1"/>
      <c r="P2722" s="1"/>
      <c r="Q2722" s="1"/>
      <c r="R2722" s="1"/>
      <c r="Z2722" s="103"/>
      <c r="AA2722" s="103"/>
      <c r="AB2722" s="1"/>
    </row>
    <row r="2723" spans="15:28">
      <c r="O2723" s="1"/>
      <c r="P2723" s="1"/>
      <c r="Q2723" s="1"/>
      <c r="R2723" s="1"/>
      <c r="Z2723" s="103"/>
      <c r="AA2723" s="103"/>
      <c r="AB2723" s="1"/>
    </row>
    <row r="2724" spans="15:28">
      <c r="O2724" s="1"/>
      <c r="P2724" s="1"/>
      <c r="Q2724" s="1"/>
      <c r="R2724" s="1"/>
      <c r="Z2724" s="103"/>
      <c r="AA2724" s="103"/>
      <c r="AB2724" s="1"/>
    </row>
    <row r="2725" spans="15:28">
      <c r="O2725" s="1"/>
      <c r="P2725" s="1"/>
      <c r="Q2725" s="1"/>
      <c r="R2725" s="1"/>
      <c r="Z2725" s="103"/>
      <c r="AA2725" s="103"/>
      <c r="AB2725" s="1"/>
    </row>
    <row r="2726" spans="15:28">
      <c r="O2726" s="1"/>
      <c r="P2726" s="1"/>
      <c r="Q2726" s="1"/>
      <c r="R2726" s="1"/>
      <c r="Z2726" s="103"/>
      <c r="AA2726" s="103"/>
      <c r="AB2726" s="1"/>
    </row>
    <row r="2727" spans="15:28">
      <c r="O2727" s="1"/>
      <c r="P2727" s="1"/>
      <c r="Q2727" s="1"/>
      <c r="R2727" s="1"/>
      <c r="Z2727" s="103"/>
      <c r="AA2727" s="103"/>
      <c r="AB2727" s="1"/>
    </row>
    <row r="2728" spans="15:28">
      <c r="O2728" s="1"/>
      <c r="P2728" s="1"/>
      <c r="Q2728" s="1"/>
      <c r="R2728" s="1"/>
      <c r="Z2728" s="103"/>
      <c r="AA2728" s="103"/>
      <c r="AB2728" s="1"/>
    </row>
    <row r="2729" spans="15:28">
      <c r="O2729" s="1"/>
      <c r="P2729" s="1"/>
      <c r="Q2729" s="1"/>
      <c r="R2729" s="1"/>
      <c r="Z2729" s="103"/>
      <c r="AA2729" s="103"/>
      <c r="AB2729" s="1"/>
    </row>
    <row r="2730" spans="15:28">
      <c r="O2730" s="1"/>
      <c r="P2730" s="1"/>
      <c r="Q2730" s="1"/>
      <c r="R2730" s="1"/>
      <c r="Z2730" s="103"/>
      <c r="AA2730" s="103"/>
      <c r="AB2730" s="1"/>
    </row>
    <row r="2731" spans="15:28">
      <c r="O2731" s="1"/>
      <c r="P2731" s="1"/>
      <c r="Q2731" s="1"/>
      <c r="R2731" s="1"/>
      <c r="Z2731" s="103"/>
      <c r="AA2731" s="103"/>
      <c r="AB2731" s="1"/>
    </row>
    <row r="2732" spans="15:28">
      <c r="O2732" s="1"/>
      <c r="P2732" s="1"/>
      <c r="Q2732" s="1"/>
      <c r="R2732" s="1"/>
      <c r="Z2732" s="103"/>
      <c r="AA2732" s="103"/>
      <c r="AB2732" s="1"/>
    </row>
    <row r="2733" spans="15:28">
      <c r="O2733" s="1"/>
      <c r="P2733" s="1"/>
      <c r="Q2733" s="1"/>
      <c r="R2733" s="1"/>
      <c r="Z2733" s="103"/>
      <c r="AA2733" s="103"/>
      <c r="AB2733" s="1"/>
    </row>
    <row r="2734" spans="15:28">
      <c r="O2734" s="1"/>
      <c r="P2734" s="1"/>
      <c r="Q2734" s="1"/>
      <c r="R2734" s="1"/>
      <c r="Z2734" s="103"/>
      <c r="AA2734" s="103"/>
      <c r="AB2734" s="1"/>
    </row>
    <row r="2735" spans="15:28">
      <c r="O2735" s="1"/>
      <c r="P2735" s="1"/>
      <c r="Q2735" s="1"/>
      <c r="R2735" s="1"/>
      <c r="Z2735" s="103"/>
      <c r="AA2735" s="103"/>
      <c r="AB2735" s="1"/>
    </row>
    <row r="2736" spans="15:28">
      <c r="O2736" s="1"/>
      <c r="P2736" s="1"/>
      <c r="Q2736" s="1"/>
      <c r="R2736" s="1"/>
      <c r="Z2736" s="103"/>
      <c r="AA2736" s="103"/>
      <c r="AB2736" s="1"/>
    </row>
    <row r="2737" spans="15:30">
      <c r="O2737" s="1"/>
      <c r="P2737" s="1"/>
      <c r="Q2737" s="1"/>
      <c r="R2737" s="1"/>
      <c r="Z2737" s="103"/>
      <c r="AA2737" s="103"/>
      <c r="AB2737" s="1"/>
    </row>
    <row r="2738" spans="15:30">
      <c r="O2738" s="1"/>
      <c r="P2738" s="1"/>
      <c r="Q2738" s="1"/>
      <c r="R2738" s="1"/>
      <c r="Z2738" s="103"/>
      <c r="AA2738" s="103"/>
      <c r="AB2738" s="1"/>
    </row>
    <row r="2739" spans="15:30">
      <c r="O2739" s="1"/>
      <c r="P2739" s="1"/>
      <c r="Q2739" s="1"/>
      <c r="R2739" s="1"/>
      <c r="Z2739" s="103"/>
      <c r="AA2739" s="103"/>
      <c r="AB2739" s="1"/>
    </row>
    <row r="2740" spans="15:30">
      <c r="O2740" s="1"/>
      <c r="P2740" s="1"/>
      <c r="Q2740" s="1"/>
      <c r="R2740" s="1"/>
      <c r="Z2740" s="103"/>
      <c r="AA2740" s="103"/>
      <c r="AB2740" s="1"/>
    </row>
    <row r="2741" spans="15:30">
      <c r="O2741" s="1"/>
      <c r="P2741" s="1"/>
      <c r="Q2741" s="1"/>
      <c r="R2741" s="1"/>
      <c r="Z2741" s="103"/>
      <c r="AA2741" s="103"/>
      <c r="AB2741" s="1"/>
    </row>
    <row r="2742" spans="15:30">
      <c r="O2742" s="1"/>
      <c r="P2742" s="1"/>
      <c r="Q2742" s="1"/>
      <c r="R2742" s="1"/>
      <c r="Z2742" s="103"/>
      <c r="AA2742" s="103"/>
      <c r="AB2742" s="1"/>
    </row>
    <row r="2743" spans="15:30">
      <c r="O2743" s="1"/>
      <c r="P2743" s="1"/>
      <c r="Q2743" s="1"/>
      <c r="R2743" s="1"/>
      <c r="Z2743" s="103"/>
      <c r="AA2743" s="103"/>
      <c r="AB2743" s="1"/>
    </row>
    <row r="2744" spans="15:30">
      <c r="O2744" s="1"/>
      <c r="P2744" s="1"/>
      <c r="Q2744" s="1"/>
      <c r="R2744" s="1"/>
      <c r="Z2744" s="103"/>
      <c r="AA2744" s="103"/>
      <c r="AB2744" s="1"/>
    </row>
    <row r="2745" spans="15:30">
      <c r="O2745" s="1"/>
      <c r="P2745" s="1"/>
      <c r="Q2745" s="1"/>
      <c r="R2745" s="1"/>
      <c r="Z2745" s="103"/>
      <c r="AA2745" s="103"/>
      <c r="AB2745" s="1"/>
    </row>
    <row r="2746" spans="15:30">
      <c r="O2746" s="1"/>
      <c r="P2746" s="1"/>
      <c r="Q2746" s="1"/>
      <c r="R2746" s="1"/>
      <c r="Z2746" s="103"/>
      <c r="AA2746" s="103"/>
      <c r="AB2746" s="1"/>
      <c r="AD2746" s="102"/>
    </row>
    <row r="2747" spans="15:30">
      <c r="O2747" s="1"/>
      <c r="P2747" s="1"/>
      <c r="Q2747" s="1"/>
      <c r="R2747" s="1"/>
      <c r="Z2747" s="103"/>
      <c r="AA2747" s="103"/>
      <c r="AB2747" s="1"/>
      <c r="AD2747" s="102"/>
    </row>
    <row r="2748" spans="15:30">
      <c r="O2748" s="1"/>
      <c r="P2748" s="1"/>
      <c r="Q2748" s="1"/>
      <c r="R2748" s="1"/>
      <c r="Z2748" s="103"/>
      <c r="AA2748" s="103"/>
      <c r="AB2748" s="1"/>
    </row>
    <row r="2749" spans="15:30">
      <c r="O2749" s="1"/>
      <c r="P2749" s="1"/>
      <c r="Q2749" s="1"/>
      <c r="R2749" s="1"/>
      <c r="Z2749" s="103"/>
      <c r="AA2749" s="103"/>
      <c r="AB2749" s="1"/>
    </row>
    <row r="2750" spans="15:30">
      <c r="O2750" s="1"/>
      <c r="P2750" s="1"/>
      <c r="Q2750" s="1"/>
      <c r="R2750" s="1"/>
      <c r="Z2750" s="103"/>
      <c r="AA2750" s="103"/>
      <c r="AB2750" s="1"/>
    </row>
    <row r="2751" spans="15:30">
      <c r="O2751" s="1"/>
      <c r="P2751" s="1"/>
      <c r="Q2751" s="1"/>
      <c r="R2751" s="1"/>
      <c r="Z2751" s="103"/>
      <c r="AA2751" s="103"/>
      <c r="AB2751" s="1"/>
    </row>
    <row r="2752" spans="15:30">
      <c r="O2752" s="1"/>
      <c r="P2752" s="1"/>
      <c r="Q2752" s="1"/>
      <c r="R2752" s="1"/>
      <c r="Z2752" s="103"/>
      <c r="AA2752" s="103"/>
      <c r="AB2752" s="1"/>
    </row>
    <row r="2753" spans="15:28">
      <c r="O2753" s="1"/>
      <c r="P2753" s="1"/>
      <c r="Q2753" s="1"/>
      <c r="R2753" s="1"/>
      <c r="Z2753" s="103"/>
      <c r="AA2753" s="103"/>
      <c r="AB2753" s="1"/>
    </row>
    <row r="2754" spans="15:28">
      <c r="O2754" s="1"/>
      <c r="P2754" s="1"/>
      <c r="Q2754" s="1"/>
      <c r="R2754" s="1"/>
      <c r="Z2754" s="103"/>
      <c r="AA2754" s="103"/>
      <c r="AB2754" s="1"/>
    </row>
    <row r="2755" spans="15:28">
      <c r="O2755" s="1"/>
      <c r="P2755" s="1"/>
      <c r="Q2755" s="1"/>
      <c r="R2755" s="1"/>
      <c r="Z2755" s="103"/>
      <c r="AA2755" s="103"/>
      <c r="AB2755" s="1"/>
    </row>
    <row r="2756" spans="15:28">
      <c r="O2756" s="1"/>
      <c r="P2756" s="1"/>
      <c r="Q2756" s="1"/>
      <c r="R2756" s="1"/>
      <c r="Z2756" s="103"/>
      <c r="AA2756" s="103"/>
      <c r="AB2756" s="1"/>
    </row>
    <row r="2757" spans="15:28">
      <c r="O2757" s="1"/>
      <c r="P2757" s="1"/>
      <c r="Q2757" s="1"/>
      <c r="R2757" s="1"/>
      <c r="Z2757" s="103"/>
      <c r="AA2757" s="103"/>
      <c r="AB2757" s="1"/>
    </row>
    <row r="2758" spans="15:28">
      <c r="O2758" s="1"/>
      <c r="P2758" s="1"/>
      <c r="Q2758" s="1"/>
      <c r="R2758" s="1"/>
      <c r="Z2758" s="103"/>
      <c r="AA2758" s="103"/>
      <c r="AB2758" s="1"/>
    </row>
    <row r="2759" spans="15:28">
      <c r="O2759" s="1"/>
      <c r="P2759" s="1"/>
      <c r="Q2759" s="1"/>
      <c r="R2759" s="1"/>
      <c r="Z2759" s="103"/>
      <c r="AA2759" s="103"/>
      <c r="AB2759" s="1"/>
    </row>
    <row r="2760" spans="15:28">
      <c r="O2760" s="1"/>
      <c r="P2760" s="1"/>
      <c r="Q2760" s="1"/>
      <c r="R2760" s="1"/>
      <c r="Z2760" s="103"/>
      <c r="AA2760" s="103"/>
      <c r="AB2760" s="1"/>
    </row>
    <row r="2761" spans="15:28">
      <c r="O2761" s="1"/>
      <c r="P2761" s="1"/>
      <c r="Q2761" s="1"/>
      <c r="R2761" s="1"/>
      <c r="Z2761" s="103"/>
      <c r="AA2761" s="103"/>
      <c r="AB2761" s="1"/>
    </row>
    <row r="2762" spans="15:28">
      <c r="O2762" s="1"/>
      <c r="P2762" s="1"/>
      <c r="Q2762" s="1"/>
      <c r="R2762" s="1"/>
      <c r="Z2762" s="103"/>
      <c r="AA2762" s="103"/>
      <c r="AB2762" s="1"/>
    </row>
    <row r="2763" spans="15:28">
      <c r="O2763" s="1"/>
      <c r="P2763" s="1"/>
      <c r="Q2763" s="1"/>
      <c r="R2763" s="1"/>
      <c r="Z2763" s="103"/>
      <c r="AA2763" s="103"/>
      <c r="AB2763" s="1"/>
    </row>
    <row r="2764" spans="15:28">
      <c r="O2764" s="1"/>
      <c r="P2764" s="1"/>
      <c r="Q2764" s="1"/>
      <c r="R2764" s="1"/>
      <c r="Z2764" s="103"/>
      <c r="AA2764" s="103"/>
      <c r="AB2764" s="1"/>
    </row>
    <row r="2765" spans="15:28">
      <c r="O2765" s="1"/>
      <c r="P2765" s="1"/>
      <c r="Q2765" s="1"/>
      <c r="R2765" s="1"/>
      <c r="Z2765" s="103"/>
      <c r="AA2765" s="103"/>
      <c r="AB2765" s="1"/>
    </row>
    <row r="2766" spans="15:28">
      <c r="O2766" s="1"/>
      <c r="P2766" s="1"/>
      <c r="Q2766" s="1"/>
      <c r="R2766" s="1"/>
      <c r="Z2766" s="103"/>
      <c r="AA2766" s="103"/>
      <c r="AB2766" s="1"/>
    </row>
    <row r="2767" spans="15:28">
      <c r="O2767" s="1"/>
      <c r="P2767" s="1"/>
      <c r="Q2767" s="1"/>
      <c r="R2767" s="1"/>
      <c r="Z2767" s="103"/>
      <c r="AA2767" s="103"/>
      <c r="AB2767" s="1"/>
    </row>
    <row r="2768" spans="15:28">
      <c r="O2768" s="1"/>
      <c r="P2768" s="1"/>
      <c r="Q2768" s="1"/>
      <c r="R2768" s="1"/>
      <c r="Z2768" s="103"/>
      <c r="AA2768" s="103"/>
      <c r="AB2768" s="1"/>
    </row>
    <row r="2769" spans="15:30">
      <c r="O2769" s="1"/>
      <c r="P2769" s="1"/>
      <c r="Q2769" s="1"/>
      <c r="R2769" s="1"/>
      <c r="Z2769" s="103"/>
      <c r="AA2769" s="103"/>
      <c r="AB2769" s="1"/>
    </row>
    <row r="2770" spans="15:30">
      <c r="O2770" s="1"/>
      <c r="P2770" s="1"/>
      <c r="Q2770" s="1"/>
      <c r="R2770" s="1"/>
      <c r="Z2770" s="103"/>
      <c r="AA2770" s="103"/>
      <c r="AB2770" s="1"/>
    </row>
    <row r="2771" spans="15:30">
      <c r="O2771" s="1"/>
      <c r="P2771" s="1"/>
      <c r="Q2771" s="1"/>
      <c r="R2771" s="1"/>
      <c r="Z2771" s="103"/>
      <c r="AA2771" s="103"/>
      <c r="AB2771" s="1"/>
    </row>
    <row r="2772" spans="15:30">
      <c r="O2772" s="1"/>
      <c r="P2772" s="1"/>
      <c r="Q2772" s="1"/>
      <c r="R2772" s="1"/>
      <c r="Z2772" s="103"/>
      <c r="AA2772" s="103"/>
      <c r="AB2772" s="1"/>
    </row>
    <row r="2773" spans="15:30">
      <c r="O2773" s="1"/>
      <c r="P2773" s="1"/>
      <c r="Q2773" s="1"/>
      <c r="R2773" s="1"/>
      <c r="Z2773" s="103"/>
      <c r="AA2773" s="103"/>
      <c r="AB2773" s="1"/>
    </row>
    <row r="2774" spans="15:30">
      <c r="O2774" s="1"/>
      <c r="P2774" s="1"/>
      <c r="Q2774" s="1"/>
      <c r="R2774" s="1"/>
      <c r="Z2774" s="103"/>
      <c r="AA2774" s="103"/>
      <c r="AB2774" s="1"/>
    </row>
    <row r="2775" spans="15:30">
      <c r="O2775" s="1"/>
      <c r="P2775" s="1"/>
      <c r="Q2775" s="1"/>
      <c r="R2775" s="1"/>
      <c r="Z2775" s="103"/>
      <c r="AA2775" s="103"/>
      <c r="AB2775" s="1"/>
    </row>
    <row r="2776" spans="15:30">
      <c r="O2776" s="1"/>
      <c r="P2776" s="1"/>
      <c r="Q2776" s="1"/>
      <c r="R2776" s="1"/>
      <c r="Z2776" s="103"/>
      <c r="AA2776" s="103"/>
      <c r="AB2776" s="1"/>
    </row>
    <row r="2777" spans="15:30">
      <c r="O2777" s="1"/>
      <c r="P2777" s="1"/>
      <c r="Q2777" s="1"/>
      <c r="R2777" s="1"/>
      <c r="Z2777" s="103"/>
      <c r="AA2777" s="103"/>
      <c r="AB2777" s="1"/>
    </row>
    <row r="2778" spans="15:30">
      <c r="O2778" s="1"/>
      <c r="P2778" s="1"/>
      <c r="Q2778" s="1"/>
      <c r="R2778" s="1"/>
      <c r="Z2778" s="103"/>
      <c r="AA2778" s="103"/>
      <c r="AB2778" s="1"/>
      <c r="AD2778" s="102"/>
    </row>
    <row r="2779" spans="15:30">
      <c r="O2779" s="1"/>
      <c r="P2779" s="1"/>
      <c r="Q2779" s="1"/>
      <c r="R2779" s="1"/>
      <c r="Z2779" s="103"/>
      <c r="AA2779" s="103"/>
      <c r="AB2779" s="1"/>
      <c r="AD2779" s="102"/>
    </row>
    <row r="2780" spans="15:30">
      <c r="O2780" s="1"/>
      <c r="P2780" s="1"/>
      <c r="Q2780" s="1"/>
      <c r="R2780" s="1"/>
      <c r="Z2780" s="103"/>
      <c r="AA2780" s="103"/>
      <c r="AB2780" s="1"/>
    </row>
    <row r="2781" spans="15:30">
      <c r="O2781" s="1"/>
      <c r="P2781" s="1"/>
      <c r="Q2781" s="1"/>
      <c r="R2781" s="1"/>
      <c r="Z2781" s="103"/>
      <c r="AA2781" s="103"/>
      <c r="AB2781" s="1"/>
    </row>
    <row r="2782" spans="15:30">
      <c r="O2782" s="1"/>
      <c r="P2782" s="1"/>
      <c r="Q2782" s="1"/>
      <c r="R2782" s="1"/>
      <c r="Z2782" s="103"/>
      <c r="AA2782" s="103"/>
      <c r="AB2782" s="1"/>
    </row>
    <row r="2783" spans="15:30">
      <c r="O2783" s="1"/>
      <c r="P2783" s="1"/>
      <c r="Q2783" s="1"/>
      <c r="R2783" s="1"/>
      <c r="Z2783" s="103"/>
      <c r="AA2783" s="103"/>
      <c r="AB2783" s="1"/>
    </row>
    <row r="2784" spans="15:30">
      <c r="O2784" s="1"/>
      <c r="P2784" s="1"/>
      <c r="Q2784" s="1"/>
      <c r="R2784" s="1"/>
      <c r="Z2784" s="103"/>
      <c r="AA2784" s="103"/>
      <c r="AB2784" s="1"/>
    </row>
    <row r="2785" spans="15:30">
      <c r="O2785" s="1"/>
      <c r="P2785" s="1"/>
      <c r="Q2785" s="1"/>
      <c r="R2785" s="1"/>
      <c r="Z2785" s="103"/>
      <c r="AA2785" s="103"/>
      <c r="AB2785" s="1"/>
      <c r="AD2785" s="102"/>
    </row>
    <row r="2786" spans="15:30">
      <c r="O2786" s="1"/>
      <c r="P2786" s="1"/>
      <c r="Q2786" s="1"/>
      <c r="R2786" s="1"/>
      <c r="Z2786" s="103"/>
      <c r="AA2786" s="103"/>
      <c r="AB2786" s="1"/>
    </row>
    <row r="2787" spans="15:30">
      <c r="O2787" s="1"/>
      <c r="P2787" s="1"/>
      <c r="Q2787" s="1"/>
      <c r="R2787" s="1"/>
      <c r="Z2787" s="103"/>
      <c r="AA2787" s="103"/>
      <c r="AB2787" s="1"/>
    </row>
    <row r="2788" spans="15:30">
      <c r="O2788" s="1"/>
      <c r="P2788" s="1"/>
      <c r="Q2788" s="1"/>
      <c r="R2788" s="1"/>
      <c r="Z2788" s="103"/>
      <c r="AA2788" s="103"/>
      <c r="AB2788" s="1"/>
    </row>
    <row r="2789" spans="15:30">
      <c r="O2789" s="1"/>
      <c r="P2789" s="1"/>
      <c r="Q2789" s="1"/>
      <c r="R2789" s="1"/>
      <c r="Z2789" s="103"/>
      <c r="AA2789" s="103"/>
      <c r="AB2789" s="1"/>
    </row>
    <row r="2790" spans="15:30">
      <c r="O2790" s="1"/>
      <c r="P2790" s="1"/>
      <c r="Q2790" s="1"/>
      <c r="R2790" s="1"/>
      <c r="Z2790" s="103"/>
      <c r="AA2790" s="103"/>
      <c r="AB2790" s="1"/>
    </row>
    <row r="2791" spans="15:30">
      <c r="O2791" s="1"/>
      <c r="P2791" s="1"/>
      <c r="Q2791" s="1"/>
      <c r="R2791" s="1"/>
      <c r="Z2791" s="103"/>
      <c r="AA2791" s="103"/>
      <c r="AB2791" s="1"/>
    </row>
    <row r="2792" spans="15:30">
      <c r="O2792" s="1"/>
      <c r="P2792" s="1"/>
      <c r="Q2792" s="1"/>
      <c r="R2792" s="1"/>
      <c r="Z2792" s="103"/>
      <c r="AA2792" s="103"/>
      <c r="AB2792" s="1"/>
    </row>
    <row r="2793" spans="15:30">
      <c r="O2793" s="1"/>
      <c r="P2793" s="1"/>
      <c r="Q2793" s="1"/>
      <c r="R2793" s="1"/>
      <c r="Z2793" s="103"/>
      <c r="AA2793" s="103"/>
      <c r="AB2793" s="1"/>
    </row>
    <row r="2794" spans="15:30">
      <c r="O2794" s="1"/>
      <c r="P2794" s="1"/>
      <c r="Q2794" s="1"/>
      <c r="R2794" s="1"/>
      <c r="Z2794" s="103"/>
      <c r="AA2794" s="103"/>
      <c r="AB2794" s="1"/>
    </row>
    <row r="2795" spans="15:30">
      <c r="O2795" s="1"/>
      <c r="P2795" s="1"/>
      <c r="Q2795" s="1"/>
      <c r="R2795" s="1"/>
      <c r="Z2795" s="103"/>
      <c r="AA2795" s="103"/>
      <c r="AB2795" s="1"/>
    </row>
    <row r="2796" spans="15:30">
      <c r="O2796" s="1"/>
      <c r="P2796" s="1"/>
      <c r="Q2796" s="1"/>
      <c r="R2796" s="1"/>
      <c r="Z2796" s="103"/>
      <c r="AA2796" s="103"/>
      <c r="AB2796" s="1"/>
    </row>
    <row r="2797" spans="15:30">
      <c r="O2797" s="1"/>
      <c r="P2797" s="1"/>
      <c r="Q2797" s="1"/>
      <c r="R2797" s="1"/>
      <c r="Z2797" s="103"/>
      <c r="AA2797" s="103"/>
      <c r="AB2797" s="1"/>
    </row>
    <row r="2798" spans="15:30">
      <c r="O2798" s="1"/>
      <c r="P2798" s="1"/>
      <c r="Q2798" s="1"/>
      <c r="R2798" s="1"/>
      <c r="Z2798" s="103"/>
      <c r="AA2798" s="103"/>
      <c r="AB2798" s="1"/>
    </row>
    <row r="2799" spans="15:30">
      <c r="O2799" s="1"/>
      <c r="P2799" s="1"/>
      <c r="Q2799" s="1"/>
      <c r="R2799" s="1"/>
      <c r="Z2799" s="103"/>
      <c r="AA2799" s="103"/>
      <c r="AB2799" s="1"/>
    </row>
    <row r="2800" spans="15:30">
      <c r="O2800" s="1"/>
      <c r="P2800" s="1"/>
      <c r="Q2800" s="1"/>
      <c r="R2800" s="1"/>
      <c r="Z2800" s="103"/>
      <c r="AA2800" s="103"/>
      <c r="AB2800" s="1"/>
    </row>
    <row r="2801" spans="15:30">
      <c r="O2801" s="1"/>
      <c r="P2801" s="1"/>
      <c r="Q2801" s="1"/>
      <c r="R2801" s="1"/>
      <c r="Z2801" s="103"/>
      <c r="AA2801" s="103"/>
      <c r="AB2801" s="1"/>
    </row>
    <row r="2802" spans="15:30">
      <c r="O2802" s="1"/>
      <c r="P2802" s="1"/>
      <c r="Q2802" s="1"/>
      <c r="R2802" s="1"/>
      <c r="Z2802" s="103"/>
      <c r="AA2802" s="103"/>
      <c r="AB2802" s="1"/>
    </row>
    <row r="2803" spans="15:30">
      <c r="O2803" s="1"/>
      <c r="P2803" s="1"/>
      <c r="Q2803" s="1"/>
      <c r="R2803" s="1"/>
      <c r="Z2803" s="103"/>
      <c r="AA2803" s="103"/>
      <c r="AB2803" s="1"/>
    </row>
    <row r="2804" spans="15:30">
      <c r="O2804" s="1"/>
      <c r="P2804" s="1"/>
      <c r="Q2804" s="1"/>
      <c r="R2804" s="1"/>
      <c r="Z2804" s="103"/>
      <c r="AA2804" s="103"/>
      <c r="AB2804" s="1"/>
    </row>
    <row r="2805" spans="15:30">
      <c r="O2805" s="1"/>
      <c r="P2805" s="1"/>
      <c r="Q2805" s="1"/>
      <c r="R2805" s="1"/>
      <c r="Z2805" s="103"/>
      <c r="AA2805" s="103"/>
      <c r="AB2805" s="1"/>
    </row>
    <row r="2806" spans="15:30">
      <c r="O2806" s="1"/>
      <c r="P2806" s="1"/>
      <c r="Q2806" s="1"/>
      <c r="R2806" s="1"/>
      <c r="Z2806" s="103"/>
      <c r="AA2806" s="103"/>
      <c r="AB2806" s="1"/>
    </row>
    <row r="2807" spans="15:30">
      <c r="O2807" s="1"/>
      <c r="P2807" s="1"/>
      <c r="Q2807" s="1"/>
      <c r="R2807" s="1"/>
      <c r="Z2807" s="103"/>
      <c r="AA2807" s="103"/>
      <c r="AB2807" s="1"/>
    </row>
    <row r="2808" spans="15:30">
      <c r="O2808" s="1"/>
      <c r="P2808" s="1"/>
      <c r="Q2808" s="1"/>
      <c r="R2808" s="1"/>
      <c r="Z2808" s="103"/>
      <c r="AA2808" s="103"/>
      <c r="AB2808" s="1"/>
    </row>
    <row r="2809" spans="15:30">
      <c r="O2809" s="1"/>
      <c r="P2809" s="1"/>
      <c r="Q2809" s="1"/>
      <c r="R2809" s="1"/>
      <c r="Z2809" s="103"/>
      <c r="AA2809" s="103"/>
      <c r="AB2809" s="1"/>
      <c r="AD2809" s="102"/>
    </row>
    <row r="2810" spans="15:30">
      <c r="O2810" s="1"/>
      <c r="P2810" s="1"/>
      <c r="Q2810" s="1"/>
      <c r="R2810" s="1"/>
      <c r="Z2810" s="103"/>
      <c r="AA2810" s="103"/>
      <c r="AB2810" s="1"/>
      <c r="AD2810" s="102"/>
    </row>
    <row r="2811" spans="15:30">
      <c r="O2811" s="1"/>
      <c r="P2811" s="1"/>
      <c r="Q2811" s="1"/>
      <c r="R2811" s="1"/>
      <c r="Z2811" s="103"/>
      <c r="AA2811" s="103"/>
      <c r="AB2811" s="1"/>
    </row>
    <row r="2812" spans="15:30">
      <c r="O2812" s="1"/>
      <c r="P2812" s="1"/>
      <c r="Q2812" s="1"/>
      <c r="R2812" s="1"/>
      <c r="Z2812" s="103"/>
      <c r="AA2812" s="103"/>
      <c r="AB2812" s="1"/>
    </row>
    <row r="2813" spans="15:30">
      <c r="O2813" s="1"/>
      <c r="P2813" s="1"/>
      <c r="Q2813" s="1"/>
      <c r="R2813" s="1"/>
      <c r="Z2813" s="103"/>
      <c r="AA2813" s="103"/>
      <c r="AB2813" s="1"/>
    </row>
    <row r="2814" spans="15:30">
      <c r="O2814" s="1"/>
      <c r="P2814" s="1"/>
      <c r="Q2814" s="1"/>
      <c r="R2814" s="1"/>
      <c r="Z2814" s="103"/>
      <c r="AA2814" s="103"/>
      <c r="AB2814" s="1"/>
    </row>
    <row r="2815" spans="15:30">
      <c r="O2815" s="1"/>
      <c r="P2815" s="1"/>
      <c r="Q2815" s="1"/>
      <c r="R2815" s="1"/>
      <c r="Z2815" s="103"/>
      <c r="AA2815" s="103"/>
      <c r="AB2815" s="1"/>
    </row>
    <row r="2816" spans="15:30">
      <c r="O2816" s="1"/>
      <c r="P2816" s="1"/>
      <c r="Q2816" s="1"/>
      <c r="R2816" s="1"/>
      <c r="Z2816" s="103"/>
      <c r="AA2816" s="103"/>
      <c r="AB2816" s="1"/>
    </row>
    <row r="2817" spans="15:30">
      <c r="O2817" s="1"/>
      <c r="P2817" s="1"/>
      <c r="Q2817" s="1"/>
      <c r="R2817" s="1"/>
      <c r="Z2817" s="103"/>
      <c r="AA2817" s="103"/>
      <c r="AB2817" s="1"/>
    </row>
    <row r="2818" spans="15:30">
      <c r="O2818" s="1"/>
      <c r="P2818" s="1"/>
      <c r="Q2818" s="1"/>
      <c r="R2818" s="1"/>
      <c r="Z2818" s="103"/>
      <c r="AA2818" s="103"/>
      <c r="AB2818" s="1"/>
    </row>
    <row r="2819" spans="15:30">
      <c r="O2819" s="1"/>
      <c r="P2819" s="1"/>
      <c r="Q2819" s="1"/>
      <c r="R2819" s="1"/>
      <c r="Z2819" s="103"/>
      <c r="AA2819" s="103"/>
      <c r="AB2819" s="1"/>
    </row>
    <row r="2820" spans="15:30">
      <c r="O2820" s="1"/>
      <c r="P2820" s="1"/>
      <c r="Q2820" s="1"/>
      <c r="R2820" s="1"/>
      <c r="Z2820" s="103"/>
      <c r="AA2820" s="103"/>
      <c r="AB2820" s="1"/>
    </row>
    <row r="2821" spans="15:30">
      <c r="O2821" s="1"/>
      <c r="P2821" s="1"/>
      <c r="Q2821" s="1"/>
      <c r="R2821" s="1"/>
      <c r="Z2821" s="103"/>
      <c r="AA2821" s="103"/>
      <c r="AB2821" s="1"/>
      <c r="AD2821" s="102"/>
    </row>
    <row r="2822" spans="15:30">
      <c r="O2822" s="1"/>
      <c r="P2822" s="1"/>
      <c r="Q2822" s="1"/>
      <c r="R2822" s="1"/>
      <c r="Z2822" s="103"/>
      <c r="AA2822" s="103"/>
      <c r="AB2822" s="1"/>
    </row>
    <row r="2823" spans="15:30">
      <c r="O2823" s="1"/>
      <c r="P2823" s="1"/>
      <c r="Q2823" s="1"/>
      <c r="R2823" s="1"/>
      <c r="Z2823" s="103"/>
      <c r="AA2823" s="103"/>
      <c r="AB2823" s="1"/>
    </row>
    <row r="2824" spans="15:30">
      <c r="O2824" s="1"/>
      <c r="P2824" s="1"/>
      <c r="Q2824" s="1"/>
      <c r="R2824" s="1"/>
      <c r="Z2824" s="103"/>
      <c r="AA2824" s="103"/>
      <c r="AB2824" s="1"/>
    </row>
    <row r="2825" spans="15:30">
      <c r="O2825" s="1"/>
      <c r="P2825" s="1"/>
      <c r="Q2825" s="1"/>
      <c r="R2825" s="1"/>
      <c r="Z2825" s="103"/>
      <c r="AA2825" s="103"/>
      <c r="AB2825" s="1"/>
    </row>
    <row r="2826" spans="15:30">
      <c r="O2826" s="1"/>
      <c r="P2826" s="1"/>
      <c r="Q2826" s="1"/>
      <c r="R2826" s="1"/>
      <c r="Z2826" s="103"/>
      <c r="AA2826" s="103"/>
      <c r="AB2826" s="1"/>
    </row>
    <row r="2827" spans="15:30">
      <c r="O2827" s="1"/>
      <c r="P2827" s="1"/>
      <c r="Q2827" s="1"/>
      <c r="R2827" s="1"/>
      <c r="Z2827" s="103"/>
      <c r="AA2827" s="103"/>
      <c r="AB2827" s="1"/>
    </row>
    <row r="2828" spans="15:30">
      <c r="O2828" s="1"/>
      <c r="P2828" s="1"/>
      <c r="Q2828" s="1"/>
      <c r="R2828" s="1"/>
      <c r="Z2828" s="103"/>
      <c r="AA2828" s="103"/>
      <c r="AB2828" s="1"/>
    </row>
    <row r="2829" spans="15:30">
      <c r="O2829" s="1"/>
      <c r="P2829" s="1"/>
      <c r="Q2829" s="1"/>
      <c r="R2829" s="1"/>
      <c r="Z2829" s="103"/>
      <c r="AA2829" s="103"/>
      <c r="AB2829" s="1"/>
    </row>
    <row r="2830" spans="15:30">
      <c r="O2830" s="1"/>
      <c r="P2830" s="1"/>
      <c r="Q2830" s="1"/>
      <c r="R2830" s="1"/>
      <c r="Z2830" s="103"/>
      <c r="AA2830" s="103"/>
      <c r="AB2830" s="1"/>
    </row>
    <row r="2831" spans="15:30">
      <c r="O2831" s="1"/>
      <c r="P2831" s="1"/>
      <c r="Q2831" s="1"/>
      <c r="R2831" s="1"/>
      <c r="Z2831" s="103"/>
      <c r="AA2831" s="103"/>
      <c r="AB2831" s="1"/>
    </row>
    <row r="2832" spans="15:30">
      <c r="O2832" s="1"/>
      <c r="P2832" s="1"/>
      <c r="Q2832" s="1"/>
      <c r="R2832" s="1"/>
      <c r="Z2832" s="103"/>
      <c r="AA2832" s="103"/>
      <c r="AB2832" s="1"/>
    </row>
    <row r="2833" spans="15:28">
      <c r="O2833" s="1"/>
      <c r="P2833" s="1"/>
      <c r="Q2833" s="1"/>
      <c r="R2833" s="1"/>
      <c r="Z2833" s="103"/>
      <c r="AA2833" s="103"/>
      <c r="AB2833" s="1"/>
    </row>
    <row r="2834" spans="15:28">
      <c r="O2834" s="1"/>
      <c r="P2834" s="1"/>
      <c r="Q2834" s="1"/>
      <c r="R2834" s="1"/>
      <c r="Z2834" s="103"/>
      <c r="AA2834" s="103"/>
      <c r="AB2834" s="1"/>
    </row>
    <row r="2835" spans="15:28">
      <c r="O2835" s="1"/>
      <c r="P2835" s="1"/>
      <c r="Q2835" s="1"/>
      <c r="R2835" s="1"/>
      <c r="Z2835" s="103"/>
      <c r="AA2835" s="103"/>
      <c r="AB2835" s="1"/>
    </row>
    <row r="2836" spans="15:28">
      <c r="O2836" s="1"/>
      <c r="P2836" s="1"/>
      <c r="Q2836" s="1"/>
      <c r="R2836" s="1"/>
      <c r="Z2836" s="103"/>
      <c r="AA2836" s="103"/>
      <c r="AB2836" s="1"/>
    </row>
    <row r="2837" spans="15:28">
      <c r="O2837" s="1"/>
      <c r="P2837" s="1"/>
      <c r="Q2837" s="1"/>
      <c r="R2837" s="1"/>
      <c r="Z2837" s="103"/>
      <c r="AA2837" s="103"/>
      <c r="AB2837" s="1"/>
    </row>
    <row r="2838" spans="15:28">
      <c r="O2838" s="1"/>
      <c r="P2838" s="1"/>
      <c r="Q2838" s="1"/>
      <c r="R2838" s="1"/>
      <c r="Z2838" s="103"/>
      <c r="AA2838" s="103"/>
      <c r="AB2838" s="1"/>
    </row>
    <row r="2839" spans="15:28">
      <c r="O2839" s="1"/>
      <c r="P2839" s="1"/>
      <c r="Q2839" s="1"/>
      <c r="R2839" s="1"/>
      <c r="Z2839" s="103"/>
      <c r="AA2839" s="103"/>
      <c r="AB2839" s="1"/>
    </row>
    <row r="2840" spans="15:28">
      <c r="O2840" s="1"/>
      <c r="P2840" s="1"/>
      <c r="Q2840" s="1"/>
      <c r="R2840" s="1"/>
      <c r="Z2840" s="103"/>
      <c r="AA2840" s="103"/>
      <c r="AB2840" s="1"/>
    </row>
    <row r="2841" spans="15:28">
      <c r="O2841" s="1"/>
      <c r="P2841" s="1"/>
      <c r="Q2841" s="1"/>
      <c r="R2841" s="1"/>
      <c r="Z2841" s="103"/>
      <c r="AA2841" s="103"/>
      <c r="AB2841" s="1"/>
    </row>
    <row r="2842" spans="15:28">
      <c r="O2842" s="1"/>
      <c r="P2842" s="1"/>
      <c r="Q2842" s="1"/>
      <c r="R2842" s="1"/>
      <c r="Z2842" s="103"/>
      <c r="AA2842" s="103"/>
      <c r="AB2842" s="1"/>
    </row>
    <row r="2843" spans="15:28">
      <c r="O2843" s="1"/>
      <c r="P2843" s="1"/>
      <c r="Q2843" s="1"/>
      <c r="R2843" s="1"/>
      <c r="Z2843" s="103"/>
      <c r="AA2843" s="103"/>
      <c r="AB2843" s="1"/>
    </row>
    <row r="2844" spans="15:28">
      <c r="O2844" s="1"/>
      <c r="P2844" s="1"/>
      <c r="Q2844" s="1"/>
      <c r="R2844" s="1"/>
      <c r="Z2844" s="103"/>
      <c r="AA2844" s="103"/>
      <c r="AB2844" s="1"/>
    </row>
    <row r="2845" spans="15:28">
      <c r="O2845" s="1"/>
      <c r="P2845" s="1"/>
      <c r="Q2845" s="1"/>
      <c r="R2845" s="1"/>
      <c r="Z2845" s="103"/>
      <c r="AA2845" s="103"/>
      <c r="AB2845" s="1"/>
    </row>
    <row r="2846" spans="15:28">
      <c r="O2846" s="1"/>
      <c r="P2846" s="1"/>
      <c r="Q2846" s="1"/>
      <c r="R2846" s="1"/>
      <c r="Z2846" s="103"/>
      <c r="AA2846" s="103"/>
      <c r="AB2846" s="1"/>
    </row>
    <row r="2847" spans="15:28">
      <c r="O2847" s="1"/>
      <c r="P2847" s="1"/>
      <c r="Q2847" s="1"/>
      <c r="R2847" s="1"/>
      <c r="Z2847" s="103"/>
      <c r="AA2847" s="103"/>
      <c r="AB2847" s="1"/>
    </row>
    <row r="2848" spans="15:28">
      <c r="O2848" s="1"/>
      <c r="P2848" s="1"/>
      <c r="Q2848" s="1"/>
      <c r="R2848" s="1"/>
      <c r="Z2848" s="103"/>
      <c r="AA2848" s="103"/>
      <c r="AB2848" s="1"/>
    </row>
    <row r="2849" spans="15:30">
      <c r="O2849" s="1"/>
      <c r="P2849" s="1"/>
      <c r="Q2849" s="1"/>
      <c r="R2849" s="1"/>
      <c r="Z2849" s="103"/>
      <c r="AA2849" s="103"/>
      <c r="AB2849" s="1"/>
    </row>
    <row r="2850" spans="15:30">
      <c r="O2850" s="1"/>
      <c r="P2850" s="1"/>
      <c r="Q2850" s="1"/>
      <c r="R2850" s="1"/>
      <c r="Z2850" s="103"/>
      <c r="AA2850" s="103"/>
      <c r="AB2850" s="1"/>
    </row>
    <row r="2851" spans="15:30">
      <c r="O2851" s="1"/>
      <c r="P2851" s="1"/>
      <c r="Q2851" s="1"/>
      <c r="R2851" s="1"/>
      <c r="Z2851" s="103"/>
      <c r="AA2851" s="103"/>
      <c r="AB2851" s="1"/>
    </row>
    <row r="2852" spans="15:30">
      <c r="O2852" s="1"/>
      <c r="P2852" s="1"/>
      <c r="Q2852" s="1"/>
      <c r="R2852" s="1"/>
      <c r="Z2852" s="103"/>
      <c r="AA2852" s="103"/>
      <c r="AB2852" s="1"/>
    </row>
    <row r="2853" spans="15:30">
      <c r="O2853" s="1"/>
      <c r="P2853" s="1"/>
      <c r="Q2853" s="1"/>
      <c r="R2853" s="1"/>
      <c r="Z2853" s="103"/>
      <c r="AA2853" s="103"/>
      <c r="AB2853" s="1"/>
    </row>
    <row r="2854" spans="15:30">
      <c r="O2854" s="1"/>
      <c r="P2854" s="1"/>
      <c r="Q2854" s="1"/>
      <c r="R2854" s="1"/>
      <c r="Z2854" s="103"/>
      <c r="AA2854" s="103"/>
      <c r="AB2854" s="1"/>
    </row>
    <row r="2855" spans="15:30">
      <c r="O2855" s="1"/>
      <c r="P2855" s="1"/>
      <c r="Q2855" s="1"/>
      <c r="R2855" s="1"/>
      <c r="Z2855" s="103"/>
      <c r="AA2855" s="103"/>
      <c r="AB2855" s="1"/>
    </row>
    <row r="2856" spans="15:30">
      <c r="O2856" s="1"/>
      <c r="P2856" s="1"/>
      <c r="Q2856" s="1"/>
      <c r="R2856" s="1"/>
      <c r="Z2856" s="103"/>
      <c r="AA2856" s="103"/>
      <c r="AB2856" s="1"/>
    </row>
    <row r="2857" spans="15:30">
      <c r="O2857" s="1"/>
      <c r="P2857" s="1"/>
      <c r="Q2857" s="1"/>
      <c r="R2857" s="1"/>
      <c r="Z2857" s="103"/>
      <c r="AA2857" s="103"/>
      <c r="AB2857" s="1"/>
      <c r="AD2857" s="102"/>
    </row>
    <row r="2858" spans="15:30">
      <c r="O2858" s="1"/>
      <c r="P2858" s="1"/>
      <c r="Q2858" s="1"/>
      <c r="R2858" s="1"/>
      <c r="Z2858" s="103"/>
      <c r="AA2858" s="103"/>
      <c r="AB2858" s="1"/>
    </row>
    <row r="2859" spans="15:30">
      <c r="O2859" s="1"/>
      <c r="P2859" s="1"/>
      <c r="Q2859" s="1"/>
      <c r="R2859" s="1"/>
      <c r="Z2859" s="103"/>
      <c r="AA2859" s="103"/>
      <c r="AB2859" s="1"/>
    </row>
    <row r="2860" spans="15:30">
      <c r="O2860" s="1"/>
      <c r="P2860" s="1"/>
      <c r="Q2860" s="1"/>
      <c r="R2860" s="1"/>
      <c r="Z2860" s="103"/>
      <c r="AA2860" s="103"/>
      <c r="AB2860" s="1"/>
    </row>
    <row r="2861" spans="15:30">
      <c r="O2861" s="1"/>
      <c r="P2861" s="1"/>
      <c r="Q2861" s="1"/>
      <c r="R2861" s="1"/>
      <c r="Z2861" s="103"/>
      <c r="AA2861" s="103"/>
      <c r="AB2861" s="1"/>
    </row>
    <row r="2862" spans="15:30">
      <c r="O2862" s="1"/>
      <c r="P2862" s="1"/>
      <c r="Q2862" s="1"/>
      <c r="R2862" s="1"/>
      <c r="Z2862" s="103"/>
      <c r="AA2862" s="103"/>
      <c r="AB2862" s="1"/>
    </row>
    <row r="2863" spans="15:30">
      <c r="O2863" s="1"/>
      <c r="P2863" s="1"/>
      <c r="Q2863" s="1"/>
      <c r="R2863" s="1"/>
      <c r="Z2863" s="103"/>
      <c r="AA2863" s="103"/>
      <c r="AB2863" s="1"/>
    </row>
    <row r="2864" spans="15:30">
      <c r="O2864" s="1"/>
      <c r="P2864" s="1"/>
      <c r="Q2864" s="1"/>
      <c r="R2864" s="1"/>
      <c r="Z2864" s="103"/>
      <c r="AA2864" s="103"/>
      <c r="AB2864" s="1"/>
    </row>
    <row r="2865" spans="15:30">
      <c r="O2865" s="1"/>
      <c r="P2865" s="1"/>
      <c r="Q2865" s="1"/>
      <c r="R2865" s="1"/>
      <c r="Z2865" s="103"/>
      <c r="AA2865" s="103"/>
      <c r="AB2865" s="1"/>
    </row>
    <row r="2866" spans="15:30">
      <c r="O2866" s="1"/>
      <c r="P2866" s="1"/>
      <c r="Q2866" s="1"/>
      <c r="R2866" s="1"/>
      <c r="Z2866" s="103"/>
      <c r="AA2866" s="103"/>
      <c r="AB2866" s="1"/>
    </row>
    <row r="2867" spans="15:30">
      <c r="O2867" s="1"/>
      <c r="P2867" s="1"/>
      <c r="Q2867" s="1"/>
      <c r="R2867" s="1"/>
      <c r="Z2867" s="103"/>
      <c r="AA2867" s="103"/>
      <c r="AB2867" s="1"/>
    </row>
    <row r="2868" spans="15:30">
      <c r="O2868" s="1"/>
      <c r="P2868" s="1"/>
      <c r="Q2868" s="1"/>
      <c r="R2868" s="1"/>
      <c r="Z2868" s="103"/>
      <c r="AA2868" s="103"/>
      <c r="AB2868" s="1"/>
    </row>
    <row r="2869" spans="15:30">
      <c r="O2869" s="1"/>
      <c r="P2869" s="1"/>
      <c r="Q2869" s="1"/>
      <c r="R2869" s="1"/>
      <c r="Z2869" s="103"/>
      <c r="AA2869" s="103"/>
      <c r="AB2869" s="1"/>
    </row>
    <row r="2870" spans="15:30">
      <c r="O2870" s="1"/>
      <c r="P2870" s="1"/>
      <c r="Q2870" s="1"/>
      <c r="R2870" s="1"/>
      <c r="Z2870" s="103"/>
      <c r="AA2870" s="103"/>
      <c r="AB2870" s="1"/>
    </row>
    <row r="2871" spans="15:30">
      <c r="O2871" s="1"/>
      <c r="P2871" s="1"/>
      <c r="Q2871" s="1"/>
      <c r="R2871" s="1"/>
      <c r="Z2871" s="103"/>
      <c r="AA2871" s="103"/>
      <c r="AB2871" s="1"/>
    </row>
    <row r="2872" spans="15:30">
      <c r="O2872" s="1"/>
      <c r="P2872" s="1"/>
      <c r="Q2872" s="1"/>
      <c r="R2872" s="1"/>
      <c r="Z2872" s="103"/>
      <c r="AA2872" s="103"/>
      <c r="AB2872" s="1"/>
    </row>
    <row r="2873" spans="15:30">
      <c r="O2873" s="1"/>
      <c r="P2873" s="1"/>
      <c r="Q2873" s="1"/>
      <c r="R2873" s="1"/>
      <c r="Z2873" s="103"/>
      <c r="AA2873" s="103"/>
      <c r="AB2873" s="1"/>
    </row>
    <row r="2874" spans="15:30">
      <c r="O2874" s="1"/>
      <c r="P2874" s="1"/>
      <c r="Q2874" s="1"/>
      <c r="R2874" s="1"/>
      <c r="Z2874" s="103"/>
      <c r="AA2874" s="103"/>
      <c r="AB2874" s="1"/>
      <c r="AD2874" s="102"/>
    </row>
    <row r="2875" spans="15:30">
      <c r="O2875" s="1"/>
      <c r="P2875" s="1"/>
      <c r="Q2875" s="1"/>
      <c r="R2875" s="1"/>
      <c r="Z2875" s="103"/>
      <c r="AA2875" s="103"/>
      <c r="AB2875" s="1"/>
    </row>
    <row r="2876" spans="15:30">
      <c r="O2876" s="1"/>
      <c r="P2876" s="1"/>
      <c r="Q2876" s="1"/>
      <c r="R2876" s="1"/>
      <c r="Z2876" s="103"/>
      <c r="AA2876" s="103"/>
      <c r="AB2876" s="1"/>
    </row>
    <row r="2877" spans="15:30">
      <c r="O2877" s="1"/>
      <c r="P2877" s="1"/>
      <c r="Q2877" s="1"/>
      <c r="R2877" s="1"/>
      <c r="Z2877" s="103"/>
      <c r="AA2877" s="103"/>
      <c r="AB2877" s="1"/>
    </row>
    <row r="2878" spans="15:30">
      <c r="O2878" s="1"/>
      <c r="P2878" s="1"/>
      <c r="Q2878" s="1"/>
      <c r="R2878" s="1"/>
      <c r="Z2878" s="103"/>
      <c r="AA2878" s="103"/>
      <c r="AB2878" s="1"/>
    </row>
    <row r="2879" spans="15:30">
      <c r="O2879" s="1"/>
      <c r="P2879" s="1"/>
      <c r="Q2879" s="1"/>
      <c r="R2879" s="1"/>
      <c r="Z2879" s="103"/>
      <c r="AA2879" s="103"/>
      <c r="AB2879" s="1"/>
    </row>
    <row r="2880" spans="15:30">
      <c r="O2880" s="1"/>
      <c r="P2880" s="1"/>
      <c r="Q2880" s="1"/>
      <c r="R2880" s="1"/>
      <c r="Z2880" s="103"/>
      <c r="AA2880" s="103"/>
      <c r="AB2880" s="1"/>
    </row>
    <row r="2881" spans="15:28">
      <c r="O2881" s="1"/>
      <c r="P2881" s="1"/>
      <c r="Q2881" s="1"/>
      <c r="R2881" s="1"/>
      <c r="Z2881" s="103"/>
      <c r="AA2881" s="103"/>
      <c r="AB2881" s="1"/>
    </row>
    <row r="2882" spans="15:28">
      <c r="O2882" s="1"/>
      <c r="P2882" s="1"/>
      <c r="Q2882" s="1"/>
      <c r="R2882" s="1"/>
      <c r="Z2882" s="103"/>
      <c r="AA2882" s="103"/>
      <c r="AB2882" s="1"/>
    </row>
    <row r="2883" spans="15:28">
      <c r="O2883" s="1"/>
      <c r="P2883" s="1"/>
      <c r="Q2883" s="1"/>
      <c r="R2883" s="1"/>
      <c r="Z2883" s="103"/>
      <c r="AA2883" s="103"/>
      <c r="AB2883" s="1"/>
    </row>
    <row r="2884" spans="15:28">
      <c r="O2884" s="1"/>
      <c r="P2884" s="1"/>
      <c r="Q2884" s="1"/>
      <c r="R2884" s="1"/>
      <c r="Z2884" s="103"/>
      <c r="AA2884" s="103"/>
      <c r="AB2884" s="1"/>
    </row>
    <row r="2885" spans="15:28">
      <c r="O2885" s="1"/>
      <c r="P2885" s="1"/>
      <c r="Q2885" s="1"/>
      <c r="R2885" s="1"/>
      <c r="Z2885" s="103"/>
      <c r="AA2885" s="103"/>
      <c r="AB2885" s="1"/>
    </row>
    <row r="2886" spans="15:28">
      <c r="O2886" s="1"/>
      <c r="P2886" s="1"/>
      <c r="Q2886" s="1"/>
      <c r="R2886" s="1"/>
      <c r="Z2886" s="103"/>
      <c r="AA2886" s="103"/>
      <c r="AB2886" s="1"/>
    </row>
    <row r="2887" spans="15:28">
      <c r="O2887" s="1"/>
      <c r="P2887" s="1"/>
      <c r="Q2887" s="1"/>
      <c r="R2887" s="1"/>
      <c r="Z2887" s="103"/>
      <c r="AA2887" s="103"/>
      <c r="AB2887" s="1"/>
    </row>
    <row r="2888" spans="15:28">
      <c r="O2888" s="1"/>
      <c r="P2888" s="1"/>
      <c r="Q2888" s="1"/>
      <c r="R2888" s="1"/>
      <c r="Z2888" s="103"/>
      <c r="AA2888" s="103"/>
      <c r="AB2888" s="1"/>
    </row>
    <row r="2889" spans="15:28">
      <c r="O2889" s="1"/>
      <c r="P2889" s="1"/>
      <c r="Q2889" s="1"/>
      <c r="R2889" s="1"/>
      <c r="Z2889" s="103"/>
      <c r="AA2889" s="103"/>
      <c r="AB2889" s="1"/>
    </row>
    <row r="2890" spans="15:28">
      <c r="O2890" s="1"/>
      <c r="P2890" s="1"/>
      <c r="Q2890" s="1"/>
      <c r="R2890" s="1"/>
      <c r="Z2890" s="103"/>
      <c r="AA2890" s="103"/>
      <c r="AB2890" s="1"/>
    </row>
    <row r="2891" spans="15:28">
      <c r="O2891" s="1"/>
      <c r="P2891" s="1"/>
      <c r="Q2891" s="1"/>
      <c r="R2891" s="1"/>
      <c r="Z2891" s="103"/>
      <c r="AA2891" s="103"/>
      <c r="AB2891" s="1"/>
    </row>
    <row r="2892" spans="15:28">
      <c r="O2892" s="1"/>
      <c r="P2892" s="1"/>
      <c r="Q2892" s="1"/>
      <c r="R2892" s="1"/>
      <c r="Z2892" s="103"/>
      <c r="AA2892" s="103"/>
      <c r="AB2892" s="1"/>
    </row>
    <row r="2893" spans="15:28">
      <c r="O2893" s="1"/>
      <c r="P2893" s="1"/>
      <c r="Q2893" s="1"/>
      <c r="R2893" s="1"/>
      <c r="Z2893" s="103"/>
      <c r="AA2893" s="103"/>
      <c r="AB2893" s="1"/>
    </row>
    <row r="2894" spans="15:28">
      <c r="O2894" s="1"/>
      <c r="P2894" s="1"/>
      <c r="Q2894" s="1"/>
      <c r="R2894" s="1"/>
      <c r="Z2894" s="103"/>
      <c r="AA2894" s="103"/>
      <c r="AB2894" s="1"/>
    </row>
    <row r="2895" spans="15:28">
      <c r="O2895" s="1"/>
      <c r="P2895" s="1"/>
      <c r="Q2895" s="1"/>
      <c r="R2895" s="1"/>
      <c r="Z2895" s="103"/>
      <c r="AA2895" s="103"/>
      <c r="AB2895" s="1"/>
    </row>
    <row r="2896" spans="15:28">
      <c r="O2896" s="1"/>
      <c r="P2896" s="1"/>
      <c r="Q2896" s="1"/>
      <c r="R2896" s="1"/>
      <c r="Z2896" s="103"/>
      <c r="AA2896" s="103"/>
      <c r="AB2896" s="1"/>
    </row>
    <row r="2897" spans="15:30">
      <c r="O2897" s="1"/>
      <c r="P2897" s="1"/>
      <c r="Q2897" s="1"/>
      <c r="R2897" s="1"/>
      <c r="Z2897" s="103"/>
      <c r="AA2897" s="103"/>
      <c r="AB2897" s="1"/>
    </row>
    <row r="2898" spans="15:30">
      <c r="O2898" s="1"/>
      <c r="P2898" s="1"/>
      <c r="Q2898" s="1"/>
      <c r="R2898" s="1"/>
      <c r="Z2898" s="103"/>
      <c r="AA2898" s="103"/>
      <c r="AB2898" s="1"/>
    </row>
    <row r="2899" spans="15:30">
      <c r="O2899" s="1"/>
      <c r="P2899" s="1"/>
      <c r="Q2899" s="1"/>
      <c r="R2899" s="1"/>
      <c r="Z2899" s="103"/>
      <c r="AA2899" s="103"/>
      <c r="AB2899" s="1"/>
    </row>
    <row r="2900" spans="15:30">
      <c r="O2900" s="1"/>
      <c r="P2900" s="1"/>
      <c r="Q2900" s="1"/>
      <c r="R2900" s="1"/>
      <c r="Z2900" s="103"/>
      <c r="AA2900" s="103"/>
      <c r="AB2900" s="1"/>
    </row>
    <row r="2901" spans="15:30">
      <c r="O2901" s="1"/>
      <c r="P2901" s="1"/>
      <c r="Q2901" s="1"/>
      <c r="R2901" s="1"/>
      <c r="Z2901" s="103"/>
      <c r="AA2901" s="103"/>
      <c r="AB2901" s="1"/>
    </row>
    <row r="2902" spans="15:30">
      <c r="O2902" s="1"/>
      <c r="P2902" s="1"/>
      <c r="Q2902" s="1"/>
      <c r="R2902" s="1"/>
      <c r="Z2902" s="103"/>
      <c r="AA2902" s="103"/>
      <c r="AB2902" s="1"/>
    </row>
    <row r="2903" spans="15:30">
      <c r="O2903" s="1"/>
      <c r="P2903" s="1"/>
      <c r="Q2903" s="1"/>
      <c r="R2903" s="1"/>
      <c r="Z2903" s="103"/>
      <c r="AA2903" s="103"/>
      <c r="AB2903" s="1"/>
    </row>
    <row r="2904" spans="15:30">
      <c r="O2904" s="1"/>
      <c r="P2904" s="1"/>
      <c r="Q2904" s="1"/>
      <c r="R2904" s="1"/>
      <c r="Z2904" s="103"/>
      <c r="AA2904" s="103"/>
      <c r="AB2904" s="1"/>
    </row>
    <row r="2905" spans="15:30">
      <c r="O2905" s="1"/>
      <c r="P2905" s="1"/>
      <c r="Q2905" s="1"/>
      <c r="R2905" s="1"/>
      <c r="Z2905" s="103"/>
      <c r="AA2905" s="103"/>
      <c r="AB2905" s="1"/>
    </row>
    <row r="2906" spans="15:30">
      <c r="O2906" s="1"/>
      <c r="P2906" s="1"/>
      <c r="Q2906" s="1"/>
      <c r="R2906" s="1"/>
      <c r="Z2906" s="103"/>
      <c r="AA2906" s="103"/>
      <c r="AB2906" s="1"/>
      <c r="AD2906" s="102"/>
    </row>
    <row r="2907" spans="15:30">
      <c r="O2907" s="1"/>
      <c r="P2907" s="1"/>
      <c r="Q2907" s="1"/>
      <c r="R2907" s="1"/>
      <c r="Z2907" s="103"/>
      <c r="AA2907" s="103"/>
      <c r="AB2907" s="1"/>
    </row>
    <row r="2908" spans="15:30">
      <c r="O2908" s="1"/>
      <c r="P2908" s="1"/>
      <c r="Q2908" s="1"/>
      <c r="R2908" s="1"/>
      <c r="Z2908" s="103"/>
      <c r="AA2908" s="103"/>
      <c r="AB2908" s="1"/>
    </row>
    <row r="2909" spans="15:30">
      <c r="O2909" s="1"/>
      <c r="P2909" s="1"/>
      <c r="Q2909" s="1"/>
      <c r="R2909" s="1"/>
      <c r="Z2909" s="103"/>
      <c r="AA2909" s="103"/>
      <c r="AB2909" s="1"/>
    </row>
    <row r="2910" spans="15:30">
      <c r="O2910" s="1"/>
      <c r="P2910" s="1"/>
      <c r="Q2910" s="1"/>
      <c r="R2910" s="1"/>
      <c r="Z2910" s="103"/>
      <c r="AA2910" s="103"/>
      <c r="AB2910" s="1"/>
    </row>
    <row r="2911" spans="15:30">
      <c r="O2911" s="1"/>
      <c r="P2911" s="1"/>
      <c r="Q2911" s="1"/>
      <c r="R2911" s="1"/>
      <c r="Z2911" s="103"/>
      <c r="AA2911" s="103"/>
      <c r="AB2911" s="1"/>
    </row>
    <row r="2912" spans="15:30">
      <c r="O2912" s="1"/>
      <c r="P2912" s="1"/>
      <c r="Q2912" s="1"/>
      <c r="R2912" s="1"/>
      <c r="Z2912" s="103"/>
      <c r="AA2912" s="103"/>
      <c r="AB2912" s="1"/>
    </row>
    <row r="2913" spans="15:28">
      <c r="O2913" s="1"/>
      <c r="P2913" s="1"/>
      <c r="Q2913" s="1"/>
      <c r="R2913" s="1"/>
      <c r="Z2913" s="103"/>
      <c r="AA2913" s="103"/>
      <c r="AB2913" s="1"/>
    </row>
    <row r="2914" spans="15:28">
      <c r="O2914" s="1"/>
      <c r="P2914" s="1"/>
      <c r="Q2914" s="1"/>
      <c r="R2914" s="1"/>
      <c r="Z2914" s="103"/>
      <c r="AA2914" s="103"/>
      <c r="AB2914" s="1"/>
    </row>
    <row r="2915" spans="15:28">
      <c r="O2915" s="1"/>
      <c r="P2915" s="1"/>
      <c r="Q2915" s="1"/>
      <c r="R2915" s="1"/>
      <c r="Z2915" s="103"/>
      <c r="AA2915" s="103"/>
      <c r="AB2915" s="1"/>
    </row>
    <row r="2916" spans="15:28">
      <c r="O2916" s="1"/>
      <c r="P2916" s="1"/>
      <c r="Q2916" s="1"/>
      <c r="R2916" s="1"/>
      <c r="Z2916" s="103"/>
      <c r="AA2916" s="103"/>
      <c r="AB2916" s="1"/>
    </row>
    <row r="2917" spans="15:28">
      <c r="O2917" s="1"/>
      <c r="P2917" s="1"/>
      <c r="Q2917" s="1"/>
      <c r="R2917" s="1"/>
      <c r="Z2917" s="103"/>
      <c r="AA2917" s="103"/>
      <c r="AB2917" s="1"/>
    </row>
    <row r="2918" spans="15:28">
      <c r="O2918" s="1"/>
      <c r="P2918" s="1"/>
      <c r="Q2918" s="1"/>
      <c r="R2918" s="1"/>
      <c r="Z2918" s="103"/>
      <c r="AA2918" s="103"/>
      <c r="AB2918" s="1"/>
    </row>
    <row r="2919" spans="15:28">
      <c r="O2919" s="1"/>
      <c r="P2919" s="1"/>
      <c r="Q2919" s="1"/>
      <c r="R2919" s="1"/>
      <c r="Z2919" s="103"/>
      <c r="AA2919" s="103"/>
      <c r="AB2919" s="1"/>
    </row>
    <row r="2920" spans="15:28">
      <c r="O2920" s="1"/>
      <c r="P2920" s="1"/>
      <c r="Q2920" s="1"/>
      <c r="R2920" s="1"/>
      <c r="Z2920" s="103"/>
      <c r="AA2920" s="103"/>
      <c r="AB2920" s="1"/>
    </row>
    <row r="2921" spans="15:28">
      <c r="O2921" s="1"/>
      <c r="P2921" s="1"/>
      <c r="Q2921" s="1"/>
      <c r="R2921" s="1"/>
      <c r="Z2921" s="103"/>
      <c r="AA2921" s="103"/>
      <c r="AB2921" s="1"/>
    </row>
    <row r="2922" spans="15:28">
      <c r="O2922" s="1"/>
      <c r="P2922" s="1"/>
      <c r="Q2922" s="1"/>
      <c r="R2922" s="1"/>
      <c r="Z2922" s="103"/>
      <c r="AA2922" s="103"/>
      <c r="AB2922" s="1"/>
    </row>
    <row r="2923" spans="15:28">
      <c r="O2923" s="1"/>
      <c r="P2923" s="1"/>
      <c r="Q2923" s="1"/>
      <c r="R2923" s="1"/>
      <c r="Z2923" s="103"/>
      <c r="AA2923" s="103"/>
      <c r="AB2923" s="1"/>
    </row>
    <row r="2924" spans="15:28">
      <c r="O2924" s="1"/>
      <c r="P2924" s="1"/>
      <c r="Q2924" s="1"/>
      <c r="R2924" s="1"/>
      <c r="Z2924" s="103"/>
      <c r="AA2924" s="103"/>
      <c r="AB2924" s="1"/>
    </row>
    <row r="2925" spans="15:28">
      <c r="O2925" s="1"/>
      <c r="P2925" s="1"/>
      <c r="Q2925" s="1"/>
      <c r="R2925" s="1"/>
      <c r="Z2925" s="103"/>
      <c r="AA2925" s="103"/>
      <c r="AB2925" s="1"/>
    </row>
    <row r="2926" spans="15:28">
      <c r="O2926" s="1"/>
      <c r="P2926" s="1"/>
      <c r="Q2926" s="1"/>
      <c r="R2926" s="1"/>
      <c r="Z2926" s="103"/>
      <c r="AA2926" s="103"/>
      <c r="AB2926" s="1"/>
    </row>
    <row r="2927" spans="15:28">
      <c r="O2927" s="1"/>
      <c r="P2927" s="1"/>
      <c r="Q2927" s="1"/>
      <c r="R2927" s="1"/>
      <c r="Z2927" s="103"/>
      <c r="AA2927" s="103"/>
      <c r="AB2927" s="1"/>
    </row>
    <row r="2928" spans="15:28">
      <c r="O2928" s="1"/>
      <c r="P2928" s="1"/>
      <c r="Q2928" s="1"/>
      <c r="R2928" s="1"/>
      <c r="Z2928" s="103"/>
      <c r="AA2928" s="103"/>
      <c r="AB2928" s="1"/>
    </row>
    <row r="2929" spans="15:28">
      <c r="O2929" s="1"/>
      <c r="P2929" s="1"/>
      <c r="Q2929" s="1"/>
      <c r="R2929" s="1"/>
      <c r="Z2929" s="103"/>
      <c r="AA2929" s="103"/>
      <c r="AB2929" s="1"/>
    </row>
    <row r="2930" spans="15:28">
      <c r="O2930" s="1"/>
      <c r="P2930" s="1"/>
      <c r="Q2930" s="1"/>
      <c r="R2930" s="1"/>
      <c r="Z2930" s="103"/>
      <c r="AA2930" s="103"/>
      <c r="AB2930" s="1"/>
    </row>
    <row r="2931" spans="15:28">
      <c r="O2931" s="1"/>
      <c r="P2931" s="1"/>
      <c r="Q2931" s="1"/>
      <c r="R2931" s="1"/>
      <c r="Z2931" s="103"/>
      <c r="AA2931" s="103"/>
      <c r="AB2931" s="1"/>
    </row>
    <row r="2932" spans="15:28">
      <c r="O2932" s="1"/>
      <c r="P2932" s="1"/>
      <c r="Q2932" s="1"/>
      <c r="R2932" s="1"/>
      <c r="Z2932" s="103"/>
      <c r="AA2932" s="103"/>
      <c r="AB2932" s="1"/>
    </row>
    <row r="2933" spans="15:28">
      <c r="O2933" s="1"/>
      <c r="P2933" s="1"/>
      <c r="Q2933" s="1"/>
      <c r="R2933" s="1"/>
      <c r="Z2933" s="103"/>
      <c r="AA2933" s="103"/>
      <c r="AB2933" s="1"/>
    </row>
    <row r="2934" spans="15:28">
      <c r="O2934" s="1"/>
      <c r="P2934" s="1"/>
      <c r="Q2934" s="1"/>
      <c r="R2934" s="1"/>
      <c r="Z2934" s="103"/>
      <c r="AA2934" s="103"/>
      <c r="AB2934" s="1"/>
    </row>
    <row r="2935" spans="15:28">
      <c r="O2935" s="1"/>
      <c r="P2935" s="1"/>
      <c r="Q2935" s="1"/>
      <c r="R2935" s="1"/>
      <c r="Z2935" s="103"/>
      <c r="AA2935" s="103"/>
      <c r="AB2935" s="1"/>
    </row>
    <row r="2936" spans="15:28">
      <c r="O2936" s="1"/>
      <c r="P2936" s="1"/>
      <c r="Q2936" s="1"/>
      <c r="R2936" s="1"/>
      <c r="Z2936" s="103"/>
      <c r="AA2936" s="103"/>
      <c r="AB2936" s="1"/>
    </row>
    <row r="2937" spans="15:28">
      <c r="O2937" s="1"/>
      <c r="P2937" s="1"/>
      <c r="Q2937" s="1"/>
      <c r="R2937" s="1"/>
      <c r="Z2937" s="103"/>
      <c r="AA2937" s="103"/>
      <c r="AB2937" s="1"/>
    </row>
    <row r="2938" spans="15:28">
      <c r="O2938" s="1"/>
      <c r="P2938" s="1"/>
      <c r="Q2938" s="1"/>
      <c r="R2938" s="1"/>
      <c r="Z2938" s="103"/>
      <c r="AA2938" s="103"/>
      <c r="AB2938" s="1"/>
    </row>
    <row r="2939" spans="15:28">
      <c r="O2939" s="1"/>
      <c r="P2939" s="1"/>
      <c r="Q2939" s="1"/>
      <c r="R2939" s="1"/>
      <c r="Z2939" s="103"/>
      <c r="AA2939" s="103"/>
      <c r="AB2939" s="1"/>
    </row>
    <row r="2940" spans="15:28">
      <c r="O2940" s="1"/>
      <c r="P2940" s="1"/>
      <c r="Q2940" s="1"/>
      <c r="R2940" s="1"/>
      <c r="Z2940" s="103"/>
      <c r="AA2940" s="103"/>
      <c r="AB2940" s="1"/>
    </row>
    <row r="2941" spans="15:28">
      <c r="O2941" s="1"/>
      <c r="P2941" s="1"/>
      <c r="Q2941" s="1"/>
      <c r="R2941" s="1"/>
      <c r="Z2941" s="103"/>
      <c r="AA2941" s="103"/>
      <c r="AB2941" s="1"/>
    </row>
    <row r="2942" spans="15:28">
      <c r="O2942" s="1"/>
      <c r="P2942" s="1"/>
      <c r="Q2942" s="1"/>
      <c r="R2942" s="1"/>
      <c r="Z2942" s="103"/>
      <c r="AA2942" s="103"/>
      <c r="AB2942" s="1"/>
    </row>
    <row r="2943" spans="15:28">
      <c r="O2943" s="1"/>
      <c r="P2943" s="1"/>
      <c r="Q2943" s="1"/>
      <c r="R2943" s="1"/>
      <c r="Z2943" s="103"/>
      <c r="AA2943" s="103"/>
      <c r="AB2943" s="1"/>
    </row>
    <row r="2944" spans="15:28">
      <c r="O2944" s="1"/>
      <c r="P2944" s="1"/>
      <c r="Q2944" s="1"/>
      <c r="R2944" s="1"/>
      <c r="Z2944" s="103"/>
      <c r="AA2944" s="103"/>
      <c r="AB2944" s="1"/>
    </row>
    <row r="2945" spans="15:28">
      <c r="O2945" s="1"/>
      <c r="P2945" s="1"/>
      <c r="Q2945" s="1"/>
      <c r="R2945" s="1"/>
      <c r="Z2945" s="103"/>
      <c r="AA2945" s="103"/>
      <c r="AB2945" s="1"/>
    </row>
    <row r="2946" spans="15:28">
      <c r="O2946" s="1"/>
      <c r="P2946" s="1"/>
      <c r="Q2946" s="1"/>
      <c r="R2946" s="1"/>
      <c r="Z2946" s="103"/>
      <c r="AA2946" s="103"/>
      <c r="AB2946" s="1"/>
    </row>
    <row r="2947" spans="15:28">
      <c r="O2947" s="1"/>
      <c r="P2947" s="1"/>
      <c r="Q2947" s="1"/>
      <c r="R2947" s="1"/>
      <c r="Z2947" s="103"/>
      <c r="AA2947" s="103"/>
      <c r="AB2947" s="1"/>
    </row>
    <row r="2948" spans="15:28">
      <c r="O2948" s="1"/>
      <c r="P2948" s="1"/>
      <c r="Q2948" s="1"/>
      <c r="R2948" s="1"/>
      <c r="Z2948" s="103"/>
      <c r="AA2948" s="103"/>
      <c r="AB2948" s="1"/>
    </row>
    <row r="2949" spans="15:28">
      <c r="O2949" s="1"/>
      <c r="P2949" s="1"/>
      <c r="Q2949" s="1"/>
      <c r="R2949" s="1"/>
      <c r="Z2949" s="103"/>
      <c r="AA2949" s="103"/>
      <c r="AB2949" s="1"/>
    </row>
    <row r="2950" spans="15:28">
      <c r="O2950" s="1"/>
      <c r="P2950" s="1"/>
      <c r="Q2950" s="1"/>
      <c r="R2950" s="1"/>
      <c r="Z2950" s="103"/>
      <c r="AA2950" s="103"/>
      <c r="AB2950" s="1"/>
    </row>
    <row r="2951" spans="15:28">
      <c r="O2951" s="1"/>
      <c r="P2951" s="1"/>
      <c r="Q2951" s="1"/>
      <c r="R2951" s="1"/>
      <c r="Z2951" s="103"/>
      <c r="AA2951" s="103"/>
      <c r="AB2951" s="1"/>
    </row>
    <row r="2952" spans="15:28">
      <c r="O2952" s="1"/>
      <c r="P2952" s="1"/>
      <c r="Q2952" s="1"/>
      <c r="R2952" s="1"/>
      <c r="Z2952" s="103"/>
      <c r="AA2952" s="103"/>
      <c r="AB2952" s="1"/>
    </row>
    <row r="2953" spans="15:28">
      <c r="O2953" s="1"/>
      <c r="P2953" s="1"/>
      <c r="Q2953" s="1"/>
      <c r="R2953" s="1"/>
      <c r="Z2953" s="103"/>
      <c r="AA2953" s="103"/>
      <c r="AB2953" s="1"/>
    </row>
    <row r="2954" spans="15:28">
      <c r="O2954" s="1"/>
      <c r="P2954" s="1"/>
      <c r="Q2954" s="1"/>
      <c r="R2954" s="1"/>
      <c r="Z2954" s="103"/>
      <c r="AA2954" s="103"/>
      <c r="AB2954" s="1"/>
    </row>
    <row r="2955" spans="15:28">
      <c r="O2955" s="1"/>
      <c r="P2955" s="1"/>
      <c r="Q2955" s="1"/>
      <c r="R2955" s="1"/>
      <c r="Z2955" s="103"/>
      <c r="AA2955" s="103"/>
      <c r="AB2955" s="1"/>
    </row>
    <row r="2956" spans="15:28">
      <c r="O2956" s="1"/>
      <c r="P2956" s="1"/>
      <c r="Q2956" s="1"/>
      <c r="R2956" s="1"/>
      <c r="Z2956" s="103"/>
      <c r="AA2956" s="103"/>
      <c r="AB2956" s="1"/>
    </row>
    <row r="2957" spans="15:28">
      <c r="O2957" s="1"/>
      <c r="P2957" s="1"/>
      <c r="Q2957" s="1"/>
      <c r="R2957" s="1"/>
      <c r="Z2957" s="103"/>
      <c r="AA2957" s="103"/>
      <c r="AB2957" s="1"/>
    </row>
    <row r="2958" spans="15:28">
      <c r="O2958" s="1"/>
      <c r="P2958" s="1"/>
      <c r="Q2958" s="1"/>
      <c r="R2958" s="1"/>
      <c r="Z2958" s="103"/>
      <c r="AA2958" s="103"/>
      <c r="AB2958" s="1"/>
    </row>
    <row r="2959" spans="15:28">
      <c r="O2959" s="1"/>
      <c r="P2959" s="1"/>
      <c r="Q2959" s="1"/>
      <c r="R2959" s="1"/>
      <c r="Z2959" s="103"/>
      <c r="AA2959" s="103"/>
      <c r="AB2959" s="1"/>
    </row>
    <row r="2960" spans="15:28">
      <c r="O2960" s="1"/>
      <c r="P2960" s="1"/>
      <c r="Q2960" s="1"/>
      <c r="R2960" s="1"/>
      <c r="Z2960" s="103"/>
      <c r="AA2960" s="103"/>
      <c r="AB2960" s="1"/>
    </row>
    <row r="2961" spans="15:30">
      <c r="O2961" s="1"/>
      <c r="P2961" s="1"/>
      <c r="Q2961" s="1"/>
      <c r="R2961" s="1"/>
      <c r="Z2961" s="103"/>
      <c r="AA2961" s="103"/>
      <c r="AB2961" s="1"/>
    </row>
    <row r="2962" spans="15:30">
      <c r="O2962" s="1"/>
      <c r="P2962" s="1"/>
      <c r="Q2962" s="1"/>
      <c r="R2962" s="1"/>
      <c r="Z2962" s="103"/>
      <c r="AA2962" s="103"/>
      <c r="AB2962" s="1"/>
    </row>
    <row r="2963" spans="15:30">
      <c r="O2963" s="1"/>
      <c r="P2963" s="1"/>
      <c r="Q2963" s="1"/>
      <c r="R2963" s="1"/>
      <c r="Z2963" s="103"/>
      <c r="AA2963" s="103"/>
      <c r="AB2963" s="1"/>
    </row>
    <row r="2964" spans="15:30">
      <c r="O2964" s="1"/>
      <c r="P2964" s="1"/>
      <c r="Q2964" s="1"/>
      <c r="R2964" s="1"/>
      <c r="Z2964" s="103"/>
      <c r="AA2964" s="103"/>
      <c r="AB2964" s="1"/>
    </row>
    <row r="2965" spans="15:30">
      <c r="O2965" s="1"/>
      <c r="P2965" s="1"/>
      <c r="Q2965" s="1"/>
      <c r="R2965" s="1"/>
      <c r="Z2965" s="103"/>
      <c r="AA2965" s="103"/>
      <c r="AB2965" s="1"/>
    </row>
    <row r="2966" spans="15:30">
      <c r="O2966" s="1"/>
      <c r="P2966" s="1"/>
      <c r="Q2966" s="1"/>
      <c r="R2966" s="1"/>
      <c r="Z2966" s="103"/>
      <c r="AA2966" s="103"/>
      <c r="AB2966" s="1"/>
    </row>
    <row r="2967" spans="15:30">
      <c r="O2967" s="1"/>
      <c r="P2967" s="1"/>
      <c r="Q2967" s="1"/>
      <c r="R2967" s="1"/>
      <c r="Z2967" s="103"/>
      <c r="AA2967" s="103"/>
      <c r="AB2967" s="1"/>
    </row>
    <row r="2968" spans="15:30">
      <c r="O2968" s="1"/>
      <c r="P2968" s="1"/>
      <c r="Q2968" s="1"/>
      <c r="R2968" s="1"/>
      <c r="Z2968" s="103"/>
      <c r="AA2968" s="103"/>
      <c r="AB2968" s="1"/>
    </row>
    <row r="2969" spans="15:30">
      <c r="O2969" s="1"/>
      <c r="P2969" s="1"/>
      <c r="Q2969" s="1"/>
      <c r="R2969" s="1"/>
      <c r="Z2969" s="103"/>
      <c r="AA2969" s="103"/>
      <c r="AB2969" s="1"/>
    </row>
    <row r="2970" spans="15:30">
      <c r="O2970" s="1"/>
      <c r="P2970" s="1"/>
      <c r="Q2970" s="1"/>
      <c r="R2970" s="1"/>
      <c r="Z2970" s="103"/>
      <c r="AA2970" s="103"/>
      <c r="AB2970" s="1"/>
    </row>
    <row r="2971" spans="15:30">
      <c r="O2971" s="1"/>
      <c r="P2971" s="1"/>
      <c r="Q2971" s="1"/>
      <c r="R2971" s="1"/>
      <c r="Z2971" s="103"/>
      <c r="AA2971" s="103"/>
      <c r="AB2971" s="1"/>
    </row>
    <row r="2972" spans="15:30">
      <c r="O2972" s="1"/>
      <c r="P2972" s="1"/>
      <c r="Q2972" s="1"/>
      <c r="R2972" s="1"/>
      <c r="Z2972" s="103"/>
      <c r="AA2972" s="103"/>
      <c r="AB2972" s="1"/>
    </row>
    <row r="2973" spans="15:30">
      <c r="O2973" s="1"/>
      <c r="P2973" s="1"/>
      <c r="Q2973" s="1"/>
      <c r="R2973" s="1"/>
      <c r="Z2973" s="103"/>
      <c r="AA2973" s="103"/>
      <c r="AB2973" s="1"/>
    </row>
    <row r="2974" spans="15:30">
      <c r="O2974" s="1"/>
      <c r="P2974" s="1"/>
      <c r="Q2974" s="1"/>
      <c r="R2974" s="1"/>
      <c r="Z2974" s="103"/>
      <c r="AA2974" s="103"/>
      <c r="AB2974" s="1"/>
      <c r="AD2974" s="102"/>
    </row>
    <row r="2975" spans="15:30">
      <c r="O2975" s="1"/>
      <c r="P2975" s="1"/>
      <c r="Q2975" s="1"/>
      <c r="R2975" s="1"/>
      <c r="Z2975" s="103"/>
      <c r="AA2975" s="103"/>
      <c r="AB2975" s="1"/>
    </row>
    <row r="2976" spans="15:30">
      <c r="O2976" s="1"/>
      <c r="P2976" s="1"/>
      <c r="Q2976" s="1"/>
      <c r="R2976" s="1"/>
      <c r="Z2976" s="103"/>
      <c r="AA2976" s="103"/>
      <c r="AB2976" s="1"/>
    </row>
    <row r="2977" spans="15:30">
      <c r="O2977" s="1"/>
      <c r="P2977" s="1"/>
      <c r="Q2977" s="1"/>
      <c r="R2977" s="1"/>
      <c r="Z2977" s="103"/>
      <c r="AA2977" s="103"/>
      <c r="AB2977" s="1"/>
      <c r="AD2977" s="102"/>
    </row>
    <row r="2978" spans="15:30">
      <c r="O2978" s="1"/>
      <c r="P2978" s="1"/>
      <c r="Q2978" s="1"/>
      <c r="R2978" s="1"/>
      <c r="Z2978" s="103"/>
      <c r="AA2978" s="103"/>
      <c r="AB2978" s="1"/>
    </row>
    <row r="2979" spans="15:30">
      <c r="O2979" s="1"/>
      <c r="P2979" s="1"/>
      <c r="Q2979" s="1"/>
      <c r="R2979" s="1"/>
      <c r="Z2979" s="103"/>
      <c r="AA2979" s="103"/>
      <c r="AB2979" s="1"/>
    </row>
    <row r="2980" spans="15:30">
      <c r="O2980" s="1"/>
      <c r="P2980" s="1"/>
      <c r="Q2980" s="1"/>
      <c r="R2980" s="1"/>
      <c r="Z2980" s="103"/>
      <c r="AA2980" s="103"/>
      <c r="AB2980" s="1"/>
    </row>
    <row r="2981" spans="15:30">
      <c r="O2981" s="1"/>
      <c r="P2981" s="1"/>
      <c r="Q2981" s="1"/>
      <c r="R2981" s="1"/>
      <c r="Z2981" s="103"/>
      <c r="AA2981" s="103"/>
      <c r="AB2981" s="1"/>
    </row>
    <row r="2982" spans="15:30">
      <c r="O2982" s="1"/>
      <c r="P2982" s="1"/>
      <c r="Q2982" s="1"/>
      <c r="R2982" s="1"/>
      <c r="Z2982" s="103"/>
      <c r="AA2982" s="103"/>
      <c r="AB2982" s="1"/>
    </row>
    <row r="2983" spans="15:30">
      <c r="O2983" s="1"/>
      <c r="P2983" s="1"/>
      <c r="Q2983" s="1"/>
      <c r="R2983" s="1"/>
      <c r="Z2983" s="103"/>
      <c r="AA2983" s="103"/>
      <c r="AB2983" s="1"/>
    </row>
    <row r="2984" spans="15:30">
      <c r="O2984" s="1"/>
      <c r="P2984" s="1"/>
      <c r="Q2984" s="1"/>
      <c r="R2984" s="1"/>
      <c r="Z2984" s="103"/>
      <c r="AA2984" s="103"/>
      <c r="AB2984" s="1"/>
    </row>
    <row r="2985" spans="15:30">
      <c r="O2985" s="1"/>
      <c r="P2985" s="1"/>
      <c r="Q2985" s="1"/>
      <c r="R2985" s="1"/>
      <c r="Z2985" s="103"/>
      <c r="AA2985" s="103"/>
      <c r="AB2985" s="1"/>
    </row>
    <row r="2986" spans="15:30">
      <c r="O2986" s="1"/>
      <c r="P2986" s="1"/>
      <c r="Q2986" s="1"/>
      <c r="R2986" s="1"/>
      <c r="Z2986" s="103"/>
      <c r="AA2986" s="103"/>
      <c r="AB2986" s="1"/>
    </row>
    <row r="2987" spans="15:30">
      <c r="O2987" s="1"/>
      <c r="P2987" s="1"/>
      <c r="Q2987" s="1"/>
      <c r="R2987" s="1"/>
      <c r="Z2987" s="103"/>
      <c r="AA2987" s="103"/>
      <c r="AB2987" s="1"/>
    </row>
    <row r="2988" spans="15:30">
      <c r="O2988" s="1"/>
      <c r="P2988" s="1"/>
      <c r="Q2988" s="1"/>
      <c r="R2988" s="1"/>
      <c r="Z2988" s="103"/>
      <c r="AA2988" s="103"/>
      <c r="AB2988" s="1"/>
    </row>
    <row r="2989" spans="15:30">
      <c r="O2989" s="1"/>
      <c r="P2989" s="1"/>
      <c r="Q2989" s="1"/>
      <c r="R2989" s="1"/>
      <c r="Z2989" s="103"/>
      <c r="AA2989" s="103"/>
      <c r="AB2989" s="1"/>
    </row>
    <row r="2990" spans="15:30">
      <c r="O2990" s="1"/>
      <c r="P2990" s="1"/>
      <c r="Q2990" s="1"/>
      <c r="R2990" s="1"/>
      <c r="Z2990" s="103"/>
      <c r="AA2990" s="103"/>
      <c r="AB2990" s="1"/>
    </row>
    <row r="2991" spans="15:30">
      <c r="O2991" s="1"/>
      <c r="P2991" s="1"/>
      <c r="Q2991" s="1"/>
      <c r="R2991" s="1"/>
      <c r="Z2991" s="103"/>
      <c r="AA2991" s="103"/>
      <c r="AB2991" s="1"/>
    </row>
    <row r="2992" spans="15:30">
      <c r="O2992" s="1"/>
      <c r="P2992" s="1"/>
      <c r="Q2992" s="1"/>
      <c r="R2992" s="1"/>
      <c r="Z2992" s="103"/>
      <c r="AA2992" s="103"/>
      <c r="AB2992" s="1"/>
    </row>
    <row r="2993" spans="15:30">
      <c r="O2993" s="1"/>
      <c r="P2993" s="1"/>
      <c r="Q2993" s="1"/>
      <c r="R2993" s="1"/>
      <c r="Z2993" s="103"/>
      <c r="AA2993" s="103"/>
      <c r="AB2993" s="1"/>
    </row>
    <row r="2994" spans="15:30">
      <c r="O2994" s="1"/>
      <c r="P2994" s="1"/>
      <c r="Q2994" s="1"/>
      <c r="R2994" s="1"/>
      <c r="Z2994" s="103"/>
      <c r="AA2994" s="103"/>
      <c r="AB2994" s="1"/>
    </row>
    <row r="2995" spans="15:30">
      <c r="O2995" s="1"/>
      <c r="P2995" s="1"/>
      <c r="Q2995" s="1"/>
      <c r="R2995" s="1"/>
      <c r="Z2995" s="103"/>
      <c r="AA2995" s="103"/>
      <c r="AB2995" s="1"/>
    </row>
    <row r="2996" spans="15:30">
      <c r="O2996" s="1"/>
      <c r="P2996" s="1"/>
      <c r="Q2996" s="1"/>
      <c r="R2996" s="1"/>
      <c r="Z2996" s="103"/>
      <c r="AA2996" s="103"/>
      <c r="AB2996" s="1"/>
    </row>
    <row r="2997" spans="15:30">
      <c r="O2997" s="1"/>
      <c r="P2997" s="1"/>
      <c r="Q2997" s="1"/>
      <c r="R2997" s="1"/>
      <c r="Z2997" s="103"/>
      <c r="AA2997" s="103"/>
      <c r="AB2997" s="1"/>
    </row>
    <row r="2998" spans="15:30">
      <c r="O2998" s="1"/>
      <c r="P2998" s="1"/>
      <c r="Q2998" s="1"/>
      <c r="R2998" s="1"/>
      <c r="Z2998" s="103"/>
      <c r="AA2998" s="103"/>
      <c r="AB2998" s="1"/>
    </row>
    <row r="2999" spans="15:30">
      <c r="O2999" s="1"/>
      <c r="P2999" s="1"/>
      <c r="Q2999" s="1"/>
      <c r="R2999" s="1"/>
      <c r="Z2999" s="103"/>
      <c r="AA2999" s="103"/>
      <c r="AB2999" s="1"/>
    </row>
    <row r="3000" spans="15:30">
      <c r="O3000" s="1"/>
      <c r="P3000" s="1"/>
      <c r="Q3000" s="1"/>
      <c r="R3000" s="1"/>
      <c r="Z3000" s="103"/>
      <c r="AA3000" s="103"/>
      <c r="AB3000" s="1"/>
    </row>
    <row r="3001" spans="15:30">
      <c r="O3001" s="1"/>
      <c r="P3001" s="1"/>
      <c r="Q3001" s="1"/>
      <c r="R3001" s="1"/>
      <c r="Z3001" s="103"/>
      <c r="AA3001" s="103"/>
      <c r="AB3001" s="1"/>
    </row>
    <row r="3002" spans="15:30">
      <c r="O3002" s="1"/>
      <c r="P3002" s="1"/>
      <c r="Q3002" s="1"/>
      <c r="R3002" s="1"/>
      <c r="Z3002" s="103"/>
      <c r="AA3002" s="103"/>
      <c r="AB3002" s="1"/>
      <c r="AD3002" s="102"/>
    </row>
    <row r="3003" spans="15:30">
      <c r="O3003" s="1"/>
      <c r="P3003" s="1"/>
      <c r="Q3003" s="1"/>
      <c r="R3003" s="1"/>
      <c r="Z3003" s="103"/>
      <c r="AA3003" s="103"/>
      <c r="AB3003" s="1"/>
    </row>
    <row r="3004" spans="15:30">
      <c r="O3004" s="1"/>
      <c r="P3004" s="1"/>
      <c r="Q3004" s="1"/>
      <c r="R3004" s="1"/>
      <c r="Z3004" s="103"/>
      <c r="AA3004" s="103"/>
      <c r="AB3004" s="1"/>
    </row>
    <row r="3005" spans="15:30">
      <c r="O3005" s="1"/>
      <c r="P3005" s="1"/>
      <c r="Q3005" s="1"/>
      <c r="R3005" s="1"/>
      <c r="Z3005" s="103"/>
      <c r="AA3005" s="103"/>
      <c r="AB3005" s="1"/>
    </row>
    <row r="3006" spans="15:30">
      <c r="O3006" s="1"/>
      <c r="P3006" s="1"/>
      <c r="Q3006" s="1"/>
      <c r="R3006" s="1"/>
      <c r="Z3006" s="103"/>
      <c r="AA3006" s="103"/>
      <c r="AB3006" s="1"/>
    </row>
    <row r="3007" spans="15:30">
      <c r="O3007" s="1"/>
      <c r="P3007" s="1"/>
      <c r="Q3007" s="1"/>
      <c r="R3007" s="1"/>
      <c r="Z3007" s="103"/>
      <c r="AA3007" s="103"/>
      <c r="AB3007" s="1"/>
    </row>
    <row r="3008" spans="15:30">
      <c r="O3008" s="1"/>
      <c r="P3008" s="1"/>
      <c r="Q3008" s="1"/>
      <c r="R3008" s="1"/>
      <c r="Z3008" s="103"/>
      <c r="AA3008" s="103"/>
      <c r="AB3008" s="1"/>
    </row>
    <row r="3009" spans="15:28">
      <c r="O3009" s="1"/>
      <c r="P3009" s="1"/>
      <c r="Q3009" s="1"/>
      <c r="R3009" s="1"/>
      <c r="Z3009" s="103"/>
      <c r="AA3009" s="103"/>
      <c r="AB3009" s="1"/>
    </row>
    <row r="3010" spans="15:28">
      <c r="O3010" s="1"/>
      <c r="P3010" s="1"/>
      <c r="Q3010" s="1"/>
      <c r="R3010" s="1"/>
      <c r="Z3010" s="103"/>
      <c r="AA3010" s="103"/>
      <c r="AB3010" s="1"/>
    </row>
    <row r="3011" spans="15:28">
      <c r="O3011" s="1"/>
      <c r="P3011" s="1"/>
      <c r="Q3011" s="1"/>
      <c r="R3011" s="1"/>
      <c r="Z3011" s="103"/>
      <c r="AA3011" s="103"/>
      <c r="AB3011" s="1"/>
    </row>
    <row r="3012" spans="15:28">
      <c r="O3012" s="1"/>
      <c r="P3012" s="1"/>
      <c r="Q3012" s="1"/>
      <c r="R3012" s="1"/>
      <c r="Z3012" s="103"/>
      <c r="AA3012" s="103"/>
      <c r="AB3012" s="1"/>
    </row>
    <row r="3013" spans="15:28">
      <c r="O3013" s="1"/>
      <c r="P3013" s="1"/>
      <c r="Q3013" s="1"/>
      <c r="R3013" s="1"/>
      <c r="Z3013" s="103"/>
      <c r="AA3013" s="103"/>
      <c r="AB3013" s="1"/>
    </row>
    <row r="3014" spans="15:28">
      <c r="O3014" s="1"/>
      <c r="P3014" s="1"/>
      <c r="Q3014" s="1"/>
      <c r="R3014" s="1"/>
      <c r="Z3014" s="103"/>
      <c r="AA3014" s="103"/>
      <c r="AB3014" s="1"/>
    </row>
    <row r="3015" spans="15:28">
      <c r="O3015" s="1"/>
      <c r="P3015" s="1"/>
      <c r="Q3015" s="1"/>
      <c r="R3015" s="1"/>
      <c r="Z3015" s="103"/>
      <c r="AA3015" s="103"/>
      <c r="AB3015" s="1"/>
    </row>
    <row r="3016" spans="15:28">
      <c r="O3016" s="1"/>
      <c r="P3016" s="1"/>
      <c r="Q3016" s="1"/>
      <c r="R3016" s="1"/>
      <c r="Z3016" s="103"/>
      <c r="AA3016" s="103"/>
      <c r="AB3016" s="1"/>
    </row>
    <row r="3017" spans="15:28">
      <c r="O3017" s="1"/>
      <c r="P3017" s="1"/>
      <c r="Q3017" s="1"/>
      <c r="R3017" s="1"/>
      <c r="Z3017" s="103"/>
      <c r="AA3017" s="103"/>
      <c r="AB3017" s="1"/>
    </row>
    <row r="3018" spans="15:28">
      <c r="O3018" s="1"/>
      <c r="P3018" s="1"/>
      <c r="Q3018" s="1"/>
      <c r="R3018" s="1"/>
      <c r="Z3018" s="103"/>
      <c r="AA3018" s="103"/>
      <c r="AB3018" s="1"/>
    </row>
    <row r="3019" spans="15:28">
      <c r="O3019" s="1"/>
      <c r="P3019" s="1"/>
      <c r="Q3019" s="1"/>
      <c r="R3019" s="1"/>
      <c r="Z3019" s="103"/>
      <c r="AA3019" s="103"/>
      <c r="AB3019" s="1"/>
    </row>
    <row r="3020" spans="15:28">
      <c r="O3020" s="1"/>
      <c r="P3020" s="1"/>
      <c r="Q3020" s="1"/>
      <c r="R3020" s="1"/>
      <c r="Z3020" s="103"/>
      <c r="AA3020" s="103"/>
      <c r="AB3020" s="1"/>
    </row>
    <row r="3021" spans="15:28">
      <c r="O3021" s="1"/>
      <c r="P3021" s="1"/>
      <c r="Q3021" s="1"/>
      <c r="R3021" s="1"/>
      <c r="Z3021" s="103"/>
      <c r="AA3021" s="103"/>
      <c r="AB3021" s="1"/>
    </row>
    <row r="3022" spans="15:28">
      <c r="O3022" s="1"/>
      <c r="P3022" s="1"/>
      <c r="Q3022" s="1"/>
      <c r="R3022" s="1"/>
      <c r="Z3022" s="103"/>
      <c r="AA3022" s="103"/>
      <c r="AB3022" s="1"/>
    </row>
    <row r="3023" spans="15:28">
      <c r="O3023" s="1"/>
      <c r="P3023" s="1"/>
      <c r="Q3023" s="1"/>
      <c r="R3023" s="1"/>
      <c r="Z3023" s="103"/>
      <c r="AA3023" s="103"/>
      <c r="AB3023" s="1"/>
    </row>
    <row r="3024" spans="15:28">
      <c r="O3024" s="1"/>
      <c r="P3024" s="1"/>
      <c r="Q3024" s="1"/>
      <c r="R3024" s="1"/>
      <c r="Z3024" s="103"/>
      <c r="AA3024" s="103"/>
      <c r="AB3024" s="1"/>
    </row>
    <row r="3025" spans="15:28">
      <c r="O3025" s="1"/>
      <c r="P3025" s="1"/>
      <c r="Q3025" s="1"/>
      <c r="R3025" s="1"/>
      <c r="Z3025" s="103"/>
      <c r="AA3025" s="103"/>
      <c r="AB3025" s="1"/>
    </row>
    <row r="3026" spans="15:28">
      <c r="O3026" s="1"/>
      <c r="P3026" s="1"/>
      <c r="Q3026" s="1"/>
      <c r="R3026" s="1"/>
      <c r="Z3026" s="103"/>
      <c r="AA3026" s="103"/>
      <c r="AB3026" s="1"/>
    </row>
    <row r="3027" spans="15:28">
      <c r="O3027" s="1"/>
      <c r="P3027" s="1"/>
      <c r="Q3027" s="1"/>
      <c r="R3027" s="1"/>
      <c r="Z3027" s="103"/>
      <c r="AA3027" s="103"/>
      <c r="AB3027" s="1"/>
    </row>
    <row r="3028" spans="15:28">
      <c r="O3028" s="1"/>
      <c r="P3028" s="1"/>
      <c r="Q3028" s="1"/>
      <c r="R3028" s="1"/>
      <c r="Z3028" s="103"/>
      <c r="AA3028" s="103"/>
      <c r="AB3028" s="1"/>
    </row>
    <row r="3029" spans="15:28">
      <c r="O3029" s="1"/>
      <c r="P3029" s="1"/>
      <c r="Q3029" s="1"/>
      <c r="R3029" s="1"/>
      <c r="Z3029" s="103"/>
      <c r="AA3029" s="103"/>
      <c r="AB3029" s="1"/>
    </row>
    <row r="3030" spans="15:28">
      <c r="O3030" s="1"/>
      <c r="P3030" s="1"/>
      <c r="Q3030" s="1"/>
      <c r="R3030" s="1"/>
      <c r="Z3030" s="103"/>
      <c r="AA3030" s="103"/>
      <c r="AB3030" s="1"/>
    </row>
    <row r="3031" spans="15:28">
      <c r="O3031" s="1"/>
      <c r="P3031" s="1"/>
      <c r="Q3031" s="1"/>
      <c r="R3031" s="1"/>
      <c r="Z3031" s="103"/>
      <c r="AA3031" s="103"/>
      <c r="AB3031" s="1"/>
    </row>
    <row r="3032" spans="15:28">
      <c r="O3032" s="1"/>
      <c r="P3032" s="1"/>
      <c r="Q3032" s="1"/>
      <c r="R3032" s="1"/>
      <c r="Z3032" s="103"/>
      <c r="AA3032" s="103"/>
      <c r="AB3032" s="1"/>
    </row>
    <row r="3033" spans="15:28">
      <c r="O3033" s="1"/>
      <c r="P3033" s="1"/>
      <c r="Q3033" s="1"/>
      <c r="R3033" s="1"/>
      <c r="Z3033" s="103"/>
      <c r="AA3033" s="103"/>
      <c r="AB3033" s="1"/>
    </row>
    <row r="3034" spans="15:28">
      <c r="O3034" s="1"/>
      <c r="P3034" s="1"/>
      <c r="Q3034" s="1"/>
      <c r="R3034" s="1"/>
      <c r="Z3034" s="103"/>
      <c r="AA3034" s="103"/>
      <c r="AB3034" s="1"/>
    </row>
    <row r="3035" spans="15:28">
      <c r="O3035" s="1"/>
      <c r="P3035" s="1"/>
      <c r="Q3035" s="1"/>
      <c r="R3035" s="1"/>
      <c r="Z3035" s="103"/>
      <c r="AA3035" s="103"/>
      <c r="AB3035" s="1"/>
    </row>
    <row r="3036" spans="15:28">
      <c r="O3036" s="1"/>
      <c r="P3036" s="1"/>
      <c r="Q3036" s="1"/>
      <c r="R3036" s="1"/>
      <c r="Z3036" s="103"/>
      <c r="AA3036" s="103"/>
      <c r="AB3036" s="1"/>
    </row>
    <row r="3037" spans="15:28">
      <c r="O3037" s="1"/>
      <c r="P3037" s="1"/>
      <c r="Q3037" s="1"/>
      <c r="R3037" s="1"/>
      <c r="Z3037" s="103"/>
      <c r="AA3037" s="103"/>
      <c r="AB3037" s="1"/>
    </row>
    <row r="3038" spans="15:28">
      <c r="O3038" s="1"/>
      <c r="P3038" s="1"/>
      <c r="Q3038" s="1"/>
      <c r="R3038" s="1"/>
      <c r="Z3038" s="103"/>
      <c r="AA3038" s="103"/>
      <c r="AB3038" s="1"/>
    </row>
    <row r="3039" spans="15:28">
      <c r="O3039" s="1"/>
      <c r="P3039" s="1"/>
      <c r="Q3039" s="1"/>
      <c r="R3039" s="1"/>
      <c r="Z3039" s="103"/>
      <c r="AA3039" s="103"/>
      <c r="AB3039" s="1"/>
    </row>
    <row r="3040" spans="15:28">
      <c r="O3040" s="1"/>
      <c r="P3040" s="1"/>
      <c r="Q3040" s="1"/>
      <c r="R3040" s="1"/>
      <c r="Z3040" s="103"/>
      <c r="AA3040" s="103"/>
      <c r="AB3040" s="1"/>
    </row>
    <row r="3041" spans="15:28">
      <c r="O3041" s="1"/>
      <c r="P3041" s="1"/>
      <c r="Q3041" s="1"/>
      <c r="R3041" s="1"/>
      <c r="Z3041" s="103"/>
      <c r="AA3041" s="103"/>
      <c r="AB3041" s="1"/>
    </row>
    <row r="3042" spans="15:28">
      <c r="O3042" s="1"/>
      <c r="P3042" s="1"/>
      <c r="Q3042" s="1"/>
      <c r="R3042" s="1"/>
      <c r="Z3042" s="103"/>
      <c r="AA3042" s="103"/>
      <c r="AB3042" s="1"/>
    </row>
    <row r="3043" spans="15:28">
      <c r="O3043" s="1"/>
      <c r="P3043" s="1"/>
      <c r="Q3043" s="1"/>
      <c r="R3043" s="1"/>
      <c r="Z3043" s="103"/>
      <c r="AA3043" s="103"/>
      <c r="AB3043" s="1"/>
    </row>
    <row r="3044" spans="15:28">
      <c r="O3044" s="1"/>
      <c r="P3044" s="1"/>
      <c r="Q3044" s="1"/>
      <c r="R3044" s="1"/>
      <c r="Z3044" s="103"/>
      <c r="AA3044" s="103"/>
      <c r="AB3044" s="1"/>
    </row>
    <row r="3045" spans="15:28">
      <c r="O3045" s="1"/>
      <c r="P3045" s="1"/>
      <c r="Q3045" s="1"/>
      <c r="R3045" s="1"/>
      <c r="Z3045" s="103"/>
      <c r="AA3045" s="103"/>
      <c r="AB3045" s="1"/>
    </row>
    <row r="3046" spans="15:28">
      <c r="O3046" s="1"/>
      <c r="P3046" s="1"/>
      <c r="Q3046" s="1"/>
      <c r="R3046" s="1"/>
      <c r="Z3046" s="103"/>
      <c r="AA3046" s="103"/>
      <c r="AB3046" s="1"/>
    </row>
    <row r="3047" spans="15:28">
      <c r="O3047" s="1"/>
      <c r="P3047" s="1"/>
      <c r="Q3047" s="1"/>
      <c r="R3047" s="1"/>
      <c r="Z3047" s="103"/>
      <c r="AA3047" s="103"/>
      <c r="AB3047" s="1"/>
    </row>
    <row r="3048" spans="15:28">
      <c r="O3048" s="1"/>
      <c r="P3048" s="1"/>
      <c r="Q3048" s="1"/>
      <c r="R3048" s="1"/>
      <c r="Z3048" s="103"/>
      <c r="AA3048" s="103"/>
      <c r="AB3048" s="1"/>
    </row>
    <row r="3049" spans="15:28">
      <c r="O3049" s="1"/>
      <c r="P3049" s="1"/>
      <c r="Q3049" s="1"/>
      <c r="R3049" s="1"/>
      <c r="Z3049" s="103"/>
      <c r="AA3049" s="103"/>
      <c r="AB3049" s="1"/>
    </row>
    <row r="3050" spans="15:28">
      <c r="O3050" s="1"/>
      <c r="P3050" s="1"/>
      <c r="Q3050" s="1"/>
      <c r="R3050" s="1"/>
      <c r="Z3050" s="103"/>
      <c r="AA3050" s="103"/>
      <c r="AB3050" s="1"/>
    </row>
    <row r="3051" spans="15:28">
      <c r="O3051" s="1"/>
      <c r="P3051" s="1"/>
      <c r="Q3051" s="1"/>
      <c r="R3051" s="1"/>
      <c r="Z3051" s="103"/>
      <c r="AA3051" s="103"/>
      <c r="AB3051" s="1"/>
    </row>
    <row r="3052" spans="15:28">
      <c r="O3052" s="1"/>
      <c r="P3052" s="1"/>
      <c r="Q3052" s="1"/>
      <c r="R3052" s="1"/>
      <c r="Z3052" s="103"/>
      <c r="AA3052" s="103"/>
      <c r="AB3052" s="1"/>
    </row>
    <row r="3053" spans="15:28">
      <c r="O3053" s="1"/>
      <c r="P3053" s="1"/>
      <c r="Q3053" s="1"/>
      <c r="R3053" s="1"/>
      <c r="Z3053" s="103"/>
      <c r="AA3053" s="103"/>
      <c r="AB3053" s="1"/>
    </row>
    <row r="3054" spans="15:28">
      <c r="O3054" s="1"/>
      <c r="P3054" s="1"/>
      <c r="Q3054" s="1"/>
      <c r="R3054" s="1"/>
      <c r="Z3054" s="103"/>
      <c r="AA3054" s="103"/>
      <c r="AB3054" s="1"/>
    </row>
    <row r="3055" spans="15:28">
      <c r="O3055" s="1"/>
      <c r="P3055" s="1"/>
      <c r="Q3055" s="1"/>
      <c r="R3055" s="1"/>
      <c r="Z3055" s="103"/>
      <c r="AA3055" s="103"/>
      <c r="AB3055" s="1"/>
    </row>
    <row r="3056" spans="15:28">
      <c r="O3056" s="1"/>
      <c r="P3056" s="1"/>
      <c r="Q3056" s="1"/>
      <c r="R3056" s="1"/>
      <c r="Z3056" s="103"/>
      <c r="AA3056" s="103"/>
      <c r="AB3056" s="1"/>
    </row>
    <row r="3057" spans="15:30">
      <c r="O3057" s="1"/>
      <c r="P3057" s="1"/>
      <c r="Q3057" s="1"/>
      <c r="R3057" s="1"/>
      <c r="Z3057" s="103"/>
      <c r="AA3057" s="103"/>
      <c r="AB3057" s="1"/>
      <c r="AD3057" s="102"/>
    </row>
    <row r="3058" spans="15:30">
      <c r="O3058" s="1"/>
      <c r="P3058" s="1"/>
      <c r="Q3058" s="1"/>
      <c r="R3058" s="1"/>
      <c r="Z3058" s="103"/>
      <c r="AA3058" s="103"/>
      <c r="AB3058" s="1"/>
      <c r="AD3058" s="102"/>
    </row>
    <row r="3059" spans="15:30">
      <c r="O3059" s="1"/>
      <c r="P3059" s="1"/>
      <c r="Q3059" s="1"/>
      <c r="R3059" s="1"/>
      <c r="Z3059" s="103"/>
      <c r="AA3059" s="103"/>
      <c r="AB3059" s="1"/>
    </row>
    <row r="3060" spans="15:30">
      <c r="O3060" s="1"/>
      <c r="P3060" s="1"/>
      <c r="Q3060" s="1"/>
      <c r="R3060" s="1"/>
      <c r="Z3060" s="103"/>
      <c r="AA3060" s="103"/>
      <c r="AB3060" s="1"/>
    </row>
    <row r="3061" spans="15:30">
      <c r="O3061" s="1"/>
      <c r="P3061" s="1"/>
      <c r="Q3061" s="1"/>
      <c r="R3061" s="1"/>
      <c r="Z3061" s="103"/>
      <c r="AA3061" s="103"/>
      <c r="AB3061" s="1"/>
    </row>
    <row r="3062" spans="15:30">
      <c r="O3062" s="1"/>
      <c r="P3062" s="1"/>
      <c r="Q3062" s="1"/>
      <c r="R3062" s="1"/>
      <c r="Z3062" s="103"/>
      <c r="AA3062" s="103"/>
      <c r="AB3062" s="1"/>
    </row>
    <row r="3063" spans="15:30">
      <c r="O3063" s="1"/>
      <c r="P3063" s="1"/>
      <c r="Q3063" s="1"/>
      <c r="R3063" s="1"/>
      <c r="Z3063" s="103"/>
      <c r="AA3063" s="103"/>
      <c r="AB3063" s="1"/>
    </row>
    <row r="3064" spans="15:30">
      <c r="O3064" s="1"/>
      <c r="P3064" s="1"/>
      <c r="Q3064" s="1"/>
      <c r="R3064" s="1"/>
      <c r="Z3064" s="103"/>
      <c r="AA3064" s="103"/>
      <c r="AB3064" s="1"/>
    </row>
    <row r="3065" spans="15:30">
      <c r="O3065" s="1"/>
      <c r="P3065" s="1"/>
      <c r="Q3065" s="1"/>
      <c r="R3065" s="1"/>
      <c r="Z3065" s="103"/>
      <c r="AA3065" s="103"/>
      <c r="AB3065" s="1"/>
    </row>
    <row r="3066" spans="15:30">
      <c r="O3066" s="1"/>
      <c r="P3066" s="1"/>
      <c r="Q3066" s="1"/>
      <c r="R3066" s="1"/>
      <c r="Z3066" s="103"/>
      <c r="AA3066" s="103"/>
      <c r="AB3066" s="1"/>
    </row>
    <row r="3067" spans="15:30">
      <c r="O3067" s="1"/>
      <c r="P3067" s="1"/>
      <c r="Q3067" s="1"/>
      <c r="R3067" s="1"/>
      <c r="Z3067" s="103"/>
      <c r="AA3067" s="103"/>
      <c r="AB3067" s="1"/>
    </row>
    <row r="3068" spans="15:30">
      <c r="O3068" s="1"/>
      <c r="P3068" s="1"/>
      <c r="Q3068" s="1"/>
      <c r="R3068" s="1"/>
      <c r="Z3068" s="103"/>
      <c r="AA3068" s="103"/>
      <c r="AB3068" s="1"/>
    </row>
    <row r="3069" spans="15:30">
      <c r="O3069" s="1"/>
      <c r="P3069" s="1"/>
      <c r="Q3069" s="1"/>
      <c r="R3069" s="1"/>
      <c r="Z3069" s="103"/>
      <c r="AA3069" s="103"/>
      <c r="AB3069" s="1"/>
    </row>
    <row r="3070" spans="15:30">
      <c r="O3070" s="1"/>
      <c r="P3070" s="1"/>
      <c r="Q3070" s="1"/>
      <c r="R3070" s="1"/>
      <c r="Z3070" s="103"/>
      <c r="AA3070" s="103"/>
      <c r="AB3070" s="1"/>
    </row>
    <row r="3071" spans="15:30">
      <c r="O3071" s="1"/>
      <c r="P3071" s="1"/>
      <c r="Q3071" s="1"/>
      <c r="R3071" s="1"/>
      <c r="Z3071" s="103"/>
      <c r="AA3071" s="103"/>
      <c r="AB3071" s="1"/>
    </row>
    <row r="3072" spans="15:30">
      <c r="O3072" s="1"/>
      <c r="P3072" s="1"/>
      <c r="Q3072" s="1"/>
      <c r="R3072" s="1"/>
      <c r="Z3072" s="103"/>
      <c r="AA3072" s="103"/>
      <c r="AB3072" s="1"/>
    </row>
    <row r="3073" spans="15:28">
      <c r="O3073" s="1"/>
      <c r="P3073" s="1"/>
      <c r="Q3073" s="1"/>
      <c r="R3073" s="1"/>
      <c r="Z3073" s="103"/>
      <c r="AA3073" s="103"/>
      <c r="AB3073" s="1"/>
    </row>
    <row r="3074" spans="15:28">
      <c r="O3074" s="1"/>
      <c r="P3074" s="1"/>
      <c r="Q3074" s="1"/>
      <c r="R3074" s="1"/>
      <c r="Z3074" s="103"/>
      <c r="AA3074" s="103"/>
      <c r="AB3074" s="1"/>
    </row>
    <row r="3075" spans="15:28">
      <c r="O3075" s="1"/>
      <c r="P3075" s="1"/>
      <c r="Q3075" s="1"/>
      <c r="R3075" s="1"/>
      <c r="Z3075" s="103"/>
      <c r="AA3075" s="103"/>
      <c r="AB3075" s="1"/>
    </row>
    <row r="3076" spans="15:28">
      <c r="O3076" s="1"/>
      <c r="P3076" s="1"/>
      <c r="Q3076" s="1"/>
      <c r="R3076" s="1"/>
      <c r="Z3076" s="103"/>
      <c r="AA3076" s="103"/>
      <c r="AB3076" s="1"/>
    </row>
    <row r="3077" spans="15:28">
      <c r="O3077" s="1"/>
      <c r="P3077" s="1"/>
      <c r="Q3077" s="1"/>
      <c r="R3077" s="1"/>
      <c r="Z3077" s="103"/>
      <c r="AA3077" s="103"/>
      <c r="AB3077" s="1"/>
    </row>
    <row r="3078" spans="15:28">
      <c r="O3078" s="1"/>
      <c r="P3078" s="1"/>
      <c r="Q3078" s="1"/>
      <c r="R3078" s="1"/>
      <c r="Z3078" s="103"/>
      <c r="AA3078" s="103"/>
      <c r="AB3078" s="1"/>
    </row>
    <row r="3079" spans="15:28">
      <c r="O3079" s="1"/>
      <c r="P3079" s="1"/>
      <c r="Q3079" s="1"/>
      <c r="R3079" s="1"/>
      <c r="Z3079" s="103"/>
      <c r="AA3079" s="103"/>
      <c r="AB3079" s="1"/>
    </row>
    <row r="3080" spans="15:28">
      <c r="O3080" s="1"/>
      <c r="P3080" s="1"/>
      <c r="Q3080" s="1"/>
      <c r="R3080" s="1"/>
      <c r="Z3080" s="103"/>
      <c r="AA3080" s="103"/>
      <c r="AB3080" s="1"/>
    </row>
    <row r="3081" spans="15:28">
      <c r="O3081" s="1"/>
      <c r="P3081" s="1"/>
      <c r="Q3081" s="1"/>
      <c r="R3081" s="1"/>
      <c r="Z3081" s="103"/>
      <c r="AA3081" s="103"/>
      <c r="AB3081" s="1"/>
    </row>
    <row r="3082" spans="15:28">
      <c r="O3082" s="1"/>
      <c r="P3082" s="1"/>
      <c r="Q3082" s="1"/>
      <c r="R3082" s="1"/>
      <c r="Z3082" s="103"/>
      <c r="AA3082" s="103"/>
      <c r="AB3082" s="1"/>
    </row>
    <row r="3083" spans="15:28">
      <c r="O3083" s="1"/>
      <c r="P3083" s="1"/>
      <c r="Q3083" s="1"/>
      <c r="R3083" s="1"/>
      <c r="Z3083" s="103"/>
      <c r="AA3083" s="103"/>
      <c r="AB3083" s="1"/>
    </row>
    <row r="3084" spans="15:28">
      <c r="O3084" s="1"/>
      <c r="P3084" s="1"/>
      <c r="Q3084" s="1"/>
      <c r="R3084" s="1"/>
      <c r="Z3084" s="103"/>
      <c r="AA3084" s="103"/>
      <c r="AB3084" s="1"/>
    </row>
    <row r="3085" spans="15:28">
      <c r="O3085" s="1"/>
      <c r="P3085" s="1"/>
      <c r="Q3085" s="1"/>
      <c r="R3085" s="1"/>
      <c r="Z3085" s="103"/>
      <c r="AA3085" s="103"/>
      <c r="AB3085" s="1"/>
    </row>
    <row r="3086" spans="15:28">
      <c r="O3086" s="1"/>
      <c r="P3086" s="1"/>
      <c r="Q3086" s="1"/>
      <c r="R3086" s="1"/>
      <c r="Z3086" s="103"/>
      <c r="AA3086" s="103"/>
      <c r="AB3086" s="1"/>
    </row>
    <row r="3087" spans="15:28">
      <c r="O3087" s="1"/>
      <c r="P3087" s="1"/>
      <c r="Q3087" s="1"/>
      <c r="R3087" s="1"/>
      <c r="Z3087" s="103"/>
      <c r="AA3087" s="103"/>
      <c r="AB3087" s="1"/>
    </row>
    <row r="3088" spans="15:28">
      <c r="O3088" s="1"/>
      <c r="P3088" s="1"/>
      <c r="Q3088" s="1"/>
      <c r="R3088" s="1"/>
      <c r="Z3088" s="103"/>
      <c r="AA3088" s="103"/>
      <c r="AB3088" s="1"/>
    </row>
    <row r="3089" spans="15:30">
      <c r="O3089" s="1"/>
      <c r="P3089" s="1"/>
      <c r="Q3089" s="1"/>
      <c r="R3089" s="1"/>
      <c r="Z3089" s="103"/>
      <c r="AA3089" s="103"/>
      <c r="AB3089" s="1"/>
    </row>
    <row r="3090" spans="15:30">
      <c r="O3090" s="1"/>
      <c r="P3090" s="1"/>
      <c r="Q3090" s="1"/>
      <c r="R3090" s="1"/>
      <c r="Z3090" s="103"/>
      <c r="AA3090" s="103"/>
      <c r="AB3090" s="1"/>
    </row>
    <row r="3091" spans="15:30">
      <c r="O3091" s="1"/>
      <c r="P3091" s="1"/>
      <c r="Q3091" s="1"/>
      <c r="R3091" s="1"/>
      <c r="Z3091" s="103"/>
      <c r="AA3091" s="103"/>
      <c r="AB3091" s="1"/>
    </row>
    <row r="3092" spans="15:30">
      <c r="O3092" s="1"/>
      <c r="P3092" s="1"/>
      <c r="Q3092" s="1"/>
      <c r="R3092" s="1"/>
      <c r="Z3092" s="103"/>
      <c r="AA3092" s="103"/>
      <c r="AB3092" s="1"/>
    </row>
    <row r="3093" spans="15:30">
      <c r="O3093" s="1"/>
      <c r="P3093" s="1"/>
      <c r="Q3093" s="1"/>
      <c r="R3093" s="1"/>
      <c r="Z3093" s="103"/>
      <c r="AA3093" s="103"/>
      <c r="AB3093" s="1"/>
    </row>
    <row r="3094" spans="15:30">
      <c r="O3094" s="1"/>
      <c r="P3094" s="1"/>
      <c r="Q3094" s="1"/>
      <c r="R3094" s="1"/>
      <c r="Z3094" s="103"/>
      <c r="AA3094" s="103"/>
      <c r="AB3094" s="1"/>
    </row>
    <row r="3095" spans="15:30">
      <c r="O3095" s="1"/>
      <c r="P3095" s="1"/>
      <c r="Q3095" s="1"/>
      <c r="R3095" s="1"/>
      <c r="Z3095" s="103"/>
      <c r="AA3095" s="103"/>
      <c r="AB3095" s="1"/>
    </row>
    <row r="3096" spans="15:30">
      <c r="O3096" s="1"/>
      <c r="P3096" s="1"/>
      <c r="Q3096" s="1"/>
      <c r="R3096" s="1"/>
      <c r="Z3096" s="103"/>
      <c r="AA3096" s="103"/>
      <c r="AB3096" s="1"/>
    </row>
    <row r="3097" spans="15:30">
      <c r="O3097" s="1"/>
      <c r="P3097" s="1"/>
      <c r="Q3097" s="1"/>
      <c r="R3097" s="1"/>
      <c r="Z3097" s="103"/>
      <c r="AA3097" s="103"/>
      <c r="AB3097" s="1"/>
    </row>
    <row r="3098" spans="15:30">
      <c r="O3098" s="1"/>
      <c r="P3098" s="1"/>
      <c r="Q3098" s="1"/>
      <c r="R3098" s="1"/>
      <c r="Z3098" s="103"/>
      <c r="AA3098" s="103"/>
      <c r="AB3098" s="1"/>
    </row>
    <row r="3099" spans="15:30">
      <c r="O3099" s="1"/>
      <c r="P3099" s="1"/>
      <c r="Q3099" s="1"/>
      <c r="R3099" s="1"/>
      <c r="Z3099" s="103"/>
      <c r="AA3099" s="103"/>
      <c r="AB3099" s="1"/>
    </row>
    <row r="3100" spans="15:30">
      <c r="O3100" s="1"/>
      <c r="P3100" s="1"/>
      <c r="Q3100" s="1"/>
      <c r="R3100" s="1"/>
      <c r="Z3100" s="103"/>
      <c r="AA3100" s="103"/>
      <c r="AB3100" s="1"/>
    </row>
    <row r="3101" spans="15:30">
      <c r="O3101" s="1"/>
      <c r="P3101" s="1"/>
      <c r="Q3101" s="1"/>
      <c r="R3101" s="1"/>
      <c r="Z3101" s="103"/>
      <c r="AA3101" s="103"/>
      <c r="AB3101" s="1"/>
      <c r="AD3101" s="102"/>
    </row>
    <row r="3102" spans="15:30">
      <c r="O3102" s="1"/>
      <c r="P3102" s="1"/>
      <c r="Q3102" s="1"/>
      <c r="R3102" s="1"/>
      <c r="Z3102" s="103"/>
      <c r="AA3102" s="103"/>
      <c r="AB3102" s="1"/>
    </row>
    <row r="3103" spans="15:30">
      <c r="O3103" s="1"/>
      <c r="P3103" s="1"/>
      <c r="Q3103" s="1"/>
      <c r="R3103" s="1"/>
      <c r="Z3103" s="103"/>
      <c r="AA3103" s="103"/>
      <c r="AB3103" s="1"/>
    </row>
    <row r="3104" spans="15:30">
      <c r="O3104" s="1"/>
      <c r="P3104" s="1"/>
      <c r="Q3104" s="1"/>
      <c r="R3104" s="1"/>
      <c r="Z3104" s="103"/>
      <c r="AA3104" s="103"/>
      <c r="AB3104" s="1"/>
    </row>
    <row r="3105" spans="15:28">
      <c r="O3105" s="1"/>
      <c r="P3105" s="1"/>
      <c r="Q3105" s="1"/>
      <c r="R3105" s="1"/>
      <c r="Z3105" s="103"/>
      <c r="AA3105" s="103"/>
      <c r="AB3105" s="1"/>
    </row>
    <row r="3106" spans="15:28">
      <c r="O3106" s="1"/>
      <c r="P3106" s="1"/>
      <c r="Q3106" s="1"/>
      <c r="R3106" s="1"/>
      <c r="Z3106" s="103"/>
      <c r="AA3106" s="103"/>
      <c r="AB3106" s="1"/>
    </row>
    <row r="3107" spans="15:28">
      <c r="O3107" s="1"/>
      <c r="P3107" s="1"/>
      <c r="Q3107" s="1"/>
      <c r="R3107" s="1"/>
      <c r="Z3107" s="103"/>
      <c r="AA3107" s="103"/>
      <c r="AB3107" s="1"/>
    </row>
    <row r="3108" spans="15:28">
      <c r="O3108" s="1"/>
      <c r="P3108" s="1"/>
      <c r="Q3108" s="1"/>
      <c r="R3108" s="1"/>
      <c r="Z3108" s="103"/>
      <c r="AA3108" s="103"/>
      <c r="AB3108" s="1"/>
    </row>
    <row r="3109" spans="15:28">
      <c r="O3109" s="1"/>
      <c r="P3109" s="1"/>
      <c r="Q3109" s="1"/>
      <c r="R3109" s="1"/>
      <c r="Z3109" s="103"/>
      <c r="AA3109" s="103"/>
      <c r="AB3109" s="1"/>
    </row>
    <row r="3110" spans="15:28">
      <c r="O3110" s="1"/>
      <c r="P3110" s="1"/>
      <c r="Q3110" s="1"/>
      <c r="R3110" s="1"/>
      <c r="Z3110" s="103"/>
      <c r="AA3110" s="103"/>
      <c r="AB3110" s="1"/>
    </row>
    <row r="3111" spans="15:28">
      <c r="O3111" s="1"/>
      <c r="P3111" s="1"/>
      <c r="Q3111" s="1"/>
      <c r="R3111" s="1"/>
      <c r="Z3111" s="103"/>
      <c r="AA3111" s="103"/>
      <c r="AB3111" s="1"/>
    </row>
    <row r="3112" spans="15:28">
      <c r="O3112" s="1"/>
      <c r="P3112" s="1"/>
      <c r="Q3112" s="1"/>
      <c r="R3112" s="1"/>
      <c r="Z3112" s="103"/>
      <c r="AA3112" s="103"/>
      <c r="AB3112" s="1"/>
    </row>
    <row r="3113" spans="15:28">
      <c r="O3113" s="1"/>
      <c r="P3113" s="1"/>
      <c r="Q3113" s="1"/>
      <c r="R3113" s="1"/>
      <c r="Z3113" s="103"/>
      <c r="AA3113" s="103"/>
      <c r="AB3113" s="1"/>
    </row>
    <row r="3114" spans="15:28">
      <c r="O3114" s="1"/>
      <c r="P3114" s="1"/>
      <c r="Q3114" s="1"/>
      <c r="R3114" s="1"/>
      <c r="Z3114" s="103"/>
      <c r="AA3114" s="103"/>
      <c r="AB3114" s="1"/>
    </row>
    <row r="3115" spans="15:28">
      <c r="O3115" s="1"/>
      <c r="P3115" s="1"/>
      <c r="Q3115" s="1"/>
      <c r="R3115" s="1"/>
      <c r="Z3115" s="103"/>
      <c r="AA3115" s="103"/>
      <c r="AB3115" s="1"/>
    </row>
    <row r="3116" spans="15:28">
      <c r="O3116" s="1"/>
      <c r="P3116" s="1"/>
      <c r="Q3116" s="1"/>
      <c r="R3116" s="1"/>
      <c r="Z3116" s="103"/>
      <c r="AA3116" s="103"/>
      <c r="AB3116" s="1"/>
    </row>
    <row r="3117" spans="15:28">
      <c r="O3117" s="1"/>
      <c r="P3117" s="1"/>
      <c r="Q3117" s="1"/>
      <c r="R3117" s="1"/>
      <c r="Z3117" s="103"/>
      <c r="AA3117" s="103"/>
      <c r="AB3117" s="1"/>
    </row>
    <row r="3118" spans="15:28">
      <c r="O3118" s="1"/>
      <c r="P3118" s="1"/>
      <c r="Q3118" s="1"/>
      <c r="R3118" s="1"/>
      <c r="Z3118" s="103"/>
      <c r="AA3118" s="103"/>
      <c r="AB3118" s="1"/>
    </row>
    <row r="3119" spans="15:28">
      <c r="O3119" s="1"/>
      <c r="P3119" s="1"/>
      <c r="Q3119" s="1"/>
      <c r="R3119" s="1"/>
      <c r="Z3119" s="103"/>
      <c r="AA3119" s="103"/>
      <c r="AB3119" s="1"/>
    </row>
    <row r="3120" spans="15:28">
      <c r="O3120" s="1"/>
      <c r="P3120" s="1"/>
      <c r="Q3120" s="1"/>
      <c r="R3120" s="1"/>
      <c r="Z3120" s="103"/>
      <c r="AA3120" s="103"/>
      <c r="AB3120" s="1"/>
    </row>
    <row r="3121" spans="15:30">
      <c r="O3121" s="1"/>
      <c r="P3121" s="1"/>
      <c r="Q3121" s="1"/>
      <c r="R3121" s="1"/>
      <c r="Z3121" s="103"/>
      <c r="AA3121" s="103"/>
      <c r="AB3121" s="1"/>
    </row>
    <row r="3122" spans="15:30">
      <c r="O3122" s="1"/>
      <c r="P3122" s="1"/>
      <c r="Q3122" s="1"/>
      <c r="R3122" s="1"/>
      <c r="Z3122" s="103"/>
      <c r="AA3122" s="103"/>
      <c r="AB3122" s="1"/>
    </row>
    <row r="3123" spans="15:30">
      <c r="O3123" s="1"/>
      <c r="P3123" s="1"/>
      <c r="Q3123" s="1"/>
      <c r="R3123" s="1"/>
      <c r="Z3123" s="103"/>
      <c r="AA3123" s="103"/>
      <c r="AB3123" s="1"/>
    </row>
    <row r="3124" spans="15:30">
      <c r="O3124" s="1"/>
      <c r="P3124" s="1"/>
      <c r="Q3124" s="1"/>
      <c r="R3124" s="1"/>
      <c r="Z3124" s="103"/>
      <c r="AA3124" s="103"/>
      <c r="AB3124" s="1"/>
    </row>
    <row r="3125" spans="15:30">
      <c r="O3125" s="1"/>
      <c r="P3125" s="1"/>
      <c r="Q3125" s="1"/>
      <c r="R3125" s="1"/>
      <c r="Z3125" s="103"/>
      <c r="AA3125" s="103"/>
      <c r="AB3125" s="1"/>
      <c r="AD3125" s="102"/>
    </row>
    <row r="3126" spans="15:30">
      <c r="O3126" s="1"/>
      <c r="P3126" s="1"/>
      <c r="Q3126" s="1"/>
      <c r="R3126" s="1"/>
      <c r="Z3126" s="103"/>
      <c r="AA3126" s="103"/>
      <c r="AB3126" s="1"/>
    </row>
    <row r="3127" spans="15:30">
      <c r="O3127" s="1"/>
      <c r="P3127" s="1"/>
      <c r="Q3127" s="1"/>
      <c r="R3127" s="1"/>
      <c r="Z3127" s="103"/>
      <c r="AA3127" s="103"/>
      <c r="AB3127" s="1"/>
    </row>
    <row r="3128" spans="15:30">
      <c r="O3128" s="1"/>
      <c r="P3128" s="1"/>
      <c r="Q3128" s="1"/>
      <c r="R3128" s="1"/>
      <c r="Z3128" s="103"/>
      <c r="AA3128" s="103"/>
      <c r="AB3128" s="1"/>
    </row>
    <row r="3129" spans="15:30">
      <c r="O3129" s="1"/>
      <c r="P3129" s="1"/>
      <c r="Q3129" s="1"/>
      <c r="R3129" s="1"/>
      <c r="Z3129" s="103"/>
      <c r="AA3129" s="103"/>
      <c r="AB3129" s="1"/>
    </row>
    <row r="3130" spans="15:30">
      <c r="O3130" s="1"/>
      <c r="P3130" s="1"/>
      <c r="Q3130" s="1"/>
      <c r="R3130" s="1"/>
      <c r="Z3130" s="103"/>
      <c r="AA3130" s="103"/>
      <c r="AB3130" s="1"/>
    </row>
    <row r="3131" spans="15:30">
      <c r="O3131" s="1"/>
      <c r="P3131" s="1"/>
      <c r="Q3131" s="1"/>
      <c r="R3131" s="1"/>
      <c r="Z3131" s="103"/>
      <c r="AA3131" s="103"/>
      <c r="AB3131" s="1"/>
    </row>
    <row r="3132" spans="15:30">
      <c r="O3132" s="1"/>
      <c r="P3132" s="1"/>
      <c r="Q3132" s="1"/>
      <c r="R3132" s="1"/>
      <c r="Z3132" s="103"/>
      <c r="AA3132" s="103"/>
      <c r="AB3132" s="1"/>
    </row>
    <row r="3133" spans="15:30">
      <c r="O3133" s="1"/>
      <c r="P3133" s="1"/>
      <c r="Q3133" s="1"/>
      <c r="R3133" s="1"/>
      <c r="Z3133" s="103"/>
      <c r="AA3133" s="103"/>
      <c r="AB3133" s="1"/>
    </row>
    <row r="3134" spans="15:30">
      <c r="O3134" s="1"/>
      <c r="P3134" s="1"/>
      <c r="Q3134" s="1"/>
      <c r="R3134" s="1"/>
      <c r="Z3134" s="103"/>
      <c r="AA3134" s="103"/>
      <c r="AB3134" s="1"/>
    </row>
    <row r="3135" spans="15:30">
      <c r="O3135" s="1"/>
      <c r="P3135" s="1"/>
      <c r="Q3135" s="1"/>
      <c r="R3135" s="1"/>
      <c r="Z3135" s="103"/>
      <c r="AA3135" s="103"/>
      <c r="AB3135" s="1"/>
    </row>
    <row r="3136" spans="15:30">
      <c r="O3136" s="1"/>
      <c r="P3136" s="1"/>
      <c r="Q3136" s="1"/>
      <c r="R3136" s="1"/>
      <c r="Z3136" s="103"/>
      <c r="AA3136" s="103"/>
      <c r="AB3136" s="1"/>
    </row>
    <row r="3137" spans="15:28">
      <c r="O3137" s="1"/>
      <c r="P3137" s="1"/>
      <c r="Q3137" s="1"/>
      <c r="R3137" s="1"/>
      <c r="Z3137" s="103"/>
      <c r="AA3137" s="103"/>
      <c r="AB3137" s="1"/>
    </row>
    <row r="3138" spans="15:28">
      <c r="O3138" s="1"/>
      <c r="P3138" s="1"/>
      <c r="Q3138" s="1"/>
      <c r="R3138" s="1"/>
      <c r="Z3138" s="103"/>
      <c r="AA3138" s="103"/>
      <c r="AB3138" s="1"/>
    </row>
    <row r="3139" spans="15:28">
      <c r="O3139" s="1"/>
      <c r="P3139" s="1"/>
      <c r="Q3139" s="1"/>
      <c r="R3139" s="1"/>
      <c r="Z3139" s="103"/>
      <c r="AA3139" s="103"/>
      <c r="AB3139" s="1"/>
    </row>
    <row r="3140" spans="15:28">
      <c r="O3140" s="1"/>
      <c r="P3140" s="1"/>
      <c r="Q3140" s="1"/>
      <c r="R3140" s="1"/>
      <c r="Z3140" s="103"/>
      <c r="AA3140" s="103"/>
      <c r="AB3140" s="1"/>
    </row>
    <row r="3141" spans="15:28">
      <c r="O3141" s="1"/>
      <c r="P3141" s="1"/>
      <c r="Q3141" s="1"/>
      <c r="R3141" s="1"/>
      <c r="Z3141" s="103"/>
      <c r="AA3141" s="103"/>
      <c r="AB3141" s="1"/>
    </row>
    <row r="3142" spans="15:28">
      <c r="O3142" s="1"/>
      <c r="P3142" s="1"/>
      <c r="Q3142" s="1"/>
      <c r="R3142" s="1"/>
      <c r="Z3142" s="103"/>
      <c r="AA3142" s="103"/>
      <c r="AB3142" s="1"/>
    </row>
    <row r="3143" spans="15:28">
      <c r="O3143" s="1"/>
      <c r="P3143" s="1"/>
      <c r="Q3143" s="1"/>
      <c r="R3143" s="1"/>
      <c r="Z3143" s="103"/>
      <c r="AA3143" s="103"/>
      <c r="AB3143" s="1"/>
    </row>
    <row r="3144" spans="15:28">
      <c r="O3144" s="1"/>
      <c r="P3144" s="1"/>
      <c r="Q3144" s="1"/>
      <c r="R3144" s="1"/>
      <c r="Z3144" s="103"/>
      <c r="AA3144" s="103"/>
      <c r="AB3144" s="1"/>
    </row>
    <row r="3145" spans="15:28">
      <c r="O3145" s="1"/>
      <c r="P3145" s="1"/>
      <c r="Q3145" s="1"/>
      <c r="R3145" s="1"/>
      <c r="Z3145" s="103"/>
      <c r="AA3145" s="103"/>
      <c r="AB3145" s="1"/>
    </row>
    <row r="3146" spans="15:28">
      <c r="O3146" s="1"/>
      <c r="P3146" s="1"/>
      <c r="Q3146" s="1"/>
      <c r="R3146" s="1"/>
      <c r="Z3146" s="103"/>
      <c r="AA3146" s="103"/>
      <c r="AB3146" s="1"/>
    </row>
    <row r="3147" spans="15:28">
      <c r="O3147" s="1"/>
      <c r="P3147" s="1"/>
      <c r="Q3147" s="1"/>
      <c r="R3147" s="1"/>
      <c r="Z3147" s="103"/>
      <c r="AA3147" s="103"/>
      <c r="AB3147" s="1"/>
    </row>
    <row r="3148" spans="15:28">
      <c r="O3148" s="1"/>
      <c r="P3148" s="1"/>
      <c r="Q3148" s="1"/>
      <c r="R3148" s="1"/>
      <c r="Z3148" s="103"/>
      <c r="AA3148" s="103"/>
      <c r="AB3148" s="1"/>
    </row>
    <row r="3149" spans="15:28">
      <c r="O3149" s="1"/>
      <c r="P3149" s="1"/>
      <c r="Q3149" s="1"/>
      <c r="R3149" s="1"/>
      <c r="Z3149" s="103"/>
      <c r="AA3149" s="103"/>
      <c r="AB3149" s="1"/>
    </row>
    <row r="3150" spans="15:28">
      <c r="O3150" s="1"/>
      <c r="P3150" s="1"/>
      <c r="Q3150" s="1"/>
      <c r="R3150" s="1"/>
      <c r="Z3150" s="103"/>
      <c r="AA3150" s="103"/>
      <c r="AB3150" s="1"/>
    </row>
    <row r="3151" spans="15:28">
      <c r="O3151" s="1"/>
      <c r="P3151" s="1"/>
      <c r="Q3151" s="1"/>
      <c r="R3151" s="1"/>
      <c r="Z3151" s="103"/>
      <c r="AA3151" s="103"/>
      <c r="AB3151" s="1"/>
    </row>
    <row r="3152" spans="15:28">
      <c r="O3152" s="1"/>
      <c r="P3152" s="1"/>
      <c r="Q3152" s="1"/>
      <c r="R3152" s="1"/>
      <c r="Z3152" s="103"/>
      <c r="AA3152" s="103"/>
      <c r="AB3152" s="1"/>
    </row>
    <row r="3153" spans="15:30">
      <c r="O3153" s="1"/>
      <c r="P3153" s="1"/>
      <c r="Q3153" s="1"/>
      <c r="R3153" s="1"/>
      <c r="Z3153" s="103"/>
      <c r="AA3153" s="103"/>
      <c r="AB3153" s="1"/>
    </row>
    <row r="3154" spans="15:30">
      <c r="O3154" s="1"/>
      <c r="P3154" s="1"/>
      <c r="Q3154" s="1"/>
      <c r="R3154" s="1"/>
      <c r="Z3154" s="103"/>
      <c r="AA3154" s="103"/>
      <c r="AB3154" s="1"/>
    </row>
    <row r="3155" spans="15:30">
      <c r="O3155" s="1"/>
      <c r="P3155" s="1"/>
      <c r="Q3155" s="1"/>
      <c r="R3155" s="1"/>
      <c r="Z3155" s="103"/>
      <c r="AA3155" s="103"/>
      <c r="AB3155" s="1"/>
    </row>
    <row r="3156" spans="15:30">
      <c r="O3156" s="1"/>
      <c r="P3156" s="1"/>
      <c r="Q3156" s="1"/>
      <c r="R3156" s="1"/>
      <c r="Z3156" s="103"/>
      <c r="AA3156" s="103"/>
      <c r="AB3156" s="1"/>
    </row>
    <row r="3157" spans="15:30">
      <c r="O3157" s="1"/>
      <c r="P3157" s="1"/>
      <c r="Q3157" s="1"/>
      <c r="R3157" s="1"/>
      <c r="Z3157" s="103"/>
      <c r="AA3157" s="103"/>
      <c r="AB3157" s="1"/>
    </row>
    <row r="3158" spans="15:30">
      <c r="O3158" s="1"/>
      <c r="P3158" s="1"/>
      <c r="Q3158" s="1"/>
      <c r="R3158" s="1"/>
      <c r="Z3158" s="103"/>
      <c r="AA3158" s="103"/>
      <c r="AB3158" s="1"/>
    </row>
    <row r="3159" spans="15:30">
      <c r="O3159" s="1"/>
      <c r="P3159" s="1"/>
      <c r="Q3159" s="1"/>
      <c r="R3159" s="1"/>
      <c r="Z3159" s="103"/>
      <c r="AA3159" s="103"/>
      <c r="AB3159" s="1"/>
    </row>
    <row r="3160" spans="15:30">
      <c r="O3160" s="1"/>
      <c r="P3160" s="1"/>
      <c r="Q3160" s="1"/>
      <c r="R3160" s="1"/>
      <c r="Z3160" s="103"/>
      <c r="AA3160" s="103"/>
      <c r="AB3160" s="1"/>
      <c r="AD3160" s="102"/>
    </row>
    <row r="3161" spans="15:30">
      <c r="O3161" s="1"/>
      <c r="P3161" s="1"/>
      <c r="Q3161" s="1"/>
      <c r="R3161" s="1"/>
      <c r="Z3161" s="103"/>
      <c r="AA3161" s="103"/>
      <c r="AB3161" s="1"/>
    </row>
    <row r="3162" spans="15:30">
      <c r="O3162" s="1"/>
      <c r="P3162" s="1"/>
      <c r="Q3162" s="1"/>
      <c r="R3162" s="1"/>
      <c r="Z3162" s="103"/>
      <c r="AA3162" s="103"/>
      <c r="AB3162" s="1"/>
    </row>
    <row r="3163" spans="15:30">
      <c r="O3163" s="1"/>
      <c r="P3163" s="1"/>
      <c r="Q3163" s="1"/>
      <c r="R3163" s="1"/>
      <c r="Z3163" s="103"/>
      <c r="AA3163" s="103"/>
      <c r="AB3163" s="1"/>
    </row>
    <row r="3164" spans="15:30">
      <c r="O3164" s="1"/>
      <c r="P3164" s="1"/>
      <c r="Q3164" s="1"/>
      <c r="R3164" s="1"/>
      <c r="Z3164" s="103"/>
      <c r="AA3164" s="103"/>
      <c r="AB3164" s="1"/>
    </row>
    <row r="3165" spans="15:30">
      <c r="O3165" s="1"/>
      <c r="P3165" s="1"/>
      <c r="Q3165" s="1"/>
      <c r="R3165" s="1"/>
      <c r="Z3165" s="103"/>
      <c r="AA3165" s="103"/>
      <c r="AB3165" s="1"/>
    </row>
    <row r="3166" spans="15:30">
      <c r="O3166" s="1"/>
      <c r="P3166" s="1"/>
      <c r="Q3166" s="1"/>
      <c r="R3166" s="1"/>
      <c r="Z3166" s="103"/>
      <c r="AA3166" s="103"/>
      <c r="AB3166" s="1"/>
    </row>
    <row r="3167" spans="15:30">
      <c r="O3167" s="1"/>
      <c r="P3167" s="1"/>
      <c r="Q3167" s="1"/>
      <c r="R3167" s="1"/>
      <c r="Z3167" s="103"/>
      <c r="AA3167" s="103"/>
      <c r="AB3167" s="1"/>
    </row>
    <row r="3168" spans="15:30">
      <c r="O3168" s="1"/>
      <c r="P3168" s="1"/>
      <c r="Q3168" s="1"/>
      <c r="R3168" s="1"/>
      <c r="Z3168" s="103"/>
      <c r="AA3168" s="103"/>
      <c r="AB3168" s="1"/>
    </row>
    <row r="3169" spans="15:28">
      <c r="O3169" s="1"/>
      <c r="P3169" s="1"/>
      <c r="Q3169" s="1"/>
      <c r="R3169" s="1"/>
      <c r="Z3169" s="103"/>
      <c r="AA3169" s="103"/>
      <c r="AB3169" s="1"/>
    </row>
    <row r="3170" spans="15:28">
      <c r="O3170" s="1"/>
      <c r="P3170" s="1"/>
      <c r="Q3170" s="1"/>
      <c r="R3170" s="1"/>
      <c r="Z3170" s="103"/>
      <c r="AA3170" s="103"/>
      <c r="AB3170" s="1"/>
    </row>
    <row r="3171" spans="15:28">
      <c r="O3171" s="1"/>
      <c r="P3171" s="1"/>
      <c r="Q3171" s="1"/>
      <c r="R3171" s="1"/>
      <c r="Z3171" s="103"/>
      <c r="AA3171" s="103"/>
      <c r="AB3171" s="1"/>
    </row>
    <row r="3172" spans="15:28">
      <c r="O3172" s="1"/>
      <c r="P3172" s="1"/>
      <c r="Q3172" s="1"/>
      <c r="R3172" s="1"/>
      <c r="Z3172" s="103"/>
      <c r="AA3172" s="103"/>
      <c r="AB3172" s="1"/>
    </row>
    <row r="3173" spans="15:28">
      <c r="O3173" s="1"/>
      <c r="P3173" s="1"/>
      <c r="Q3173" s="1"/>
      <c r="R3173" s="1"/>
      <c r="Z3173" s="103"/>
      <c r="AA3173" s="103"/>
      <c r="AB3173" s="1"/>
    </row>
    <row r="3174" spans="15:28">
      <c r="O3174" s="1"/>
      <c r="P3174" s="1"/>
      <c r="Q3174" s="1"/>
      <c r="R3174" s="1"/>
      <c r="Z3174" s="103"/>
      <c r="AA3174" s="103"/>
      <c r="AB3174" s="1"/>
    </row>
    <row r="3175" spans="15:28">
      <c r="O3175" s="1"/>
      <c r="P3175" s="1"/>
      <c r="Q3175" s="1"/>
      <c r="R3175" s="1"/>
      <c r="Z3175" s="103"/>
      <c r="AA3175" s="103"/>
      <c r="AB3175" s="1"/>
    </row>
    <row r="3176" spans="15:28">
      <c r="O3176" s="1"/>
      <c r="P3176" s="1"/>
      <c r="Q3176" s="1"/>
      <c r="R3176" s="1"/>
      <c r="Z3176" s="103"/>
      <c r="AA3176" s="103"/>
      <c r="AB3176" s="1"/>
    </row>
    <row r="3177" spans="15:28">
      <c r="O3177" s="1"/>
      <c r="P3177" s="1"/>
      <c r="Q3177" s="1"/>
      <c r="R3177" s="1"/>
      <c r="Z3177" s="103"/>
      <c r="AA3177" s="103"/>
      <c r="AB3177" s="1"/>
    </row>
    <row r="3178" spans="15:28">
      <c r="O3178" s="1"/>
      <c r="P3178" s="1"/>
      <c r="Q3178" s="1"/>
      <c r="R3178" s="1"/>
      <c r="Z3178" s="103"/>
      <c r="AA3178" s="103"/>
      <c r="AB3178" s="1"/>
    </row>
    <row r="3179" spans="15:28">
      <c r="O3179" s="1"/>
      <c r="P3179" s="1"/>
      <c r="Q3179" s="1"/>
      <c r="R3179" s="1"/>
      <c r="Z3179" s="103"/>
      <c r="AA3179" s="103"/>
      <c r="AB3179" s="1"/>
    </row>
    <row r="3180" spans="15:28">
      <c r="O3180" s="1"/>
      <c r="P3180" s="1"/>
      <c r="Q3180" s="1"/>
      <c r="R3180" s="1"/>
      <c r="Z3180" s="103"/>
      <c r="AA3180" s="103"/>
      <c r="AB3180" s="1"/>
    </row>
    <row r="3181" spans="15:28">
      <c r="O3181" s="1"/>
      <c r="P3181" s="1"/>
      <c r="Q3181" s="1"/>
      <c r="R3181" s="1"/>
      <c r="Z3181" s="103"/>
      <c r="AA3181" s="103"/>
      <c r="AB3181" s="1"/>
    </row>
    <row r="3182" spans="15:28">
      <c r="O3182" s="1"/>
      <c r="P3182" s="1"/>
      <c r="Q3182" s="1"/>
      <c r="R3182" s="1"/>
      <c r="Z3182" s="103"/>
      <c r="AA3182" s="103"/>
      <c r="AB3182" s="1"/>
    </row>
    <row r="3183" spans="15:28">
      <c r="O3183" s="1"/>
      <c r="P3183" s="1"/>
      <c r="Q3183" s="1"/>
      <c r="R3183" s="1"/>
      <c r="Z3183" s="103"/>
      <c r="AA3183" s="103"/>
      <c r="AB3183" s="1"/>
    </row>
    <row r="3184" spans="15:28">
      <c r="O3184" s="1"/>
      <c r="P3184" s="1"/>
      <c r="Q3184" s="1"/>
      <c r="R3184" s="1"/>
      <c r="Z3184" s="103"/>
      <c r="AA3184" s="103"/>
      <c r="AB3184" s="1"/>
    </row>
    <row r="3185" spans="15:30">
      <c r="O3185" s="1"/>
      <c r="P3185" s="1"/>
      <c r="Q3185" s="1"/>
      <c r="R3185" s="1"/>
      <c r="Z3185" s="103"/>
      <c r="AA3185" s="103"/>
      <c r="AB3185" s="1"/>
    </row>
    <row r="3186" spans="15:30">
      <c r="O3186" s="1"/>
      <c r="P3186" s="1"/>
      <c r="Q3186" s="1"/>
      <c r="R3186" s="1"/>
      <c r="Z3186" s="103"/>
      <c r="AA3186" s="103"/>
      <c r="AB3186" s="1"/>
    </row>
    <row r="3187" spans="15:30">
      <c r="O3187" s="1"/>
      <c r="P3187" s="1"/>
      <c r="Q3187" s="1"/>
      <c r="R3187" s="1"/>
      <c r="Z3187" s="103"/>
      <c r="AA3187" s="103"/>
      <c r="AB3187" s="1"/>
    </row>
    <row r="3188" spans="15:30">
      <c r="O3188" s="1"/>
      <c r="P3188" s="1"/>
      <c r="Q3188" s="1"/>
      <c r="R3188" s="1"/>
      <c r="Z3188" s="103"/>
      <c r="AA3188" s="103"/>
      <c r="AB3188" s="1"/>
    </row>
    <row r="3189" spans="15:30">
      <c r="O3189" s="1"/>
      <c r="P3189" s="1"/>
      <c r="Q3189" s="1"/>
      <c r="R3189" s="1"/>
      <c r="Z3189" s="103"/>
      <c r="AA3189" s="103"/>
      <c r="AB3189" s="1"/>
    </row>
    <row r="3190" spans="15:30">
      <c r="O3190" s="1"/>
      <c r="P3190" s="1"/>
      <c r="Q3190" s="1"/>
      <c r="R3190" s="1"/>
      <c r="Z3190" s="103"/>
      <c r="AA3190" s="103"/>
      <c r="AB3190" s="1"/>
      <c r="AD3190" s="102"/>
    </row>
    <row r="3191" spans="15:30">
      <c r="O3191" s="1"/>
      <c r="P3191" s="1"/>
      <c r="Q3191" s="1"/>
      <c r="R3191" s="1"/>
      <c r="Z3191" s="103"/>
      <c r="AA3191" s="103"/>
      <c r="AB3191" s="1"/>
    </row>
    <row r="3192" spans="15:30">
      <c r="O3192" s="1"/>
      <c r="P3192" s="1"/>
      <c r="Q3192" s="1"/>
      <c r="R3192" s="1"/>
      <c r="Z3192" s="103"/>
      <c r="AA3192" s="103"/>
      <c r="AB3192" s="1"/>
    </row>
    <row r="3193" spans="15:30">
      <c r="O3193" s="1"/>
      <c r="P3193" s="1"/>
      <c r="Q3193" s="1"/>
      <c r="R3193" s="1"/>
      <c r="Z3193" s="103"/>
      <c r="AA3193" s="103"/>
      <c r="AB3193" s="1"/>
    </row>
    <row r="3194" spans="15:30">
      <c r="O3194" s="1"/>
      <c r="P3194" s="1"/>
      <c r="Q3194" s="1"/>
      <c r="R3194" s="1"/>
      <c r="Z3194" s="103"/>
      <c r="AA3194" s="103"/>
      <c r="AB3194" s="1"/>
    </row>
    <row r="3195" spans="15:30">
      <c r="O3195" s="1"/>
      <c r="P3195" s="1"/>
      <c r="Q3195" s="1"/>
      <c r="R3195" s="1"/>
      <c r="Z3195" s="103"/>
      <c r="AA3195" s="103"/>
      <c r="AB3195" s="1"/>
    </row>
    <row r="3196" spans="15:30">
      <c r="O3196" s="1"/>
      <c r="P3196" s="1"/>
      <c r="Q3196" s="1"/>
      <c r="R3196" s="1"/>
      <c r="Z3196" s="103"/>
      <c r="AA3196" s="103"/>
      <c r="AB3196" s="1"/>
    </row>
    <row r="3197" spans="15:30">
      <c r="O3197" s="1"/>
      <c r="P3197" s="1"/>
      <c r="Q3197" s="1"/>
      <c r="R3197" s="1"/>
      <c r="Z3197" s="103"/>
      <c r="AA3197" s="103"/>
      <c r="AB3197" s="1"/>
    </row>
    <row r="3198" spans="15:30">
      <c r="O3198" s="1"/>
      <c r="P3198" s="1"/>
      <c r="Q3198" s="1"/>
      <c r="R3198" s="1"/>
      <c r="Z3198" s="103"/>
      <c r="AA3198" s="103"/>
      <c r="AB3198" s="1"/>
      <c r="AD3198" s="102"/>
    </row>
    <row r="3199" spans="15:30">
      <c r="O3199" s="1"/>
      <c r="P3199" s="1"/>
      <c r="Q3199" s="1"/>
      <c r="R3199" s="1"/>
      <c r="Z3199" s="103"/>
      <c r="AA3199" s="103"/>
      <c r="AB3199" s="1"/>
    </row>
    <row r="3200" spans="15:30">
      <c r="O3200" s="1"/>
      <c r="P3200" s="1"/>
      <c r="Q3200" s="1"/>
      <c r="R3200" s="1"/>
      <c r="Z3200" s="103"/>
      <c r="AA3200" s="103"/>
      <c r="AB3200" s="1"/>
    </row>
    <row r="3201" spans="15:28">
      <c r="O3201" s="1"/>
      <c r="P3201" s="1"/>
      <c r="Q3201" s="1"/>
      <c r="R3201" s="1"/>
      <c r="Z3201" s="103"/>
      <c r="AA3201" s="103"/>
      <c r="AB3201" s="1"/>
    </row>
    <row r="3202" spans="15:28">
      <c r="O3202" s="1"/>
      <c r="P3202" s="1"/>
      <c r="Q3202" s="1"/>
      <c r="R3202" s="1"/>
      <c r="Z3202" s="103"/>
      <c r="AA3202" s="103"/>
      <c r="AB3202" s="1"/>
    </row>
    <row r="3203" spans="15:28">
      <c r="O3203" s="1"/>
      <c r="P3203" s="1"/>
      <c r="Q3203" s="1"/>
      <c r="R3203" s="1"/>
      <c r="Z3203" s="103"/>
      <c r="AA3203" s="103"/>
      <c r="AB3203" s="1"/>
    </row>
    <row r="3204" spans="15:28">
      <c r="O3204" s="1"/>
      <c r="P3204" s="1"/>
      <c r="Q3204" s="1"/>
      <c r="R3204" s="1"/>
      <c r="Z3204" s="103"/>
      <c r="AA3204" s="103"/>
      <c r="AB3204" s="1"/>
    </row>
    <row r="3205" spans="15:28">
      <c r="O3205" s="1"/>
      <c r="P3205" s="1"/>
      <c r="Q3205" s="1"/>
      <c r="R3205" s="1"/>
      <c r="Z3205" s="103"/>
      <c r="AA3205" s="103"/>
      <c r="AB3205" s="1"/>
    </row>
    <row r="3206" spans="15:28">
      <c r="O3206" s="1"/>
      <c r="P3206" s="1"/>
      <c r="Q3206" s="1"/>
      <c r="R3206" s="1"/>
      <c r="Z3206" s="103"/>
      <c r="AA3206" s="103"/>
      <c r="AB3206" s="1"/>
    </row>
    <row r="3207" spans="15:28">
      <c r="O3207" s="1"/>
      <c r="P3207" s="1"/>
      <c r="Q3207" s="1"/>
      <c r="R3207" s="1"/>
      <c r="Z3207" s="103"/>
      <c r="AA3207" s="103"/>
      <c r="AB3207" s="1"/>
    </row>
    <row r="3208" spans="15:28">
      <c r="O3208" s="1"/>
      <c r="P3208" s="1"/>
      <c r="Q3208" s="1"/>
      <c r="R3208" s="1"/>
      <c r="Z3208" s="103"/>
      <c r="AA3208" s="103"/>
      <c r="AB3208" s="1"/>
    </row>
    <row r="3209" spans="15:28">
      <c r="O3209" s="1"/>
      <c r="P3209" s="1"/>
      <c r="Q3209" s="1"/>
      <c r="R3209" s="1"/>
      <c r="Z3209" s="103"/>
      <c r="AA3209" s="103"/>
      <c r="AB3209" s="1"/>
    </row>
    <row r="3210" spans="15:28">
      <c r="O3210" s="1"/>
      <c r="P3210" s="1"/>
      <c r="Q3210" s="1"/>
      <c r="R3210" s="1"/>
      <c r="Z3210" s="103"/>
      <c r="AA3210" s="103"/>
      <c r="AB3210" s="1"/>
    </row>
    <row r="3211" spans="15:28">
      <c r="O3211" s="1"/>
      <c r="P3211" s="1"/>
      <c r="Q3211" s="1"/>
      <c r="R3211" s="1"/>
      <c r="Z3211" s="103"/>
      <c r="AA3211" s="103"/>
      <c r="AB3211" s="1"/>
    </row>
    <row r="3212" spans="15:28">
      <c r="O3212" s="1"/>
      <c r="P3212" s="1"/>
      <c r="Q3212" s="1"/>
      <c r="R3212" s="1"/>
      <c r="Z3212" s="103"/>
      <c r="AA3212" s="103"/>
      <c r="AB3212" s="1"/>
    </row>
    <row r="3213" spans="15:28">
      <c r="O3213" s="1"/>
      <c r="P3213" s="1"/>
      <c r="Q3213" s="1"/>
      <c r="R3213" s="1"/>
      <c r="Z3213" s="103"/>
      <c r="AA3213" s="103"/>
      <c r="AB3213" s="1"/>
    </row>
    <row r="3214" spans="15:28">
      <c r="O3214" s="1"/>
      <c r="P3214" s="1"/>
      <c r="Q3214" s="1"/>
      <c r="R3214" s="1"/>
      <c r="Z3214" s="103"/>
      <c r="AA3214" s="103"/>
      <c r="AB3214" s="1"/>
    </row>
    <row r="3215" spans="15:28">
      <c r="O3215" s="1"/>
      <c r="P3215" s="1"/>
      <c r="Q3215" s="1"/>
      <c r="R3215" s="1"/>
      <c r="Z3215" s="103"/>
      <c r="AA3215" s="103"/>
      <c r="AB3215" s="1"/>
    </row>
    <row r="3216" spans="15:28">
      <c r="O3216" s="1"/>
      <c r="P3216" s="1"/>
      <c r="Q3216" s="1"/>
      <c r="R3216" s="1"/>
      <c r="Z3216" s="103"/>
      <c r="AA3216" s="103"/>
      <c r="AB3216" s="1"/>
    </row>
    <row r="3217" spans="15:28">
      <c r="O3217" s="1"/>
      <c r="P3217" s="1"/>
      <c r="Q3217" s="1"/>
      <c r="R3217" s="1"/>
      <c r="Z3217" s="103"/>
      <c r="AA3217" s="103"/>
      <c r="AB3217" s="1"/>
    </row>
    <row r="3218" spans="15:28">
      <c r="O3218" s="1"/>
      <c r="P3218" s="1"/>
      <c r="Q3218" s="1"/>
      <c r="R3218" s="1"/>
      <c r="Z3218" s="103"/>
      <c r="AA3218" s="103"/>
      <c r="AB3218" s="1"/>
    </row>
    <row r="3219" spans="15:28">
      <c r="O3219" s="1"/>
      <c r="P3219" s="1"/>
      <c r="Q3219" s="1"/>
      <c r="R3219" s="1"/>
      <c r="Z3219" s="103"/>
      <c r="AA3219" s="103"/>
      <c r="AB3219" s="1"/>
    </row>
    <row r="3220" spans="15:28">
      <c r="O3220" s="1"/>
      <c r="P3220" s="1"/>
      <c r="Q3220" s="1"/>
      <c r="R3220" s="1"/>
      <c r="Z3220" s="103"/>
      <c r="AA3220" s="103"/>
      <c r="AB3220" s="1"/>
    </row>
    <row r="3221" spans="15:28">
      <c r="O3221" s="1"/>
      <c r="P3221" s="1"/>
      <c r="Q3221" s="1"/>
      <c r="R3221" s="1"/>
      <c r="Z3221" s="103"/>
      <c r="AA3221" s="103"/>
      <c r="AB3221" s="1"/>
    </row>
    <row r="3222" spans="15:28">
      <c r="O3222" s="1"/>
      <c r="P3222" s="1"/>
      <c r="Q3222" s="1"/>
      <c r="R3222" s="1"/>
      <c r="Z3222" s="103"/>
      <c r="AA3222" s="103"/>
      <c r="AB3222" s="1"/>
    </row>
    <row r="3223" spans="15:28">
      <c r="O3223" s="1"/>
      <c r="P3223" s="1"/>
      <c r="Q3223" s="1"/>
      <c r="R3223" s="1"/>
      <c r="Z3223" s="103"/>
      <c r="AA3223" s="103"/>
      <c r="AB3223" s="1"/>
    </row>
    <row r="3224" spans="15:28">
      <c r="O3224" s="1"/>
      <c r="P3224" s="1"/>
      <c r="Q3224" s="1"/>
      <c r="R3224" s="1"/>
      <c r="Z3224" s="103"/>
      <c r="AA3224" s="103"/>
      <c r="AB3224" s="1"/>
    </row>
    <row r="3225" spans="15:28">
      <c r="O3225" s="1"/>
      <c r="P3225" s="1"/>
      <c r="Q3225" s="1"/>
      <c r="R3225" s="1"/>
      <c r="Z3225" s="103"/>
      <c r="AA3225" s="103"/>
      <c r="AB3225" s="1"/>
    </row>
    <row r="3226" spans="15:28">
      <c r="O3226" s="1"/>
      <c r="P3226" s="1"/>
      <c r="Q3226" s="1"/>
      <c r="R3226" s="1"/>
      <c r="Z3226" s="103"/>
      <c r="AA3226" s="103"/>
      <c r="AB3226" s="1"/>
    </row>
    <row r="3227" spans="15:28">
      <c r="O3227" s="1"/>
      <c r="P3227" s="1"/>
      <c r="Q3227" s="1"/>
      <c r="R3227" s="1"/>
      <c r="Z3227" s="103"/>
      <c r="AA3227" s="103"/>
      <c r="AB3227" s="1"/>
    </row>
    <row r="3228" spans="15:28">
      <c r="O3228" s="1"/>
      <c r="P3228" s="1"/>
      <c r="Q3228" s="1"/>
      <c r="R3228" s="1"/>
      <c r="Z3228" s="103"/>
      <c r="AA3228" s="103"/>
      <c r="AB3228" s="1"/>
    </row>
    <row r="3229" spans="15:28">
      <c r="O3229" s="1"/>
      <c r="P3229" s="1"/>
      <c r="Q3229" s="1"/>
      <c r="R3229" s="1"/>
      <c r="Z3229" s="103"/>
      <c r="AA3229" s="103"/>
      <c r="AB3229" s="1"/>
    </row>
    <row r="3230" spans="15:28">
      <c r="O3230" s="1"/>
      <c r="P3230" s="1"/>
      <c r="Q3230" s="1"/>
      <c r="R3230" s="1"/>
      <c r="Z3230" s="103"/>
      <c r="AA3230" s="103"/>
      <c r="AB3230" s="1"/>
    </row>
    <row r="3231" spans="15:28">
      <c r="O3231" s="1"/>
      <c r="P3231" s="1"/>
      <c r="Q3231" s="1"/>
      <c r="R3231" s="1"/>
      <c r="Z3231" s="103"/>
      <c r="AA3231" s="103"/>
      <c r="AB3231" s="1"/>
    </row>
    <row r="3232" spans="15:28">
      <c r="O3232" s="1"/>
      <c r="P3232" s="1"/>
      <c r="Q3232" s="1"/>
      <c r="R3232" s="1"/>
      <c r="Z3232" s="103"/>
      <c r="AA3232" s="103"/>
      <c r="AB3232" s="1"/>
    </row>
    <row r="3233" spans="15:30">
      <c r="O3233" s="1"/>
      <c r="P3233" s="1"/>
      <c r="Q3233" s="1"/>
      <c r="R3233" s="1"/>
      <c r="Z3233" s="103"/>
      <c r="AA3233" s="103"/>
      <c r="AB3233" s="1"/>
    </row>
    <row r="3234" spans="15:30">
      <c r="O3234" s="1"/>
      <c r="P3234" s="1"/>
      <c r="Q3234" s="1"/>
      <c r="R3234" s="1"/>
      <c r="Z3234" s="103"/>
      <c r="AA3234" s="103"/>
      <c r="AB3234" s="1"/>
    </row>
    <row r="3235" spans="15:30">
      <c r="O3235" s="1"/>
      <c r="P3235" s="1"/>
      <c r="Q3235" s="1"/>
      <c r="R3235" s="1"/>
      <c r="Z3235" s="103"/>
      <c r="AA3235" s="103"/>
      <c r="AB3235" s="1"/>
    </row>
    <row r="3236" spans="15:30">
      <c r="O3236" s="1"/>
      <c r="P3236" s="1"/>
      <c r="Q3236" s="1"/>
      <c r="R3236" s="1"/>
      <c r="Z3236" s="103"/>
      <c r="AA3236" s="103"/>
      <c r="AB3236" s="1"/>
    </row>
    <row r="3237" spans="15:30">
      <c r="O3237" s="1"/>
      <c r="P3237" s="1"/>
      <c r="Q3237" s="1"/>
      <c r="R3237" s="1"/>
      <c r="Z3237" s="103"/>
      <c r="AA3237" s="103"/>
      <c r="AB3237" s="1"/>
    </row>
    <row r="3238" spans="15:30">
      <c r="O3238" s="1"/>
      <c r="P3238" s="1"/>
      <c r="Q3238" s="1"/>
      <c r="R3238" s="1"/>
      <c r="Z3238" s="103"/>
      <c r="AA3238" s="103"/>
      <c r="AB3238" s="1"/>
    </row>
    <row r="3239" spans="15:30">
      <c r="O3239" s="1"/>
      <c r="P3239" s="1"/>
      <c r="Q3239" s="1"/>
      <c r="R3239" s="1"/>
      <c r="Z3239" s="103"/>
      <c r="AA3239" s="103"/>
      <c r="AB3239" s="1"/>
    </row>
    <row r="3240" spans="15:30">
      <c r="O3240" s="1"/>
      <c r="P3240" s="1"/>
      <c r="Q3240" s="1"/>
      <c r="R3240" s="1"/>
      <c r="Z3240" s="103"/>
      <c r="AA3240" s="103"/>
      <c r="AB3240" s="1"/>
    </row>
    <row r="3241" spans="15:30">
      <c r="O3241" s="1"/>
      <c r="P3241" s="1"/>
      <c r="Q3241" s="1"/>
      <c r="R3241" s="1"/>
      <c r="Z3241" s="103"/>
      <c r="AA3241" s="103"/>
      <c r="AB3241" s="1"/>
    </row>
    <row r="3242" spans="15:30">
      <c r="O3242" s="1"/>
      <c r="P3242" s="1"/>
      <c r="Q3242" s="1"/>
      <c r="R3242" s="1"/>
      <c r="Z3242" s="103"/>
      <c r="AA3242" s="103"/>
      <c r="AB3242" s="1"/>
    </row>
    <row r="3243" spans="15:30">
      <c r="O3243" s="1"/>
      <c r="P3243" s="1"/>
      <c r="Q3243" s="1"/>
      <c r="R3243" s="1"/>
      <c r="Z3243" s="103"/>
      <c r="AA3243" s="103"/>
      <c r="AB3243" s="1"/>
    </row>
    <row r="3244" spans="15:30">
      <c r="O3244" s="1"/>
      <c r="P3244" s="1"/>
      <c r="Q3244" s="1"/>
      <c r="R3244" s="1"/>
      <c r="Z3244" s="103"/>
      <c r="AA3244" s="103"/>
      <c r="AB3244" s="1"/>
    </row>
    <row r="3245" spans="15:30">
      <c r="O3245" s="1"/>
      <c r="P3245" s="1"/>
      <c r="Q3245" s="1"/>
      <c r="R3245" s="1"/>
      <c r="Z3245" s="103"/>
      <c r="AA3245" s="103"/>
      <c r="AB3245" s="1"/>
    </row>
    <row r="3246" spans="15:30">
      <c r="O3246" s="1"/>
      <c r="P3246" s="1"/>
      <c r="Q3246" s="1"/>
      <c r="R3246" s="1"/>
      <c r="Z3246" s="103"/>
      <c r="AA3246" s="103"/>
      <c r="AB3246" s="1"/>
      <c r="AD3246" s="102"/>
    </row>
    <row r="3247" spans="15:30">
      <c r="O3247" s="1"/>
      <c r="P3247" s="1"/>
      <c r="Q3247" s="1"/>
      <c r="R3247" s="1"/>
      <c r="Z3247" s="103"/>
      <c r="AA3247" s="103"/>
      <c r="AB3247" s="1"/>
    </row>
    <row r="3248" spans="15:30">
      <c r="O3248" s="1"/>
      <c r="P3248" s="1"/>
      <c r="Q3248" s="1"/>
      <c r="R3248" s="1"/>
      <c r="Z3248" s="103"/>
      <c r="AA3248" s="103"/>
      <c r="AB3248" s="1"/>
    </row>
    <row r="3249" spans="15:30">
      <c r="O3249" s="1"/>
      <c r="P3249" s="1"/>
      <c r="Q3249" s="1"/>
      <c r="R3249" s="1"/>
      <c r="Z3249" s="103"/>
      <c r="AA3249" s="103"/>
      <c r="AB3249" s="1"/>
    </row>
    <row r="3250" spans="15:30">
      <c r="O3250" s="1"/>
      <c r="P3250" s="1"/>
      <c r="Q3250" s="1"/>
      <c r="R3250" s="1"/>
      <c r="Z3250" s="103"/>
      <c r="AA3250" s="103"/>
      <c r="AB3250" s="1"/>
    </row>
    <row r="3251" spans="15:30">
      <c r="O3251" s="1"/>
      <c r="P3251" s="1"/>
      <c r="Q3251" s="1"/>
      <c r="R3251" s="1"/>
      <c r="Z3251" s="103"/>
      <c r="AA3251" s="103"/>
      <c r="AB3251" s="1"/>
    </row>
    <row r="3252" spans="15:30">
      <c r="O3252" s="1"/>
      <c r="P3252" s="1"/>
      <c r="Q3252" s="1"/>
      <c r="R3252" s="1"/>
      <c r="Z3252" s="103"/>
      <c r="AA3252" s="103"/>
      <c r="AB3252" s="1"/>
    </row>
    <row r="3253" spans="15:30">
      <c r="O3253" s="1"/>
      <c r="P3253" s="1"/>
      <c r="Q3253" s="1"/>
      <c r="R3253" s="1"/>
      <c r="Z3253" s="103"/>
      <c r="AA3253" s="103"/>
      <c r="AB3253" s="1"/>
    </row>
    <row r="3254" spans="15:30">
      <c r="O3254" s="1"/>
      <c r="P3254" s="1"/>
      <c r="Q3254" s="1"/>
      <c r="R3254" s="1"/>
      <c r="Z3254" s="103"/>
      <c r="AA3254" s="103"/>
      <c r="AB3254" s="1"/>
    </row>
    <row r="3255" spans="15:30">
      <c r="O3255" s="1"/>
      <c r="P3255" s="1"/>
      <c r="Q3255" s="1"/>
      <c r="R3255" s="1"/>
      <c r="Z3255" s="103"/>
      <c r="AA3255" s="103"/>
      <c r="AB3255" s="1"/>
    </row>
    <row r="3256" spans="15:30">
      <c r="O3256" s="1"/>
      <c r="P3256" s="1"/>
      <c r="Q3256" s="1"/>
      <c r="R3256" s="1"/>
      <c r="Z3256" s="103"/>
      <c r="AA3256" s="103"/>
      <c r="AB3256" s="1"/>
    </row>
    <row r="3257" spans="15:30">
      <c r="O3257" s="1"/>
      <c r="P3257" s="1"/>
      <c r="Q3257" s="1"/>
      <c r="R3257" s="1"/>
      <c r="Z3257" s="103"/>
      <c r="AA3257" s="103"/>
      <c r="AB3257" s="1"/>
    </row>
    <row r="3258" spans="15:30">
      <c r="O3258" s="1"/>
      <c r="P3258" s="1"/>
      <c r="Q3258" s="1"/>
      <c r="R3258" s="1"/>
      <c r="Z3258" s="103"/>
      <c r="AA3258" s="103"/>
      <c r="AB3258" s="1"/>
      <c r="AD3258" s="102"/>
    </row>
    <row r="3259" spans="15:30">
      <c r="O3259" s="1"/>
      <c r="P3259" s="1"/>
      <c r="Q3259" s="1"/>
      <c r="R3259" s="1"/>
      <c r="Z3259" s="103"/>
      <c r="AA3259" s="103"/>
      <c r="AB3259" s="1"/>
    </row>
    <row r="3260" spans="15:30">
      <c r="O3260" s="1"/>
      <c r="P3260" s="1"/>
      <c r="Q3260" s="1"/>
      <c r="R3260" s="1"/>
      <c r="Z3260" s="103"/>
      <c r="AA3260" s="103"/>
      <c r="AB3260" s="1"/>
    </row>
    <row r="3261" spans="15:30">
      <c r="O3261" s="1"/>
      <c r="P3261" s="1"/>
      <c r="Q3261" s="1"/>
      <c r="R3261" s="1"/>
      <c r="Z3261" s="103"/>
      <c r="AA3261" s="103"/>
      <c r="AB3261" s="1"/>
    </row>
    <row r="3262" spans="15:30">
      <c r="O3262" s="1"/>
      <c r="P3262" s="1"/>
      <c r="Q3262" s="1"/>
      <c r="R3262" s="1"/>
      <c r="Z3262" s="103"/>
      <c r="AA3262" s="103"/>
      <c r="AB3262" s="1"/>
    </row>
    <row r="3263" spans="15:30">
      <c r="O3263" s="1"/>
      <c r="P3263" s="1"/>
      <c r="Q3263" s="1"/>
      <c r="R3263" s="1"/>
      <c r="Z3263" s="103"/>
      <c r="AA3263" s="103"/>
      <c r="AB3263" s="1"/>
    </row>
    <row r="3264" spans="15:30">
      <c r="O3264" s="1"/>
      <c r="P3264" s="1"/>
      <c r="Q3264" s="1"/>
      <c r="R3264" s="1"/>
      <c r="Z3264" s="103"/>
      <c r="AA3264" s="103"/>
      <c r="AB3264" s="1"/>
    </row>
    <row r="3265" spans="15:28">
      <c r="O3265" s="1"/>
      <c r="P3265" s="1"/>
      <c r="Q3265" s="1"/>
      <c r="R3265" s="1"/>
      <c r="Z3265" s="103"/>
      <c r="AA3265" s="103"/>
      <c r="AB3265" s="1"/>
    </row>
    <row r="3266" spans="15:28">
      <c r="O3266" s="1"/>
      <c r="P3266" s="1"/>
      <c r="Q3266" s="1"/>
      <c r="R3266" s="1"/>
      <c r="Z3266" s="103"/>
      <c r="AA3266" s="103"/>
      <c r="AB3266" s="1"/>
    </row>
    <row r="3267" spans="15:28">
      <c r="O3267" s="1"/>
      <c r="P3267" s="1"/>
      <c r="Q3267" s="1"/>
      <c r="R3267" s="1"/>
      <c r="Z3267" s="103"/>
      <c r="AA3267" s="103"/>
      <c r="AB3267" s="1"/>
    </row>
    <row r="3268" spans="15:28">
      <c r="O3268" s="1"/>
      <c r="P3268" s="1"/>
      <c r="Q3268" s="1"/>
      <c r="R3268" s="1"/>
      <c r="Z3268" s="103"/>
      <c r="AA3268" s="103"/>
      <c r="AB3268" s="1"/>
    </row>
    <row r="3269" spans="15:28">
      <c r="O3269" s="1"/>
      <c r="P3269" s="1"/>
      <c r="Q3269" s="1"/>
      <c r="R3269" s="1"/>
      <c r="Z3269" s="103"/>
      <c r="AA3269" s="103"/>
      <c r="AB3269" s="1"/>
    </row>
    <row r="3270" spans="15:28">
      <c r="O3270" s="1"/>
      <c r="P3270" s="1"/>
      <c r="Q3270" s="1"/>
      <c r="R3270" s="1"/>
      <c r="Z3270" s="103"/>
      <c r="AA3270" s="103"/>
      <c r="AB3270" s="1"/>
    </row>
    <row r="3271" spans="15:28">
      <c r="O3271" s="1"/>
      <c r="P3271" s="1"/>
      <c r="Q3271" s="1"/>
      <c r="R3271" s="1"/>
      <c r="Z3271" s="103"/>
      <c r="AA3271" s="103"/>
      <c r="AB3271" s="1"/>
    </row>
    <row r="3272" spans="15:28">
      <c r="O3272" s="1"/>
      <c r="P3272" s="1"/>
      <c r="Q3272" s="1"/>
      <c r="R3272" s="1"/>
      <c r="Z3272" s="103"/>
      <c r="AA3272" s="103"/>
      <c r="AB3272" s="1"/>
    </row>
    <row r="3273" spans="15:28">
      <c r="O3273" s="1"/>
      <c r="P3273" s="1"/>
      <c r="Q3273" s="1"/>
      <c r="R3273" s="1"/>
      <c r="Z3273" s="103"/>
      <c r="AA3273" s="103"/>
      <c r="AB3273" s="1"/>
    </row>
    <row r="3274" spans="15:28">
      <c r="O3274" s="1"/>
      <c r="P3274" s="1"/>
      <c r="Q3274" s="1"/>
      <c r="R3274" s="1"/>
      <c r="Z3274" s="103"/>
      <c r="AA3274" s="103"/>
      <c r="AB3274" s="1"/>
    </row>
    <row r="3275" spans="15:28">
      <c r="O3275" s="1"/>
      <c r="P3275" s="1"/>
      <c r="Q3275" s="1"/>
      <c r="R3275" s="1"/>
      <c r="Z3275" s="103"/>
      <c r="AA3275" s="103"/>
      <c r="AB3275" s="1"/>
    </row>
    <row r="3276" spans="15:28">
      <c r="O3276" s="1"/>
      <c r="P3276" s="1"/>
      <c r="Q3276" s="1"/>
      <c r="R3276" s="1"/>
      <c r="Z3276" s="103"/>
      <c r="AA3276" s="103"/>
      <c r="AB3276" s="1"/>
    </row>
    <row r="3277" spans="15:28">
      <c r="O3277" s="1"/>
      <c r="P3277" s="1"/>
      <c r="Q3277" s="1"/>
      <c r="R3277" s="1"/>
      <c r="Z3277" s="103"/>
      <c r="AA3277" s="103"/>
      <c r="AB3277" s="1"/>
    </row>
    <row r="3278" spans="15:28">
      <c r="O3278" s="1"/>
      <c r="P3278" s="1"/>
      <c r="Q3278" s="1"/>
      <c r="R3278" s="1"/>
      <c r="Z3278" s="103"/>
      <c r="AA3278" s="103"/>
      <c r="AB3278" s="1"/>
    </row>
    <row r="3279" spans="15:28">
      <c r="O3279" s="1"/>
      <c r="P3279" s="1"/>
      <c r="Q3279" s="1"/>
      <c r="R3279" s="1"/>
      <c r="Z3279" s="103"/>
      <c r="AA3279" s="103"/>
      <c r="AB3279" s="1"/>
    </row>
    <row r="3280" spans="15:28">
      <c r="O3280" s="1"/>
      <c r="P3280" s="1"/>
      <c r="Q3280" s="1"/>
      <c r="R3280" s="1"/>
      <c r="Z3280" s="103"/>
      <c r="AA3280" s="103"/>
      <c r="AB3280" s="1"/>
    </row>
    <row r="3281" spans="15:28">
      <c r="O3281" s="1"/>
      <c r="P3281" s="1"/>
      <c r="Q3281" s="1"/>
      <c r="R3281" s="1"/>
      <c r="Z3281" s="103"/>
      <c r="AA3281" s="103"/>
      <c r="AB3281" s="1"/>
    </row>
    <row r="3282" spans="15:28">
      <c r="O3282" s="1"/>
      <c r="P3282" s="1"/>
      <c r="Q3282" s="1"/>
      <c r="R3282" s="1"/>
      <c r="Z3282" s="103"/>
      <c r="AA3282" s="103"/>
      <c r="AB3282" s="1"/>
    </row>
    <row r="3283" spans="15:28">
      <c r="O3283" s="1"/>
      <c r="P3283" s="1"/>
      <c r="Q3283" s="1"/>
      <c r="R3283" s="1"/>
      <c r="Z3283" s="103"/>
      <c r="AA3283" s="103"/>
      <c r="AB3283" s="1"/>
    </row>
    <row r="3284" spans="15:28">
      <c r="O3284" s="1"/>
      <c r="P3284" s="1"/>
      <c r="Q3284" s="1"/>
      <c r="R3284" s="1"/>
      <c r="Z3284" s="103"/>
      <c r="AA3284" s="103"/>
      <c r="AB3284" s="1"/>
    </row>
    <row r="3285" spans="15:28">
      <c r="O3285" s="1"/>
      <c r="P3285" s="1"/>
      <c r="Q3285" s="1"/>
      <c r="R3285" s="1"/>
      <c r="Z3285" s="103"/>
      <c r="AA3285" s="103"/>
      <c r="AB3285" s="1"/>
    </row>
    <row r="3286" spans="15:28">
      <c r="O3286" s="1"/>
      <c r="P3286" s="1"/>
      <c r="Q3286" s="1"/>
      <c r="R3286" s="1"/>
      <c r="Z3286" s="103"/>
      <c r="AA3286" s="103"/>
      <c r="AB3286" s="1"/>
    </row>
    <row r="3287" spans="15:28">
      <c r="O3287" s="1"/>
      <c r="P3287" s="1"/>
      <c r="Q3287" s="1"/>
      <c r="R3287" s="1"/>
      <c r="Z3287" s="103"/>
      <c r="AA3287" s="103"/>
      <c r="AB3287" s="1"/>
    </row>
    <row r="3288" spans="15:28">
      <c r="O3288" s="1"/>
      <c r="P3288" s="1"/>
      <c r="Q3288" s="1"/>
      <c r="R3288" s="1"/>
      <c r="Z3288" s="103"/>
      <c r="AA3288" s="103"/>
      <c r="AB3288" s="1"/>
    </row>
    <row r="3289" spans="15:28">
      <c r="O3289" s="1"/>
      <c r="P3289" s="1"/>
      <c r="Q3289" s="1"/>
      <c r="R3289" s="1"/>
      <c r="Z3289" s="103"/>
      <c r="AA3289" s="103"/>
      <c r="AB3289" s="1"/>
    </row>
    <row r="3290" spans="15:28">
      <c r="O3290" s="1"/>
      <c r="P3290" s="1"/>
      <c r="Q3290" s="1"/>
      <c r="R3290" s="1"/>
      <c r="Z3290" s="103"/>
      <c r="AA3290" s="103"/>
      <c r="AB3290" s="1"/>
    </row>
    <row r="3291" spans="15:28">
      <c r="O3291" s="1"/>
      <c r="P3291" s="1"/>
      <c r="Q3291" s="1"/>
      <c r="R3291" s="1"/>
      <c r="Z3291" s="103"/>
      <c r="AA3291" s="103"/>
      <c r="AB3291" s="1"/>
    </row>
    <row r="3292" spans="15:28">
      <c r="O3292" s="1"/>
      <c r="P3292" s="1"/>
      <c r="Q3292" s="1"/>
      <c r="R3292" s="1"/>
      <c r="Z3292" s="103"/>
      <c r="AA3292" s="103"/>
      <c r="AB3292" s="1"/>
    </row>
    <row r="3293" spans="15:28">
      <c r="O3293" s="1"/>
      <c r="P3293" s="1"/>
      <c r="Q3293" s="1"/>
      <c r="R3293" s="1"/>
      <c r="Z3293" s="103"/>
      <c r="AA3293" s="103"/>
      <c r="AB3293" s="1"/>
    </row>
    <row r="3294" spans="15:28">
      <c r="O3294" s="1"/>
      <c r="P3294" s="1"/>
      <c r="Q3294" s="1"/>
      <c r="R3294" s="1"/>
      <c r="Z3294" s="103"/>
      <c r="AA3294" s="103"/>
      <c r="AB3294" s="1"/>
    </row>
    <row r="3295" spans="15:28">
      <c r="O3295" s="1"/>
      <c r="P3295" s="1"/>
      <c r="Q3295" s="1"/>
      <c r="R3295" s="1"/>
      <c r="Z3295" s="103"/>
      <c r="AA3295" s="103"/>
      <c r="AB3295" s="1"/>
    </row>
    <row r="3296" spans="15:28">
      <c r="O3296" s="1"/>
      <c r="P3296" s="1"/>
      <c r="Q3296" s="1"/>
      <c r="R3296" s="1"/>
      <c r="Z3296" s="103"/>
      <c r="AA3296" s="103"/>
      <c r="AB3296" s="1"/>
    </row>
    <row r="3297" spans="15:28">
      <c r="O3297" s="1"/>
      <c r="P3297" s="1"/>
      <c r="Q3297" s="1"/>
      <c r="R3297" s="1"/>
      <c r="Z3297" s="103"/>
      <c r="AA3297" s="103"/>
      <c r="AB3297" s="1"/>
    </row>
    <row r="3298" spans="15:28">
      <c r="O3298" s="1"/>
      <c r="P3298" s="1"/>
      <c r="Q3298" s="1"/>
      <c r="R3298" s="1"/>
      <c r="Z3298" s="103"/>
      <c r="AA3298" s="103"/>
      <c r="AB3298" s="1"/>
    </row>
    <row r="3299" spans="15:28">
      <c r="O3299" s="1"/>
      <c r="P3299" s="1"/>
      <c r="Q3299" s="1"/>
      <c r="R3299" s="1"/>
      <c r="Z3299" s="103"/>
      <c r="AA3299" s="103"/>
      <c r="AB3299" s="1"/>
    </row>
    <row r="3300" spans="15:28">
      <c r="O3300" s="1"/>
      <c r="P3300" s="1"/>
      <c r="Q3300" s="1"/>
      <c r="R3300" s="1"/>
      <c r="Z3300" s="103"/>
      <c r="AA3300" s="103"/>
      <c r="AB3300" s="1"/>
    </row>
    <row r="3301" spans="15:28">
      <c r="O3301" s="1"/>
      <c r="P3301" s="1"/>
      <c r="Q3301" s="1"/>
      <c r="R3301" s="1"/>
      <c r="Z3301" s="103"/>
      <c r="AA3301" s="103"/>
      <c r="AB3301" s="1"/>
    </row>
    <row r="3302" spans="15:28">
      <c r="O3302" s="1"/>
      <c r="P3302" s="1"/>
      <c r="Q3302" s="1"/>
      <c r="R3302" s="1"/>
      <c r="Z3302" s="103"/>
      <c r="AA3302" s="103"/>
      <c r="AB3302" s="1"/>
    </row>
    <row r="3303" spans="15:28">
      <c r="O3303" s="1"/>
      <c r="P3303" s="1"/>
      <c r="Q3303" s="1"/>
      <c r="R3303" s="1"/>
      <c r="Z3303" s="103"/>
      <c r="AA3303" s="103"/>
      <c r="AB3303" s="1"/>
    </row>
    <row r="3304" spans="15:28">
      <c r="O3304" s="1"/>
      <c r="P3304" s="1"/>
      <c r="Q3304" s="1"/>
      <c r="R3304" s="1"/>
      <c r="Z3304" s="103"/>
      <c r="AA3304" s="103"/>
      <c r="AB3304" s="1"/>
    </row>
    <row r="3305" spans="15:28">
      <c r="O3305" s="1"/>
      <c r="P3305" s="1"/>
      <c r="Q3305" s="1"/>
      <c r="R3305" s="1"/>
      <c r="Z3305" s="103"/>
      <c r="AA3305" s="103"/>
      <c r="AB3305" s="1"/>
    </row>
    <row r="3306" spans="15:28">
      <c r="O3306" s="1"/>
      <c r="P3306" s="1"/>
      <c r="Q3306" s="1"/>
      <c r="R3306" s="1"/>
      <c r="Z3306" s="103"/>
      <c r="AA3306" s="103"/>
      <c r="AB3306" s="1"/>
    </row>
    <row r="3307" spans="15:28">
      <c r="O3307" s="1"/>
      <c r="P3307" s="1"/>
      <c r="Q3307" s="1"/>
      <c r="R3307" s="1"/>
      <c r="Z3307" s="103"/>
      <c r="AA3307" s="103"/>
      <c r="AB3307" s="1"/>
    </row>
    <row r="3308" spans="15:28">
      <c r="O3308" s="1"/>
      <c r="P3308" s="1"/>
      <c r="Q3308" s="1"/>
      <c r="R3308" s="1"/>
      <c r="Z3308" s="103"/>
      <c r="AA3308" s="103"/>
      <c r="AB3308" s="1"/>
    </row>
    <row r="3309" spans="15:28">
      <c r="O3309" s="1"/>
      <c r="P3309" s="1"/>
      <c r="Q3309" s="1"/>
      <c r="R3309" s="1"/>
      <c r="Z3309" s="103"/>
      <c r="AA3309" s="103"/>
      <c r="AB3309" s="1"/>
    </row>
    <row r="3310" spans="15:28">
      <c r="O3310" s="1"/>
      <c r="P3310" s="1"/>
      <c r="Q3310" s="1"/>
      <c r="R3310" s="1"/>
      <c r="Z3310" s="103"/>
      <c r="AA3310" s="103"/>
      <c r="AB3310" s="1"/>
    </row>
    <row r="3311" spans="15:28">
      <c r="O3311" s="1"/>
      <c r="P3311" s="1"/>
      <c r="Q3311" s="1"/>
      <c r="R3311" s="1"/>
      <c r="Z3311" s="103"/>
      <c r="AA3311" s="103"/>
      <c r="AB3311" s="1"/>
    </row>
    <row r="3312" spans="15:28">
      <c r="O3312" s="1"/>
      <c r="P3312" s="1"/>
      <c r="Q3312" s="1"/>
      <c r="R3312" s="1"/>
      <c r="Z3312" s="103"/>
      <c r="AA3312" s="103"/>
      <c r="AB3312" s="1"/>
    </row>
    <row r="3313" spans="15:28">
      <c r="O3313" s="1"/>
      <c r="P3313" s="1"/>
      <c r="Q3313" s="1"/>
      <c r="R3313" s="1"/>
      <c r="Z3313" s="103"/>
      <c r="AA3313" s="103"/>
      <c r="AB3313" s="1"/>
    </row>
    <row r="3314" spans="15:28">
      <c r="O3314" s="1"/>
      <c r="P3314" s="1"/>
      <c r="Q3314" s="1"/>
      <c r="R3314" s="1"/>
      <c r="Z3314" s="103"/>
      <c r="AA3314" s="103"/>
      <c r="AB3314" s="1"/>
    </row>
    <row r="3315" spans="15:28">
      <c r="O3315" s="1"/>
      <c r="P3315" s="1"/>
      <c r="Q3315" s="1"/>
      <c r="R3315" s="1"/>
      <c r="Z3315" s="103"/>
      <c r="AA3315" s="103"/>
      <c r="AB3315" s="1"/>
    </row>
    <row r="3316" spans="15:28">
      <c r="O3316" s="1"/>
      <c r="P3316" s="1"/>
      <c r="Q3316" s="1"/>
      <c r="R3316" s="1"/>
      <c r="Z3316" s="103"/>
      <c r="AA3316" s="103"/>
      <c r="AB3316" s="1"/>
    </row>
    <row r="3317" spans="15:28">
      <c r="O3317" s="1"/>
      <c r="P3317" s="1"/>
      <c r="Q3317" s="1"/>
      <c r="R3317" s="1"/>
      <c r="Z3317" s="103"/>
      <c r="AA3317" s="103"/>
      <c r="AB3317" s="1"/>
    </row>
    <row r="3318" spans="15:28">
      <c r="O3318" s="1"/>
      <c r="P3318" s="1"/>
      <c r="Q3318" s="1"/>
      <c r="R3318" s="1"/>
      <c r="Z3318" s="103"/>
      <c r="AA3318" s="103"/>
      <c r="AB3318" s="1"/>
    </row>
    <row r="3319" spans="15:28">
      <c r="O3319" s="1"/>
      <c r="P3319" s="1"/>
      <c r="Q3319" s="1"/>
      <c r="R3319" s="1"/>
      <c r="Z3319" s="103"/>
      <c r="AA3319" s="103"/>
      <c r="AB3319" s="1"/>
    </row>
    <row r="3320" spans="15:28">
      <c r="O3320" s="1"/>
      <c r="P3320" s="1"/>
      <c r="Q3320" s="1"/>
      <c r="R3320" s="1"/>
      <c r="Z3320" s="103"/>
      <c r="AA3320" s="103"/>
      <c r="AB3320" s="1"/>
    </row>
    <row r="3321" spans="15:28">
      <c r="O3321" s="1"/>
      <c r="P3321" s="1"/>
      <c r="Q3321" s="1"/>
      <c r="R3321" s="1"/>
      <c r="Z3321" s="103"/>
      <c r="AA3321" s="103"/>
      <c r="AB3321" s="1"/>
    </row>
    <row r="3322" spans="15:28">
      <c r="O3322" s="1"/>
      <c r="P3322" s="1"/>
      <c r="Q3322" s="1"/>
      <c r="R3322" s="1"/>
      <c r="Z3322" s="103"/>
      <c r="AA3322" s="103"/>
      <c r="AB3322" s="1"/>
    </row>
    <row r="3323" spans="15:28">
      <c r="O3323" s="1"/>
      <c r="P3323" s="1"/>
      <c r="Q3323" s="1"/>
      <c r="R3323" s="1"/>
      <c r="Z3323" s="103"/>
      <c r="AA3323" s="103"/>
      <c r="AB3323" s="1"/>
    </row>
    <row r="3324" spans="15:28">
      <c r="O3324" s="1"/>
      <c r="P3324" s="1"/>
      <c r="Q3324" s="1"/>
      <c r="R3324" s="1"/>
      <c r="Z3324" s="103"/>
      <c r="AA3324" s="103"/>
      <c r="AB3324" s="1"/>
    </row>
    <row r="3325" spans="15:28">
      <c r="O3325" s="1"/>
      <c r="P3325" s="1"/>
      <c r="Q3325" s="1"/>
      <c r="R3325" s="1"/>
      <c r="Z3325" s="103"/>
      <c r="AA3325" s="103"/>
      <c r="AB3325" s="1"/>
    </row>
    <row r="3326" spans="15:28">
      <c r="O3326" s="1"/>
      <c r="P3326" s="1"/>
      <c r="Q3326" s="1"/>
      <c r="R3326" s="1"/>
      <c r="Z3326" s="103"/>
      <c r="AA3326" s="103"/>
      <c r="AB3326" s="1"/>
    </row>
    <row r="3327" spans="15:28">
      <c r="O3327" s="1"/>
      <c r="P3327" s="1"/>
      <c r="Q3327" s="1"/>
      <c r="R3327" s="1"/>
      <c r="Z3327" s="103"/>
      <c r="AA3327" s="103"/>
      <c r="AB3327" s="1"/>
    </row>
    <row r="3328" spans="15:28">
      <c r="O3328" s="1"/>
      <c r="P3328" s="1"/>
      <c r="Q3328" s="1"/>
      <c r="R3328" s="1"/>
      <c r="Z3328" s="103"/>
      <c r="AA3328" s="103"/>
      <c r="AB3328" s="1"/>
    </row>
    <row r="3329" spans="15:30">
      <c r="O3329" s="1"/>
      <c r="P3329" s="1"/>
      <c r="Q3329" s="1"/>
      <c r="R3329" s="1"/>
      <c r="Z3329" s="103"/>
      <c r="AA3329" s="103"/>
      <c r="AB3329" s="1"/>
    </row>
    <row r="3330" spans="15:30">
      <c r="O3330" s="1"/>
      <c r="P3330" s="1"/>
      <c r="Q3330" s="1"/>
      <c r="R3330" s="1"/>
      <c r="Z3330" s="103"/>
      <c r="AA3330" s="103"/>
      <c r="AB3330" s="1"/>
    </row>
    <row r="3331" spans="15:30">
      <c r="O3331" s="1"/>
      <c r="P3331" s="1"/>
      <c r="Q3331" s="1"/>
      <c r="R3331" s="1"/>
      <c r="Z3331" s="103"/>
      <c r="AA3331" s="103"/>
      <c r="AB3331" s="1"/>
    </row>
    <row r="3332" spans="15:30">
      <c r="O3332" s="1"/>
      <c r="P3332" s="1"/>
      <c r="Q3332" s="1"/>
      <c r="R3332" s="1"/>
      <c r="Z3332" s="103"/>
      <c r="AA3332" s="103"/>
      <c r="AB3332" s="1"/>
    </row>
    <row r="3333" spans="15:30">
      <c r="O3333" s="1"/>
      <c r="P3333" s="1"/>
      <c r="Q3333" s="1"/>
      <c r="R3333" s="1"/>
      <c r="Z3333" s="103"/>
      <c r="AA3333" s="103"/>
      <c r="AB3333" s="1"/>
    </row>
    <row r="3334" spans="15:30">
      <c r="O3334" s="1"/>
      <c r="P3334" s="1"/>
      <c r="Q3334" s="1"/>
      <c r="R3334" s="1"/>
      <c r="Z3334" s="103"/>
      <c r="AA3334" s="103"/>
      <c r="AB3334" s="1"/>
    </row>
    <row r="3335" spans="15:30">
      <c r="O3335" s="1"/>
      <c r="P3335" s="1"/>
      <c r="Q3335" s="1"/>
      <c r="R3335" s="1"/>
      <c r="Z3335" s="103"/>
      <c r="AA3335" s="103"/>
      <c r="AB3335" s="1"/>
    </row>
    <row r="3336" spans="15:30">
      <c r="O3336" s="1"/>
      <c r="P3336" s="1"/>
      <c r="Q3336" s="1"/>
      <c r="R3336" s="1"/>
      <c r="Z3336" s="103"/>
      <c r="AA3336" s="103"/>
      <c r="AB3336" s="1"/>
    </row>
    <row r="3337" spans="15:30">
      <c r="O3337" s="1"/>
      <c r="P3337" s="1"/>
      <c r="Q3337" s="1"/>
      <c r="R3337" s="1"/>
      <c r="Z3337" s="103"/>
      <c r="AA3337" s="103"/>
      <c r="AB3337" s="1"/>
    </row>
    <row r="3338" spans="15:30">
      <c r="O3338" s="1"/>
      <c r="P3338" s="1"/>
      <c r="Q3338" s="1"/>
      <c r="R3338" s="1"/>
      <c r="Z3338" s="103"/>
      <c r="AA3338" s="103"/>
      <c r="AB3338" s="1"/>
      <c r="AD3338" s="102"/>
    </row>
    <row r="3339" spans="15:30">
      <c r="O3339" s="1"/>
      <c r="P3339" s="1"/>
      <c r="Q3339" s="1"/>
      <c r="R3339" s="1"/>
      <c r="Z3339" s="103"/>
      <c r="AA3339" s="103"/>
      <c r="AB3339" s="1"/>
    </row>
    <row r="3340" spans="15:30">
      <c r="O3340" s="1"/>
      <c r="P3340" s="1"/>
      <c r="Q3340" s="1"/>
      <c r="R3340" s="1"/>
      <c r="Z3340" s="103"/>
      <c r="AA3340" s="103"/>
      <c r="AB3340" s="1"/>
    </row>
    <row r="3341" spans="15:30">
      <c r="O3341" s="1"/>
      <c r="P3341" s="1"/>
      <c r="Q3341" s="1"/>
      <c r="R3341" s="1"/>
      <c r="Z3341" s="103"/>
      <c r="AA3341" s="103"/>
      <c r="AB3341" s="1"/>
    </row>
    <row r="3342" spans="15:30">
      <c r="O3342" s="1"/>
      <c r="P3342" s="1"/>
      <c r="Q3342" s="1"/>
      <c r="R3342" s="1"/>
      <c r="Z3342" s="103"/>
      <c r="AA3342" s="103"/>
      <c r="AB3342" s="1"/>
    </row>
    <row r="3343" spans="15:30">
      <c r="O3343" s="1"/>
      <c r="P3343" s="1"/>
      <c r="Q3343" s="1"/>
      <c r="R3343" s="1"/>
      <c r="Z3343" s="103"/>
      <c r="AA3343" s="103"/>
      <c r="AB3343" s="1"/>
    </row>
    <row r="3344" spans="15:30">
      <c r="O3344" s="1"/>
      <c r="P3344" s="1"/>
      <c r="Q3344" s="1"/>
      <c r="R3344" s="1"/>
      <c r="Z3344" s="103"/>
      <c r="AA3344" s="103"/>
      <c r="AB3344" s="1"/>
    </row>
    <row r="3345" spans="15:30">
      <c r="O3345" s="1"/>
      <c r="P3345" s="1"/>
      <c r="Q3345" s="1"/>
      <c r="R3345" s="1"/>
      <c r="Z3345" s="103"/>
      <c r="AA3345" s="103"/>
      <c r="AB3345" s="1"/>
    </row>
    <row r="3346" spans="15:30">
      <c r="O3346" s="1"/>
      <c r="P3346" s="1"/>
      <c r="Q3346" s="1"/>
      <c r="R3346" s="1"/>
      <c r="Z3346" s="103"/>
      <c r="AA3346" s="103"/>
      <c r="AB3346" s="1"/>
    </row>
    <row r="3347" spans="15:30">
      <c r="O3347" s="1"/>
      <c r="P3347" s="1"/>
      <c r="Q3347" s="1"/>
      <c r="R3347" s="1"/>
      <c r="Z3347" s="103"/>
      <c r="AA3347" s="103"/>
      <c r="AB3347" s="1"/>
    </row>
    <row r="3348" spans="15:30">
      <c r="O3348" s="1"/>
      <c r="P3348" s="1"/>
      <c r="Q3348" s="1"/>
      <c r="R3348" s="1"/>
      <c r="Z3348" s="103"/>
      <c r="AA3348" s="103"/>
      <c r="AB3348" s="1"/>
    </row>
    <row r="3349" spans="15:30">
      <c r="O3349" s="1"/>
      <c r="P3349" s="1"/>
      <c r="Q3349" s="1"/>
      <c r="R3349" s="1"/>
      <c r="Z3349" s="103"/>
      <c r="AA3349" s="103"/>
      <c r="AB3349" s="1"/>
    </row>
    <row r="3350" spans="15:30">
      <c r="O3350" s="1"/>
      <c r="P3350" s="1"/>
      <c r="Q3350" s="1"/>
      <c r="R3350" s="1"/>
      <c r="Z3350" s="103"/>
      <c r="AA3350" s="103"/>
      <c r="AB3350" s="1"/>
    </row>
    <row r="3351" spans="15:30">
      <c r="O3351" s="1"/>
      <c r="P3351" s="1"/>
      <c r="Q3351" s="1"/>
      <c r="R3351" s="1"/>
      <c r="Z3351" s="103"/>
      <c r="AA3351" s="103"/>
      <c r="AB3351" s="1"/>
    </row>
    <row r="3352" spans="15:30">
      <c r="O3352" s="1"/>
      <c r="P3352" s="1"/>
      <c r="Q3352" s="1"/>
      <c r="R3352" s="1"/>
      <c r="Z3352" s="103"/>
      <c r="AA3352" s="103"/>
      <c r="AB3352" s="1"/>
    </row>
    <row r="3353" spans="15:30">
      <c r="O3353" s="1"/>
      <c r="P3353" s="1"/>
      <c r="Q3353" s="1"/>
      <c r="R3353" s="1"/>
      <c r="Z3353" s="103"/>
      <c r="AA3353" s="103"/>
      <c r="AB3353" s="1"/>
    </row>
    <row r="3354" spans="15:30">
      <c r="O3354" s="1"/>
      <c r="P3354" s="1"/>
      <c r="Q3354" s="1"/>
      <c r="R3354" s="1"/>
      <c r="Z3354" s="103"/>
      <c r="AA3354" s="103"/>
      <c r="AB3354" s="1"/>
    </row>
    <row r="3355" spans="15:30">
      <c r="O3355" s="1"/>
      <c r="P3355" s="1"/>
      <c r="Q3355" s="1"/>
      <c r="R3355" s="1"/>
      <c r="Z3355" s="103"/>
      <c r="AA3355" s="103"/>
      <c r="AB3355" s="1"/>
    </row>
    <row r="3356" spans="15:30">
      <c r="O3356" s="1"/>
      <c r="P3356" s="1"/>
      <c r="Q3356" s="1"/>
      <c r="R3356" s="1"/>
      <c r="Z3356" s="103"/>
      <c r="AA3356" s="103"/>
      <c r="AB3356" s="1"/>
    </row>
    <row r="3357" spans="15:30">
      <c r="O3357" s="1"/>
      <c r="P3357" s="1"/>
      <c r="Q3357" s="1"/>
      <c r="R3357" s="1"/>
      <c r="Z3357" s="103"/>
      <c r="AA3357" s="103"/>
      <c r="AB3357" s="1"/>
    </row>
    <row r="3358" spans="15:30">
      <c r="O3358" s="1"/>
      <c r="P3358" s="1"/>
      <c r="Q3358" s="1"/>
      <c r="R3358" s="1"/>
      <c r="Z3358" s="103"/>
      <c r="AA3358" s="103"/>
      <c r="AB3358" s="1"/>
      <c r="AD3358" s="102"/>
    </row>
    <row r="3359" spans="15:30">
      <c r="O3359" s="1"/>
      <c r="P3359" s="1"/>
      <c r="Q3359" s="1"/>
      <c r="R3359" s="1"/>
      <c r="Z3359" s="103"/>
      <c r="AA3359" s="103"/>
      <c r="AB3359" s="1"/>
    </row>
    <row r="3360" spans="15:30">
      <c r="O3360" s="1"/>
      <c r="P3360" s="1"/>
      <c r="Q3360" s="1"/>
      <c r="R3360" s="1"/>
      <c r="Z3360" s="103"/>
      <c r="AA3360" s="103"/>
      <c r="AB3360" s="1"/>
    </row>
    <row r="3361" spans="15:28">
      <c r="O3361" s="1"/>
      <c r="P3361" s="1"/>
      <c r="Q3361" s="1"/>
      <c r="R3361" s="1"/>
      <c r="Z3361" s="103"/>
      <c r="AA3361" s="103"/>
      <c r="AB3361" s="1"/>
    </row>
    <row r="3362" spans="15:28">
      <c r="O3362" s="1"/>
      <c r="P3362" s="1"/>
      <c r="Q3362" s="1"/>
      <c r="R3362" s="1"/>
      <c r="Z3362" s="103"/>
      <c r="AA3362" s="103"/>
      <c r="AB3362" s="1"/>
    </row>
    <row r="3363" spans="15:28">
      <c r="O3363" s="1"/>
      <c r="P3363" s="1"/>
      <c r="Q3363" s="1"/>
      <c r="R3363" s="1"/>
      <c r="Z3363" s="103"/>
      <c r="AA3363" s="103"/>
      <c r="AB3363" s="1"/>
    </row>
    <row r="3364" spans="15:28">
      <c r="O3364" s="1"/>
      <c r="P3364" s="1"/>
      <c r="Q3364" s="1"/>
      <c r="R3364" s="1"/>
      <c r="Z3364" s="103"/>
      <c r="AA3364" s="103"/>
      <c r="AB3364" s="1"/>
    </row>
    <row r="3365" spans="15:28">
      <c r="O3365" s="1"/>
      <c r="P3365" s="1"/>
      <c r="Q3365" s="1"/>
      <c r="R3365" s="1"/>
      <c r="Z3365" s="103"/>
      <c r="AA3365" s="103"/>
      <c r="AB3365" s="1"/>
    </row>
    <row r="3366" spans="15:28">
      <c r="O3366" s="1"/>
      <c r="P3366" s="1"/>
      <c r="Q3366" s="1"/>
      <c r="R3366" s="1"/>
      <c r="Z3366" s="103"/>
      <c r="AA3366" s="103"/>
      <c r="AB3366" s="1"/>
    </row>
    <row r="3367" spans="15:28">
      <c r="O3367" s="1"/>
      <c r="P3367" s="1"/>
      <c r="Q3367" s="1"/>
      <c r="R3367" s="1"/>
      <c r="Z3367" s="103"/>
      <c r="AA3367" s="103"/>
      <c r="AB3367" s="1"/>
    </row>
    <row r="3368" spans="15:28">
      <c r="O3368" s="1"/>
      <c r="P3368" s="1"/>
      <c r="Q3368" s="1"/>
      <c r="R3368" s="1"/>
      <c r="Z3368" s="103"/>
      <c r="AA3368" s="103"/>
      <c r="AB3368" s="1"/>
    </row>
    <row r="3369" spans="15:28">
      <c r="O3369" s="1"/>
      <c r="P3369" s="1"/>
      <c r="Q3369" s="1"/>
      <c r="R3369" s="1"/>
      <c r="Z3369" s="103"/>
      <c r="AA3369" s="103"/>
      <c r="AB3369" s="1"/>
    </row>
    <row r="3370" spans="15:28">
      <c r="O3370" s="1"/>
      <c r="P3370" s="1"/>
      <c r="Q3370" s="1"/>
      <c r="R3370" s="1"/>
      <c r="Z3370" s="103"/>
      <c r="AA3370" s="103"/>
      <c r="AB3370" s="1"/>
    </row>
    <row r="3371" spans="15:28">
      <c r="O3371" s="1"/>
      <c r="P3371" s="1"/>
      <c r="Q3371" s="1"/>
      <c r="R3371" s="1"/>
      <c r="Z3371" s="103"/>
      <c r="AA3371" s="103"/>
      <c r="AB3371" s="1"/>
    </row>
    <row r="3372" spans="15:28">
      <c r="O3372" s="1"/>
      <c r="P3372" s="1"/>
      <c r="Q3372" s="1"/>
      <c r="R3372" s="1"/>
      <c r="Z3372" s="103"/>
      <c r="AA3372" s="103"/>
      <c r="AB3372" s="1"/>
    </row>
    <row r="3373" spans="15:28">
      <c r="O3373" s="1"/>
      <c r="P3373" s="1"/>
      <c r="Q3373" s="1"/>
      <c r="R3373" s="1"/>
      <c r="Z3373" s="103"/>
      <c r="AA3373" s="103"/>
      <c r="AB3373" s="1"/>
    </row>
    <row r="3374" spans="15:28">
      <c r="O3374" s="1"/>
      <c r="P3374" s="1"/>
      <c r="Q3374" s="1"/>
      <c r="R3374" s="1"/>
      <c r="Z3374" s="103"/>
      <c r="AA3374" s="103"/>
      <c r="AB3374" s="1"/>
    </row>
    <row r="3375" spans="15:28">
      <c r="O3375" s="1"/>
      <c r="P3375" s="1"/>
      <c r="Q3375" s="1"/>
      <c r="R3375" s="1"/>
      <c r="Z3375" s="103"/>
      <c r="AA3375" s="103"/>
      <c r="AB3375" s="1"/>
    </row>
    <row r="3376" spans="15:28">
      <c r="O3376" s="1"/>
      <c r="P3376" s="1"/>
      <c r="Q3376" s="1"/>
      <c r="R3376" s="1"/>
      <c r="Z3376" s="103"/>
      <c r="AA3376" s="103"/>
      <c r="AB3376" s="1"/>
    </row>
    <row r="3377" spans="15:30">
      <c r="O3377" s="1"/>
      <c r="P3377" s="1"/>
      <c r="Q3377" s="1"/>
      <c r="R3377" s="1"/>
      <c r="Z3377" s="103"/>
      <c r="AA3377" s="103"/>
      <c r="AB3377" s="1"/>
    </row>
    <row r="3378" spans="15:30">
      <c r="O3378" s="1"/>
      <c r="P3378" s="1"/>
      <c r="Q3378" s="1"/>
      <c r="R3378" s="1"/>
      <c r="Z3378" s="103"/>
      <c r="AA3378" s="103"/>
      <c r="AB3378" s="1"/>
      <c r="AD3378" s="102"/>
    </row>
    <row r="3379" spans="15:30">
      <c r="O3379" s="1"/>
      <c r="P3379" s="1"/>
      <c r="Q3379" s="1"/>
      <c r="R3379" s="1"/>
      <c r="Z3379" s="103"/>
      <c r="AA3379" s="103"/>
      <c r="AB3379" s="1"/>
    </row>
    <row r="3380" spans="15:30">
      <c r="O3380" s="1"/>
      <c r="P3380" s="1"/>
      <c r="Q3380" s="1"/>
      <c r="R3380" s="1"/>
      <c r="Z3380" s="103"/>
      <c r="AA3380" s="103"/>
      <c r="AB3380" s="1"/>
    </row>
    <row r="3381" spans="15:30">
      <c r="O3381" s="1"/>
      <c r="P3381" s="1"/>
      <c r="Q3381" s="1"/>
      <c r="R3381" s="1"/>
      <c r="Z3381" s="103"/>
      <c r="AA3381" s="103"/>
      <c r="AB3381" s="1"/>
    </row>
    <row r="3382" spans="15:30">
      <c r="O3382" s="1"/>
      <c r="P3382" s="1"/>
      <c r="Q3382" s="1"/>
      <c r="R3382" s="1"/>
      <c r="Z3382" s="103"/>
      <c r="AA3382" s="103"/>
      <c r="AB3382" s="1"/>
    </row>
    <row r="3383" spans="15:30">
      <c r="O3383" s="1"/>
      <c r="P3383" s="1"/>
      <c r="Q3383" s="1"/>
      <c r="R3383" s="1"/>
      <c r="Z3383" s="103"/>
      <c r="AA3383" s="103"/>
      <c r="AB3383" s="1"/>
    </row>
    <row r="3384" spans="15:30">
      <c r="O3384" s="1"/>
      <c r="P3384" s="1"/>
      <c r="Q3384" s="1"/>
      <c r="R3384" s="1"/>
      <c r="Z3384" s="103"/>
      <c r="AA3384" s="103"/>
      <c r="AB3384" s="1"/>
    </row>
    <row r="3385" spans="15:30">
      <c r="O3385" s="1"/>
      <c r="P3385" s="1"/>
      <c r="Q3385" s="1"/>
      <c r="R3385" s="1"/>
      <c r="Z3385" s="103"/>
      <c r="AA3385" s="103"/>
      <c r="AB3385" s="1"/>
    </row>
    <row r="3386" spans="15:30">
      <c r="O3386" s="1"/>
      <c r="P3386" s="1"/>
      <c r="Q3386" s="1"/>
      <c r="R3386" s="1"/>
      <c r="Z3386" s="103"/>
      <c r="AA3386" s="103"/>
      <c r="AB3386" s="1"/>
    </row>
    <row r="3387" spans="15:30">
      <c r="O3387" s="1"/>
      <c r="P3387" s="1"/>
      <c r="Q3387" s="1"/>
      <c r="R3387" s="1"/>
      <c r="Z3387" s="103"/>
      <c r="AA3387" s="103"/>
      <c r="AB3387" s="1"/>
    </row>
    <row r="3388" spans="15:30">
      <c r="O3388" s="1"/>
      <c r="P3388" s="1"/>
      <c r="Q3388" s="1"/>
      <c r="R3388" s="1"/>
      <c r="Z3388" s="103"/>
      <c r="AA3388" s="103"/>
      <c r="AB3388" s="1"/>
    </row>
    <row r="3389" spans="15:30">
      <c r="O3389" s="1"/>
      <c r="P3389" s="1"/>
      <c r="Q3389" s="1"/>
      <c r="R3389" s="1"/>
      <c r="Z3389" s="103"/>
      <c r="AA3389" s="103"/>
      <c r="AB3389" s="1"/>
    </row>
    <row r="3390" spans="15:30">
      <c r="O3390" s="1"/>
      <c r="P3390" s="1"/>
      <c r="Q3390" s="1"/>
      <c r="R3390" s="1"/>
      <c r="Z3390" s="103"/>
      <c r="AA3390" s="103"/>
      <c r="AB3390" s="1"/>
    </row>
    <row r="3391" spans="15:30">
      <c r="O3391" s="1"/>
      <c r="P3391" s="1"/>
      <c r="Q3391" s="1"/>
      <c r="R3391" s="1"/>
      <c r="Z3391" s="103"/>
      <c r="AA3391" s="103"/>
      <c r="AB3391" s="1"/>
    </row>
    <row r="3392" spans="15:30">
      <c r="O3392" s="1"/>
      <c r="P3392" s="1"/>
      <c r="Q3392" s="1"/>
      <c r="R3392" s="1"/>
      <c r="Z3392" s="103"/>
      <c r="AA3392" s="103"/>
      <c r="AB3392" s="1"/>
    </row>
    <row r="3393" spans="15:28">
      <c r="O3393" s="1"/>
      <c r="P3393" s="1"/>
      <c r="Q3393" s="1"/>
      <c r="R3393" s="1"/>
      <c r="Z3393" s="103"/>
      <c r="AA3393" s="103"/>
      <c r="AB3393" s="1"/>
    </row>
    <row r="3394" spans="15:28">
      <c r="O3394" s="1"/>
      <c r="P3394" s="1"/>
      <c r="Q3394" s="1"/>
      <c r="R3394" s="1"/>
      <c r="Z3394" s="103"/>
      <c r="AA3394" s="103"/>
      <c r="AB3394" s="1"/>
    </row>
    <row r="3395" spans="15:28">
      <c r="O3395" s="1"/>
      <c r="P3395" s="1"/>
      <c r="Q3395" s="1"/>
      <c r="R3395" s="1"/>
      <c r="Z3395" s="103"/>
      <c r="AA3395" s="103"/>
      <c r="AB3395" s="1"/>
    </row>
    <row r="3396" spans="15:28">
      <c r="O3396" s="1"/>
      <c r="P3396" s="1"/>
      <c r="Q3396" s="1"/>
      <c r="R3396" s="1"/>
      <c r="Z3396" s="103"/>
      <c r="AA3396" s="103"/>
      <c r="AB3396" s="1"/>
    </row>
    <row r="3397" spans="15:28">
      <c r="O3397" s="1"/>
      <c r="P3397" s="1"/>
      <c r="Q3397" s="1"/>
      <c r="R3397" s="1"/>
      <c r="Z3397" s="103"/>
      <c r="AA3397" s="103"/>
      <c r="AB3397" s="1"/>
    </row>
    <row r="3398" spans="15:28">
      <c r="O3398" s="1"/>
      <c r="P3398" s="1"/>
      <c r="Q3398" s="1"/>
      <c r="R3398" s="1"/>
      <c r="Z3398" s="103"/>
      <c r="AA3398" s="103"/>
      <c r="AB3398" s="1"/>
    </row>
    <row r="3399" spans="15:28">
      <c r="O3399" s="1"/>
      <c r="P3399" s="1"/>
      <c r="Q3399" s="1"/>
      <c r="R3399" s="1"/>
      <c r="Z3399" s="103"/>
      <c r="AA3399" s="103"/>
      <c r="AB3399" s="1"/>
    </row>
    <row r="3400" spans="15:28">
      <c r="O3400" s="1"/>
      <c r="P3400" s="1"/>
      <c r="Q3400" s="1"/>
      <c r="R3400" s="1"/>
      <c r="Z3400" s="103"/>
      <c r="AA3400" s="103"/>
      <c r="AB3400" s="1"/>
    </row>
    <row r="3401" spans="15:28">
      <c r="O3401" s="1"/>
      <c r="P3401" s="1"/>
      <c r="Q3401" s="1"/>
      <c r="R3401" s="1"/>
      <c r="Z3401" s="103"/>
      <c r="AA3401" s="103"/>
      <c r="AB3401" s="1"/>
    </row>
    <row r="3402" spans="15:28">
      <c r="O3402" s="1"/>
      <c r="P3402" s="1"/>
      <c r="Q3402" s="1"/>
      <c r="R3402" s="1"/>
      <c r="Z3402" s="103"/>
      <c r="AA3402" s="103"/>
      <c r="AB3402" s="1"/>
    </row>
    <row r="3403" spans="15:28">
      <c r="O3403" s="1"/>
      <c r="P3403" s="1"/>
      <c r="Q3403" s="1"/>
      <c r="R3403" s="1"/>
      <c r="Z3403" s="103"/>
      <c r="AA3403" s="103"/>
      <c r="AB3403" s="1"/>
    </row>
    <row r="3404" spans="15:28">
      <c r="O3404" s="1"/>
      <c r="P3404" s="1"/>
      <c r="Q3404" s="1"/>
      <c r="R3404" s="1"/>
      <c r="Z3404" s="103"/>
      <c r="AA3404" s="103"/>
      <c r="AB3404" s="1"/>
    </row>
    <row r="3405" spans="15:28">
      <c r="O3405" s="1"/>
      <c r="P3405" s="1"/>
      <c r="Q3405" s="1"/>
      <c r="R3405" s="1"/>
      <c r="Z3405" s="103"/>
      <c r="AA3405" s="103"/>
      <c r="AB3405" s="1"/>
    </row>
    <row r="3406" spans="15:28">
      <c r="O3406" s="1"/>
      <c r="P3406" s="1"/>
      <c r="Q3406" s="1"/>
      <c r="R3406" s="1"/>
      <c r="Z3406" s="103"/>
      <c r="AA3406" s="103"/>
      <c r="AB3406" s="1"/>
    </row>
    <row r="3407" spans="15:28">
      <c r="O3407" s="1"/>
      <c r="P3407" s="1"/>
      <c r="Q3407" s="1"/>
      <c r="R3407" s="1"/>
      <c r="Z3407" s="103"/>
      <c r="AA3407" s="103"/>
      <c r="AB3407" s="1"/>
    </row>
    <row r="3408" spans="15:28">
      <c r="O3408" s="1"/>
      <c r="P3408" s="1"/>
      <c r="Q3408" s="1"/>
      <c r="R3408" s="1"/>
      <c r="Z3408" s="103"/>
      <c r="AA3408" s="103"/>
      <c r="AB3408" s="1"/>
    </row>
    <row r="3409" spans="15:28">
      <c r="O3409" s="1"/>
      <c r="P3409" s="1"/>
      <c r="Q3409" s="1"/>
      <c r="R3409" s="1"/>
      <c r="Z3409" s="103"/>
      <c r="AA3409" s="103"/>
      <c r="AB3409" s="1"/>
    </row>
    <row r="3410" spans="15:28">
      <c r="O3410" s="1"/>
      <c r="P3410" s="1"/>
      <c r="Q3410" s="1"/>
      <c r="R3410" s="1"/>
      <c r="Z3410" s="103"/>
      <c r="AA3410" s="103"/>
      <c r="AB3410" s="1"/>
    </row>
    <row r="3411" spans="15:28">
      <c r="O3411" s="1"/>
      <c r="P3411" s="1"/>
      <c r="Q3411" s="1"/>
      <c r="R3411" s="1"/>
      <c r="Z3411" s="103"/>
      <c r="AA3411" s="103"/>
      <c r="AB3411" s="1"/>
    </row>
    <row r="3412" spans="15:28">
      <c r="O3412" s="1"/>
      <c r="P3412" s="1"/>
      <c r="Q3412" s="1"/>
      <c r="R3412" s="1"/>
      <c r="Z3412" s="103"/>
      <c r="AA3412" s="103"/>
      <c r="AB3412" s="1"/>
    </row>
    <row r="3413" spans="15:28">
      <c r="O3413" s="1"/>
      <c r="P3413" s="1"/>
      <c r="Q3413" s="1"/>
      <c r="R3413" s="1"/>
      <c r="Z3413" s="103"/>
      <c r="AA3413" s="103"/>
      <c r="AB3413" s="1"/>
    </row>
    <row r="3414" spans="15:28">
      <c r="O3414" s="1"/>
      <c r="P3414" s="1"/>
      <c r="Q3414" s="1"/>
      <c r="R3414" s="1"/>
      <c r="Z3414" s="103"/>
      <c r="AA3414" s="103"/>
      <c r="AB3414" s="1"/>
    </row>
    <row r="3415" spans="15:28">
      <c r="O3415" s="1"/>
      <c r="P3415" s="1"/>
      <c r="Q3415" s="1"/>
      <c r="R3415" s="1"/>
      <c r="Z3415" s="103"/>
      <c r="AA3415" s="103"/>
      <c r="AB3415" s="1"/>
    </row>
    <row r="3416" spans="15:28">
      <c r="O3416" s="1"/>
      <c r="P3416" s="1"/>
      <c r="Q3416" s="1"/>
      <c r="R3416" s="1"/>
      <c r="Z3416" s="103"/>
      <c r="AA3416" s="103"/>
      <c r="AB3416" s="1"/>
    </row>
    <row r="3417" spans="15:28">
      <c r="O3417" s="1"/>
      <c r="P3417" s="1"/>
      <c r="Q3417" s="1"/>
      <c r="R3417" s="1"/>
      <c r="Z3417" s="103"/>
      <c r="AA3417" s="103"/>
      <c r="AB3417" s="1"/>
    </row>
    <row r="3418" spans="15:28">
      <c r="O3418" s="1"/>
      <c r="P3418" s="1"/>
      <c r="Q3418" s="1"/>
      <c r="R3418" s="1"/>
      <c r="Z3418" s="103"/>
      <c r="AA3418" s="103"/>
      <c r="AB3418" s="1"/>
    </row>
    <row r="3419" spans="15:28">
      <c r="O3419" s="1"/>
      <c r="P3419" s="1"/>
      <c r="Q3419" s="1"/>
      <c r="R3419" s="1"/>
      <c r="Z3419" s="103"/>
      <c r="AA3419" s="103"/>
      <c r="AB3419" s="1"/>
    </row>
    <row r="3420" spans="15:28">
      <c r="O3420" s="1"/>
      <c r="P3420" s="1"/>
      <c r="Q3420" s="1"/>
      <c r="R3420" s="1"/>
      <c r="Z3420" s="103"/>
      <c r="AA3420" s="103"/>
      <c r="AB3420" s="1"/>
    </row>
    <row r="3421" spans="15:28">
      <c r="O3421" s="1"/>
      <c r="P3421" s="1"/>
      <c r="Q3421" s="1"/>
      <c r="R3421" s="1"/>
      <c r="Z3421" s="103"/>
      <c r="AA3421" s="103"/>
      <c r="AB3421" s="1"/>
    </row>
    <row r="3422" spans="15:28">
      <c r="O3422" s="1"/>
      <c r="P3422" s="1"/>
      <c r="Q3422" s="1"/>
      <c r="R3422" s="1"/>
      <c r="Z3422" s="103"/>
      <c r="AA3422" s="103"/>
      <c r="AB3422" s="1"/>
    </row>
    <row r="3423" spans="15:28">
      <c r="O3423" s="1"/>
      <c r="P3423" s="1"/>
      <c r="Q3423" s="1"/>
      <c r="R3423" s="1"/>
      <c r="Z3423" s="103"/>
      <c r="AA3423" s="103"/>
      <c r="AB3423" s="1"/>
    </row>
    <row r="3424" spans="15:28">
      <c r="O3424" s="1"/>
      <c r="P3424" s="1"/>
      <c r="Q3424" s="1"/>
      <c r="R3424" s="1"/>
      <c r="Z3424" s="103"/>
      <c r="AA3424" s="103"/>
      <c r="AB3424" s="1"/>
    </row>
    <row r="3425" spans="15:30">
      <c r="O3425" s="1"/>
      <c r="P3425" s="1"/>
      <c r="Q3425" s="1"/>
      <c r="R3425" s="1"/>
      <c r="Z3425" s="103"/>
      <c r="AA3425" s="103"/>
      <c r="AB3425" s="1"/>
    </row>
    <row r="3426" spans="15:30">
      <c r="O3426" s="1"/>
      <c r="P3426" s="1"/>
      <c r="Q3426" s="1"/>
      <c r="R3426" s="1"/>
      <c r="Z3426" s="103"/>
      <c r="AA3426" s="103"/>
      <c r="AB3426" s="1"/>
    </row>
    <row r="3427" spans="15:30">
      <c r="O3427" s="1"/>
      <c r="P3427" s="1"/>
      <c r="Q3427" s="1"/>
      <c r="R3427" s="1"/>
      <c r="Z3427" s="103"/>
      <c r="AA3427" s="103"/>
      <c r="AB3427" s="1"/>
    </row>
    <row r="3428" spans="15:30">
      <c r="O3428" s="1"/>
      <c r="P3428" s="1"/>
      <c r="Q3428" s="1"/>
      <c r="R3428" s="1"/>
      <c r="Z3428" s="103"/>
      <c r="AA3428" s="103"/>
      <c r="AB3428" s="1"/>
    </row>
    <row r="3429" spans="15:30">
      <c r="O3429" s="1"/>
      <c r="P3429" s="1"/>
      <c r="Q3429" s="1"/>
      <c r="R3429" s="1"/>
      <c r="Z3429" s="103"/>
      <c r="AA3429" s="103"/>
      <c r="AB3429" s="1"/>
    </row>
    <row r="3430" spans="15:30">
      <c r="O3430" s="1"/>
      <c r="P3430" s="1"/>
      <c r="Q3430" s="1"/>
      <c r="R3430" s="1"/>
      <c r="Z3430" s="103"/>
      <c r="AA3430" s="103"/>
      <c r="AB3430" s="1"/>
    </row>
    <row r="3431" spans="15:30">
      <c r="O3431" s="1"/>
      <c r="P3431" s="1"/>
      <c r="Q3431" s="1"/>
      <c r="R3431" s="1"/>
      <c r="Z3431" s="103"/>
      <c r="AA3431" s="103"/>
      <c r="AB3431" s="1"/>
    </row>
    <row r="3432" spans="15:30">
      <c r="O3432" s="1"/>
      <c r="P3432" s="1"/>
      <c r="Q3432" s="1"/>
      <c r="R3432" s="1"/>
      <c r="Z3432" s="103"/>
      <c r="AA3432" s="103"/>
      <c r="AB3432" s="1"/>
    </row>
    <row r="3433" spans="15:30">
      <c r="O3433" s="1"/>
      <c r="P3433" s="1"/>
      <c r="Q3433" s="1"/>
      <c r="R3433" s="1"/>
      <c r="Z3433" s="103"/>
      <c r="AA3433" s="103"/>
      <c r="AB3433" s="1"/>
    </row>
    <row r="3434" spans="15:30">
      <c r="O3434" s="1"/>
      <c r="P3434" s="1"/>
      <c r="Q3434" s="1"/>
      <c r="R3434" s="1"/>
      <c r="Z3434" s="103"/>
      <c r="AA3434" s="103"/>
      <c r="AB3434" s="1"/>
    </row>
    <row r="3435" spans="15:30">
      <c r="O3435" s="1"/>
      <c r="P3435" s="1"/>
      <c r="Q3435" s="1"/>
      <c r="R3435" s="1"/>
      <c r="Z3435" s="103"/>
      <c r="AA3435" s="103"/>
      <c r="AB3435" s="1"/>
    </row>
    <row r="3436" spans="15:30">
      <c r="O3436" s="1"/>
      <c r="P3436" s="1"/>
      <c r="Q3436" s="1"/>
      <c r="R3436" s="1"/>
      <c r="Z3436" s="103"/>
      <c r="AA3436" s="103"/>
      <c r="AB3436" s="1"/>
    </row>
    <row r="3437" spans="15:30">
      <c r="O3437" s="1"/>
      <c r="P3437" s="1"/>
      <c r="Q3437" s="1"/>
      <c r="R3437" s="1"/>
      <c r="Z3437" s="103"/>
      <c r="AA3437" s="103"/>
      <c r="AB3437" s="1"/>
    </row>
    <row r="3438" spans="15:30">
      <c r="O3438" s="1"/>
      <c r="P3438" s="1"/>
      <c r="Q3438" s="1"/>
      <c r="R3438" s="1"/>
      <c r="Z3438" s="103"/>
      <c r="AA3438" s="103"/>
      <c r="AB3438" s="1"/>
    </row>
    <row r="3439" spans="15:30">
      <c r="O3439" s="1"/>
      <c r="P3439" s="1"/>
      <c r="Q3439" s="1"/>
      <c r="R3439" s="1"/>
      <c r="Z3439" s="103"/>
      <c r="AA3439" s="103"/>
      <c r="AB3439" s="1"/>
    </row>
    <row r="3440" spans="15:30">
      <c r="O3440" s="1"/>
      <c r="P3440" s="1"/>
      <c r="Q3440" s="1"/>
      <c r="R3440" s="1"/>
      <c r="Z3440" s="103"/>
      <c r="AA3440" s="103"/>
      <c r="AB3440" s="1"/>
      <c r="AD3440" s="102"/>
    </row>
    <row r="3441" spans="15:30">
      <c r="O3441" s="1"/>
      <c r="P3441" s="1"/>
      <c r="Q3441" s="1"/>
      <c r="R3441" s="1"/>
      <c r="Z3441" s="103"/>
      <c r="AA3441" s="103"/>
      <c r="AB3441" s="1"/>
    </row>
    <row r="3442" spans="15:30">
      <c r="O3442" s="1"/>
      <c r="P3442" s="1"/>
      <c r="Q3442" s="1"/>
      <c r="R3442" s="1"/>
      <c r="Z3442" s="103"/>
      <c r="AA3442" s="103"/>
      <c r="AB3442" s="1"/>
    </row>
    <row r="3443" spans="15:30">
      <c r="O3443" s="1"/>
      <c r="P3443" s="1"/>
      <c r="Q3443" s="1"/>
      <c r="R3443" s="1"/>
      <c r="Z3443" s="103"/>
      <c r="AA3443" s="103"/>
      <c r="AB3443" s="1"/>
    </row>
    <row r="3444" spans="15:30">
      <c r="O3444" s="1"/>
      <c r="P3444" s="1"/>
      <c r="Q3444" s="1"/>
      <c r="R3444" s="1"/>
      <c r="Z3444" s="103"/>
      <c r="AA3444" s="103"/>
      <c r="AB3444" s="1"/>
      <c r="AD3444" s="102"/>
    </row>
    <row r="3445" spans="15:30">
      <c r="O3445" s="1"/>
      <c r="P3445" s="1"/>
      <c r="Q3445" s="1"/>
      <c r="R3445" s="1"/>
      <c r="Z3445" s="103"/>
      <c r="AA3445" s="103"/>
      <c r="AB3445" s="1"/>
    </row>
    <row r="3446" spans="15:30">
      <c r="O3446" s="1"/>
      <c r="P3446" s="1"/>
      <c r="Q3446" s="1"/>
      <c r="R3446" s="1"/>
      <c r="Z3446" s="103"/>
      <c r="AA3446" s="103"/>
      <c r="AB3446" s="1"/>
    </row>
    <row r="3447" spans="15:30">
      <c r="O3447" s="1"/>
      <c r="P3447" s="1"/>
      <c r="Q3447" s="1"/>
      <c r="R3447" s="1"/>
      <c r="Z3447" s="103"/>
      <c r="AA3447" s="103"/>
      <c r="AB3447" s="1"/>
    </row>
    <row r="3448" spans="15:30">
      <c r="O3448" s="1"/>
      <c r="P3448" s="1"/>
      <c r="Q3448" s="1"/>
      <c r="R3448" s="1"/>
      <c r="Z3448" s="103"/>
      <c r="AA3448" s="103"/>
      <c r="AB3448" s="1"/>
    </row>
    <row r="3449" spans="15:30">
      <c r="O3449" s="1"/>
      <c r="P3449" s="1"/>
      <c r="Q3449" s="1"/>
      <c r="R3449" s="1"/>
      <c r="Z3449" s="103"/>
      <c r="AA3449" s="103"/>
      <c r="AB3449" s="1"/>
    </row>
    <row r="3450" spans="15:30">
      <c r="O3450" s="1"/>
      <c r="P3450" s="1"/>
      <c r="Q3450" s="1"/>
      <c r="R3450" s="1"/>
      <c r="Z3450" s="103"/>
      <c r="AA3450" s="103"/>
      <c r="AB3450" s="1"/>
    </row>
    <row r="3451" spans="15:30">
      <c r="O3451" s="1"/>
      <c r="P3451" s="1"/>
      <c r="Q3451" s="1"/>
      <c r="R3451" s="1"/>
      <c r="Z3451" s="103"/>
      <c r="AA3451" s="103"/>
      <c r="AB3451" s="1"/>
    </row>
    <row r="3452" spans="15:30">
      <c r="O3452" s="1"/>
      <c r="P3452" s="1"/>
      <c r="Q3452" s="1"/>
      <c r="R3452" s="1"/>
      <c r="Z3452" s="103"/>
      <c r="AA3452" s="103"/>
      <c r="AB3452" s="1"/>
    </row>
    <row r="3453" spans="15:30">
      <c r="O3453" s="1"/>
      <c r="P3453" s="1"/>
      <c r="Q3453" s="1"/>
      <c r="R3453" s="1"/>
      <c r="Z3453" s="103"/>
      <c r="AA3453" s="103"/>
      <c r="AB3453" s="1"/>
    </row>
    <row r="3454" spans="15:30">
      <c r="O3454" s="1"/>
      <c r="P3454" s="1"/>
      <c r="Q3454" s="1"/>
      <c r="R3454" s="1"/>
      <c r="Z3454" s="103"/>
      <c r="AA3454" s="103"/>
      <c r="AB3454" s="1"/>
      <c r="AD3454" s="102"/>
    </row>
    <row r="3455" spans="15:30">
      <c r="O3455" s="1"/>
      <c r="P3455" s="1"/>
      <c r="Q3455" s="1"/>
      <c r="R3455" s="1"/>
      <c r="Z3455" s="103"/>
      <c r="AA3455" s="103"/>
      <c r="AB3455" s="1"/>
    </row>
    <row r="3456" spans="15:30">
      <c r="O3456" s="1"/>
      <c r="P3456" s="1"/>
      <c r="Q3456" s="1"/>
      <c r="R3456" s="1"/>
      <c r="Z3456" s="103"/>
      <c r="AA3456" s="103"/>
      <c r="AB3456" s="1"/>
    </row>
    <row r="3457" spans="15:28">
      <c r="O3457" s="1"/>
      <c r="P3457" s="1"/>
      <c r="Q3457" s="1"/>
      <c r="R3457" s="1"/>
      <c r="Z3457" s="103"/>
      <c r="AA3457" s="103"/>
      <c r="AB3457" s="1"/>
    </row>
    <row r="3458" spans="15:28">
      <c r="O3458" s="1"/>
      <c r="P3458" s="1"/>
      <c r="Q3458" s="1"/>
      <c r="R3458" s="1"/>
      <c r="Z3458" s="103"/>
      <c r="AA3458" s="103"/>
      <c r="AB3458" s="1"/>
    </row>
    <row r="3459" spans="15:28">
      <c r="O3459" s="1"/>
      <c r="P3459" s="1"/>
      <c r="Q3459" s="1"/>
      <c r="R3459" s="1"/>
      <c r="Z3459" s="103"/>
      <c r="AA3459" s="103"/>
      <c r="AB3459" s="1"/>
    </row>
    <row r="3460" spans="15:28">
      <c r="O3460" s="1"/>
      <c r="P3460" s="1"/>
      <c r="Q3460" s="1"/>
      <c r="R3460" s="1"/>
      <c r="Z3460" s="103"/>
      <c r="AA3460" s="103"/>
      <c r="AB3460" s="1"/>
    </row>
    <row r="3461" spans="15:28">
      <c r="O3461" s="1"/>
      <c r="P3461" s="1"/>
      <c r="Q3461" s="1"/>
      <c r="R3461" s="1"/>
      <c r="Z3461" s="103"/>
      <c r="AA3461" s="103"/>
      <c r="AB3461" s="1"/>
    </row>
    <row r="3462" spans="15:28">
      <c r="O3462" s="1"/>
      <c r="P3462" s="1"/>
      <c r="Q3462" s="1"/>
      <c r="R3462" s="1"/>
      <c r="Z3462" s="103"/>
      <c r="AA3462" s="103"/>
      <c r="AB3462" s="1"/>
    </row>
    <row r="3463" spans="15:28">
      <c r="O3463" s="1"/>
      <c r="P3463" s="1"/>
      <c r="Q3463" s="1"/>
      <c r="R3463" s="1"/>
      <c r="Z3463" s="103"/>
      <c r="AA3463" s="103"/>
      <c r="AB3463" s="1"/>
    </row>
    <row r="3464" spans="15:28">
      <c r="O3464" s="1"/>
      <c r="P3464" s="1"/>
      <c r="Q3464" s="1"/>
      <c r="R3464" s="1"/>
      <c r="Z3464" s="103"/>
      <c r="AA3464" s="103"/>
      <c r="AB3464" s="1"/>
    </row>
    <row r="3465" spans="15:28">
      <c r="O3465" s="1"/>
      <c r="P3465" s="1"/>
      <c r="Q3465" s="1"/>
      <c r="R3465" s="1"/>
      <c r="Z3465" s="103"/>
      <c r="AA3465" s="103"/>
      <c r="AB3465" s="1"/>
    </row>
    <row r="3466" spans="15:28">
      <c r="O3466" s="1"/>
      <c r="P3466" s="1"/>
      <c r="Q3466" s="1"/>
      <c r="R3466" s="1"/>
      <c r="Z3466" s="103"/>
      <c r="AA3466" s="103"/>
      <c r="AB3466" s="1"/>
    </row>
    <row r="3467" spans="15:28">
      <c r="O3467" s="1"/>
      <c r="P3467" s="1"/>
      <c r="Q3467" s="1"/>
      <c r="R3467" s="1"/>
      <c r="Z3467" s="103"/>
      <c r="AA3467" s="103"/>
      <c r="AB3467" s="1"/>
    </row>
    <row r="3468" spans="15:28">
      <c r="O3468" s="1"/>
      <c r="P3468" s="1"/>
      <c r="Q3468" s="1"/>
      <c r="R3468" s="1"/>
      <c r="Z3468" s="103"/>
      <c r="AA3468" s="103"/>
      <c r="AB3468" s="1"/>
    </row>
    <row r="3469" spans="15:28">
      <c r="O3469" s="1"/>
      <c r="P3469" s="1"/>
      <c r="Q3469" s="1"/>
      <c r="R3469" s="1"/>
      <c r="Z3469" s="103"/>
      <c r="AA3469" s="103"/>
      <c r="AB3469" s="1"/>
    </row>
    <row r="3470" spans="15:28">
      <c r="O3470" s="1"/>
      <c r="P3470" s="1"/>
      <c r="Q3470" s="1"/>
      <c r="R3470" s="1"/>
      <c r="Z3470" s="103"/>
      <c r="AA3470" s="103"/>
      <c r="AB3470" s="1"/>
    </row>
    <row r="3471" spans="15:28">
      <c r="O3471" s="1"/>
      <c r="P3471" s="1"/>
      <c r="Q3471" s="1"/>
      <c r="R3471" s="1"/>
      <c r="Z3471" s="103"/>
      <c r="AA3471" s="103"/>
      <c r="AB3471" s="1"/>
    </row>
    <row r="3472" spans="15:28">
      <c r="O3472" s="1"/>
      <c r="P3472" s="1"/>
      <c r="Q3472" s="1"/>
      <c r="R3472" s="1"/>
      <c r="Z3472" s="103"/>
      <c r="AA3472" s="103"/>
      <c r="AB3472" s="1"/>
    </row>
    <row r="3473" spans="15:28">
      <c r="O3473" s="1"/>
      <c r="P3473" s="1"/>
      <c r="Q3473" s="1"/>
      <c r="R3473" s="1"/>
      <c r="Z3473" s="103"/>
      <c r="AA3473" s="103"/>
      <c r="AB3473" s="1"/>
    </row>
    <row r="3474" spans="15:28">
      <c r="O3474" s="1"/>
      <c r="P3474" s="1"/>
      <c r="Q3474" s="1"/>
      <c r="R3474" s="1"/>
      <c r="Z3474" s="103"/>
      <c r="AA3474" s="103"/>
      <c r="AB3474" s="1"/>
    </row>
    <row r="3475" spans="15:28">
      <c r="O3475" s="1"/>
      <c r="P3475" s="1"/>
      <c r="Q3475" s="1"/>
      <c r="R3475" s="1"/>
      <c r="Z3475" s="103"/>
      <c r="AA3475" s="103"/>
      <c r="AB3475" s="1"/>
    </row>
    <row r="3476" spans="15:28">
      <c r="O3476" s="1"/>
      <c r="P3476" s="1"/>
      <c r="Q3476" s="1"/>
      <c r="R3476" s="1"/>
      <c r="Z3476" s="103"/>
      <c r="AA3476" s="103"/>
      <c r="AB3476" s="1"/>
    </row>
    <row r="3477" spans="15:28">
      <c r="O3477" s="1"/>
      <c r="P3477" s="1"/>
      <c r="Q3477" s="1"/>
      <c r="R3477" s="1"/>
      <c r="Z3477" s="103"/>
      <c r="AA3477" s="103"/>
      <c r="AB3477" s="1"/>
    </row>
    <row r="3478" spans="15:28">
      <c r="O3478" s="1"/>
      <c r="P3478" s="1"/>
      <c r="Q3478" s="1"/>
      <c r="R3478" s="1"/>
      <c r="Z3478" s="103"/>
      <c r="AA3478" s="103"/>
      <c r="AB3478" s="1"/>
    </row>
    <row r="3479" spans="15:28">
      <c r="O3479" s="1"/>
      <c r="P3479" s="1"/>
      <c r="Q3479" s="1"/>
      <c r="R3479" s="1"/>
      <c r="Z3479" s="103"/>
      <c r="AA3479" s="103"/>
      <c r="AB3479" s="1"/>
    </row>
    <row r="3480" spans="15:28">
      <c r="O3480" s="1"/>
      <c r="P3480" s="1"/>
      <c r="Q3480" s="1"/>
      <c r="R3480" s="1"/>
      <c r="Z3480" s="103"/>
      <c r="AA3480" s="103"/>
      <c r="AB3480" s="1"/>
    </row>
    <row r="3481" spans="15:28">
      <c r="O3481" s="1"/>
      <c r="P3481" s="1"/>
      <c r="Q3481" s="1"/>
      <c r="R3481" s="1"/>
      <c r="Z3481" s="103"/>
      <c r="AA3481" s="103"/>
      <c r="AB3481" s="1"/>
    </row>
    <row r="3482" spans="15:28">
      <c r="O3482" s="1"/>
      <c r="P3482" s="1"/>
      <c r="Q3482" s="1"/>
      <c r="R3482" s="1"/>
      <c r="Z3482" s="103"/>
      <c r="AA3482" s="103"/>
      <c r="AB3482" s="1"/>
    </row>
    <row r="3483" spans="15:28">
      <c r="O3483" s="1"/>
      <c r="P3483" s="1"/>
      <c r="Q3483" s="1"/>
      <c r="R3483" s="1"/>
      <c r="Z3483" s="103"/>
      <c r="AA3483" s="103"/>
      <c r="AB3483" s="1"/>
    </row>
    <row r="3484" spans="15:28">
      <c r="O3484" s="1"/>
      <c r="P3484" s="1"/>
      <c r="Q3484" s="1"/>
      <c r="R3484" s="1"/>
      <c r="Z3484" s="103"/>
      <c r="AA3484" s="103"/>
      <c r="AB3484" s="1"/>
    </row>
    <row r="3485" spans="15:28">
      <c r="O3485" s="1"/>
      <c r="P3485" s="1"/>
      <c r="Q3485" s="1"/>
      <c r="R3485" s="1"/>
      <c r="Z3485" s="103"/>
      <c r="AA3485" s="103"/>
      <c r="AB3485" s="1"/>
    </row>
    <row r="3486" spans="15:28">
      <c r="O3486" s="1"/>
      <c r="P3486" s="1"/>
      <c r="Q3486" s="1"/>
      <c r="R3486" s="1"/>
      <c r="Z3486" s="103"/>
      <c r="AA3486" s="103"/>
      <c r="AB3486" s="1"/>
    </row>
    <row r="3487" spans="15:28">
      <c r="O3487" s="1"/>
      <c r="P3487" s="1"/>
      <c r="Q3487" s="1"/>
      <c r="R3487" s="1"/>
      <c r="Z3487" s="103"/>
      <c r="AA3487" s="103"/>
      <c r="AB3487" s="1"/>
    </row>
    <row r="3488" spans="15:28">
      <c r="O3488" s="1"/>
      <c r="P3488" s="1"/>
      <c r="Q3488" s="1"/>
      <c r="R3488" s="1"/>
      <c r="Z3488" s="103"/>
      <c r="AA3488" s="103"/>
      <c r="AB3488" s="1"/>
    </row>
    <row r="3489" spans="15:30">
      <c r="O3489" s="1"/>
      <c r="P3489" s="1"/>
      <c r="Q3489" s="1"/>
      <c r="R3489" s="1"/>
      <c r="Z3489" s="103"/>
      <c r="AA3489" s="103"/>
      <c r="AB3489" s="1"/>
    </row>
    <row r="3490" spans="15:30">
      <c r="O3490" s="1"/>
      <c r="P3490" s="1"/>
      <c r="Q3490" s="1"/>
      <c r="R3490" s="1"/>
      <c r="Z3490" s="103"/>
      <c r="AA3490" s="103"/>
      <c r="AB3490" s="1"/>
    </row>
    <row r="3491" spans="15:30">
      <c r="O3491" s="1"/>
      <c r="P3491" s="1"/>
      <c r="Q3491" s="1"/>
      <c r="R3491" s="1"/>
      <c r="Z3491" s="103"/>
      <c r="AA3491" s="103"/>
      <c r="AB3491" s="1"/>
    </row>
    <row r="3492" spans="15:30">
      <c r="O3492" s="1"/>
      <c r="P3492" s="1"/>
      <c r="Q3492" s="1"/>
      <c r="R3492" s="1"/>
      <c r="Z3492" s="103"/>
      <c r="AA3492" s="103"/>
      <c r="AB3492" s="1"/>
    </row>
    <row r="3493" spans="15:30">
      <c r="O3493" s="1"/>
      <c r="P3493" s="1"/>
      <c r="Q3493" s="1"/>
      <c r="R3493" s="1"/>
      <c r="Z3493" s="103"/>
      <c r="AA3493" s="103"/>
      <c r="AB3493" s="1"/>
    </row>
    <row r="3494" spans="15:30">
      <c r="O3494" s="1"/>
      <c r="P3494" s="1"/>
      <c r="Q3494" s="1"/>
      <c r="R3494" s="1"/>
      <c r="Z3494" s="103"/>
      <c r="AA3494" s="103"/>
      <c r="AB3494" s="1"/>
    </row>
    <row r="3495" spans="15:30">
      <c r="O3495" s="1"/>
      <c r="P3495" s="1"/>
      <c r="Q3495" s="1"/>
      <c r="R3495" s="1"/>
      <c r="Z3495" s="103"/>
      <c r="AA3495" s="103"/>
      <c r="AB3495" s="1"/>
    </row>
    <row r="3496" spans="15:30">
      <c r="O3496" s="1"/>
      <c r="P3496" s="1"/>
      <c r="Q3496" s="1"/>
      <c r="R3496" s="1"/>
      <c r="Z3496" s="103"/>
      <c r="AA3496" s="103"/>
      <c r="AB3496" s="1"/>
    </row>
    <row r="3497" spans="15:30">
      <c r="O3497" s="1"/>
      <c r="P3497" s="1"/>
      <c r="Q3497" s="1"/>
      <c r="R3497" s="1"/>
      <c r="Z3497" s="103"/>
      <c r="AA3497" s="103"/>
      <c r="AB3497" s="1"/>
    </row>
    <row r="3498" spans="15:30">
      <c r="O3498" s="1"/>
      <c r="P3498" s="1"/>
      <c r="Q3498" s="1"/>
      <c r="R3498" s="1"/>
      <c r="Z3498" s="103"/>
      <c r="AA3498" s="103"/>
      <c r="AB3498" s="1"/>
    </row>
    <row r="3499" spans="15:30">
      <c r="O3499" s="1"/>
      <c r="P3499" s="1"/>
      <c r="Q3499" s="1"/>
      <c r="R3499" s="1"/>
      <c r="Z3499" s="103"/>
      <c r="AA3499" s="103"/>
      <c r="AB3499" s="1"/>
      <c r="AD3499" s="102"/>
    </row>
    <row r="3500" spans="15:30">
      <c r="O3500" s="1"/>
      <c r="P3500" s="1"/>
      <c r="Q3500" s="1"/>
      <c r="R3500" s="1"/>
      <c r="Z3500" s="103"/>
      <c r="AA3500" s="103"/>
      <c r="AB3500" s="1"/>
    </row>
    <row r="3501" spans="15:30">
      <c r="O3501" s="1"/>
      <c r="P3501" s="1"/>
      <c r="Q3501" s="1"/>
      <c r="R3501" s="1"/>
      <c r="Z3501" s="103"/>
      <c r="AA3501" s="103"/>
      <c r="AB3501" s="1"/>
    </row>
    <row r="3502" spans="15:30">
      <c r="O3502" s="1"/>
      <c r="P3502" s="1"/>
      <c r="Q3502" s="1"/>
      <c r="R3502" s="1"/>
      <c r="Z3502" s="103"/>
      <c r="AA3502" s="103"/>
      <c r="AB3502" s="1"/>
    </row>
    <row r="3503" spans="15:30">
      <c r="O3503" s="1"/>
      <c r="P3503" s="1"/>
      <c r="Q3503" s="1"/>
      <c r="R3503" s="1"/>
      <c r="Z3503" s="103"/>
      <c r="AA3503" s="103"/>
      <c r="AB3503" s="1"/>
    </row>
    <row r="3504" spans="15:30">
      <c r="O3504" s="1"/>
      <c r="P3504" s="1"/>
      <c r="Q3504" s="1"/>
      <c r="R3504" s="1"/>
      <c r="Z3504" s="103"/>
      <c r="AA3504" s="103"/>
      <c r="AB3504" s="1"/>
    </row>
    <row r="3505" spans="15:30">
      <c r="O3505" s="1"/>
      <c r="P3505" s="1"/>
      <c r="Q3505" s="1"/>
      <c r="R3505" s="1"/>
      <c r="Z3505" s="103"/>
      <c r="AA3505" s="103"/>
      <c r="AB3505" s="1"/>
    </row>
    <row r="3506" spans="15:30">
      <c r="O3506" s="1"/>
      <c r="P3506" s="1"/>
      <c r="Q3506" s="1"/>
      <c r="R3506" s="1"/>
      <c r="Z3506" s="103"/>
      <c r="AA3506" s="103"/>
      <c r="AB3506" s="1"/>
    </row>
    <row r="3507" spans="15:30">
      <c r="O3507" s="1"/>
      <c r="P3507" s="1"/>
      <c r="Q3507" s="1"/>
      <c r="R3507" s="1"/>
      <c r="Z3507" s="103"/>
      <c r="AA3507" s="103"/>
      <c r="AB3507" s="1"/>
    </row>
    <row r="3508" spans="15:30">
      <c r="O3508" s="1"/>
      <c r="P3508" s="1"/>
      <c r="Q3508" s="1"/>
      <c r="R3508" s="1"/>
      <c r="Z3508" s="103"/>
      <c r="AA3508" s="103"/>
      <c r="AB3508" s="1"/>
    </row>
    <row r="3509" spans="15:30">
      <c r="O3509" s="1"/>
      <c r="P3509" s="1"/>
      <c r="Q3509" s="1"/>
      <c r="R3509" s="1"/>
      <c r="Z3509" s="103"/>
      <c r="AA3509" s="103"/>
      <c r="AB3509" s="1"/>
    </row>
    <row r="3510" spans="15:30">
      <c r="O3510" s="1"/>
      <c r="P3510" s="1"/>
      <c r="Q3510" s="1"/>
      <c r="R3510" s="1"/>
      <c r="Z3510" s="103"/>
      <c r="AA3510" s="103"/>
      <c r="AB3510" s="1"/>
    </row>
    <row r="3511" spans="15:30">
      <c r="O3511" s="1"/>
      <c r="P3511" s="1"/>
      <c r="Q3511" s="1"/>
      <c r="R3511" s="1"/>
      <c r="Z3511" s="103"/>
      <c r="AA3511" s="103"/>
      <c r="AB3511" s="1"/>
    </row>
    <row r="3512" spans="15:30">
      <c r="O3512" s="1"/>
      <c r="P3512" s="1"/>
      <c r="Q3512" s="1"/>
      <c r="R3512" s="1"/>
      <c r="Z3512" s="103"/>
      <c r="AA3512" s="103"/>
      <c r="AB3512" s="1"/>
    </row>
    <row r="3513" spans="15:30">
      <c r="O3513" s="1"/>
      <c r="P3513" s="1"/>
      <c r="Q3513" s="1"/>
      <c r="R3513" s="1"/>
      <c r="Z3513" s="103"/>
      <c r="AA3513" s="103"/>
      <c r="AB3513" s="1"/>
    </row>
    <row r="3514" spans="15:30">
      <c r="O3514" s="1"/>
      <c r="P3514" s="1"/>
      <c r="Q3514" s="1"/>
      <c r="R3514" s="1"/>
      <c r="Z3514" s="103"/>
      <c r="AA3514" s="103"/>
      <c r="AB3514" s="1"/>
    </row>
    <row r="3515" spans="15:30">
      <c r="O3515" s="1"/>
      <c r="P3515" s="1"/>
      <c r="Q3515" s="1"/>
      <c r="R3515" s="1"/>
      <c r="Z3515" s="103"/>
      <c r="AA3515" s="103"/>
      <c r="AB3515" s="1"/>
    </row>
    <row r="3516" spans="15:30">
      <c r="O3516" s="1"/>
      <c r="P3516" s="1"/>
      <c r="Q3516" s="1"/>
      <c r="R3516" s="1"/>
      <c r="Z3516" s="103"/>
      <c r="AA3516" s="103"/>
      <c r="AB3516" s="1"/>
    </row>
    <row r="3517" spans="15:30">
      <c r="O3517" s="1"/>
      <c r="P3517" s="1"/>
      <c r="Q3517" s="1"/>
      <c r="R3517" s="1"/>
      <c r="Z3517" s="103"/>
      <c r="AA3517" s="103"/>
      <c r="AB3517" s="1"/>
    </row>
    <row r="3518" spans="15:30">
      <c r="O3518" s="1"/>
      <c r="P3518" s="1"/>
      <c r="Q3518" s="1"/>
      <c r="R3518" s="1"/>
      <c r="Z3518" s="103"/>
      <c r="AA3518" s="103"/>
      <c r="AB3518" s="1"/>
      <c r="AD3518" s="102"/>
    </row>
    <row r="3519" spans="15:30">
      <c r="O3519" s="1"/>
      <c r="P3519" s="1"/>
      <c r="Q3519" s="1"/>
      <c r="R3519" s="1"/>
      <c r="Z3519" s="103"/>
      <c r="AA3519" s="103"/>
      <c r="AB3519" s="1"/>
    </row>
    <row r="3520" spans="15:30">
      <c r="O3520" s="1"/>
      <c r="P3520" s="1"/>
      <c r="Q3520" s="1"/>
      <c r="R3520" s="1"/>
      <c r="Z3520" s="103"/>
      <c r="AA3520" s="103"/>
      <c r="AB3520" s="1"/>
    </row>
    <row r="3521" spans="15:28">
      <c r="O3521" s="1"/>
      <c r="P3521" s="1"/>
      <c r="Q3521" s="1"/>
      <c r="R3521" s="1"/>
      <c r="Z3521" s="103"/>
      <c r="AA3521" s="103"/>
      <c r="AB3521" s="1"/>
    </row>
    <row r="3522" spans="15:28">
      <c r="O3522" s="1"/>
      <c r="P3522" s="1"/>
      <c r="Q3522" s="1"/>
      <c r="R3522" s="1"/>
      <c r="Z3522" s="103"/>
      <c r="AA3522" s="103"/>
      <c r="AB3522" s="1"/>
    </row>
    <row r="3523" spans="15:28">
      <c r="O3523" s="1"/>
      <c r="P3523" s="1"/>
      <c r="Q3523" s="1"/>
      <c r="R3523" s="1"/>
      <c r="Z3523" s="103"/>
      <c r="AA3523" s="103"/>
      <c r="AB3523" s="1"/>
    </row>
    <row r="3524" spans="15:28">
      <c r="O3524" s="1"/>
      <c r="P3524" s="1"/>
      <c r="Q3524" s="1"/>
      <c r="R3524" s="1"/>
      <c r="Z3524" s="103"/>
      <c r="AA3524" s="103"/>
      <c r="AB3524" s="1"/>
    </row>
    <row r="3525" spans="15:28">
      <c r="O3525" s="1"/>
      <c r="P3525" s="1"/>
      <c r="Q3525" s="1"/>
      <c r="R3525" s="1"/>
      <c r="Z3525" s="103"/>
      <c r="AA3525" s="103"/>
      <c r="AB3525" s="1"/>
    </row>
    <row r="3526" spans="15:28">
      <c r="O3526" s="1"/>
      <c r="P3526" s="1"/>
      <c r="Q3526" s="1"/>
      <c r="R3526" s="1"/>
      <c r="Z3526" s="103"/>
      <c r="AA3526" s="103"/>
      <c r="AB3526" s="1"/>
    </row>
    <row r="3527" spans="15:28">
      <c r="O3527" s="1"/>
      <c r="P3527" s="1"/>
      <c r="Q3527" s="1"/>
      <c r="R3527" s="1"/>
      <c r="Z3527" s="103"/>
      <c r="AA3527" s="103"/>
      <c r="AB3527" s="1"/>
    </row>
    <row r="3528" spans="15:28">
      <c r="O3528" s="1"/>
      <c r="P3528" s="1"/>
      <c r="Q3528" s="1"/>
      <c r="R3528" s="1"/>
      <c r="Z3528" s="103"/>
      <c r="AA3528" s="103"/>
      <c r="AB3528" s="1"/>
    </row>
    <row r="3529" spans="15:28">
      <c r="O3529" s="1"/>
      <c r="P3529" s="1"/>
      <c r="Q3529" s="1"/>
      <c r="R3529" s="1"/>
      <c r="Z3529" s="103"/>
      <c r="AA3529" s="103"/>
      <c r="AB3529" s="1"/>
    </row>
    <row r="3530" spans="15:28">
      <c r="O3530" s="1"/>
      <c r="P3530" s="1"/>
      <c r="Q3530" s="1"/>
      <c r="R3530" s="1"/>
      <c r="Z3530" s="103"/>
      <c r="AA3530" s="103"/>
      <c r="AB3530" s="1"/>
    </row>
    <row r="3531" spans="15:28">
      <c r="O3531" s="1"/>
      <c r="P3531" s="1"/>
      <c r="Q3531" s="1"/>
      <c r="R3531" s="1"/>
      <c r="Z3531" s="103"/>
      <c r="AA3531" s="103"/>
      <c r="AB3531" s="1"/>
    </row>
    <row r="3532" spans="15:28">
      <c r="O3532" s="1"/>
      <c r="P3532" s="1"/>
      <c r="Q3532" s="1"/>
      <c r="R3532" s="1"/>
      <c r="Z3532" s="103"/>
      <c r="AA3532" s="103"/>
      <c r="AB3532" s="1"/>
    </row>
    <row r="3533" spans="15:28">
      <c r="O3533" s="1"/>
      <c r="P3533" s="1"/>
      <c r="Q3533" s="1"/>
      <c r="R3533" s="1"/>
      <c r="Z3533" s="103"/>
      <c r="AA3533" s="103"/>
      <c r="AB3533" s="1"/>
    </row>
    <row r="3534" spans="15:28">
      <c r="O3534" s="1"/>
      <c r="P3534" s="1"/>
      <c r="Q3534" s="1"/>
      <c r="R3534" s="1"/>
      <c r="Z3534" s="103"/>
      <c r="AA3534" s="103"/>
      <c r="AB3534" s="1"/>
    </row>
    <row r="3535" spans="15:28">
      <c r="O3535" s="1"/>
      <c r="P3535" s="1"/>
      <c r="Q3535" s="1"/>
      <c r="R3535" s="1"/>
      <c r="Z3535" s="103"/>
      <c r="AA3535" s="103"/>
      <c r="AB3535" s="1"/>
    </row>
    <row r="3536" spans="15:28">
      <c r="O3536" s="1"/>
      <c r="P3536" s="1"/>
      <c r="Q3536" s="1"/>
      <c r="R3536" s="1"/>
      <c r="Z3536" s="103"/>
      <c r="AA3536" s="103"/>
      <c r="AB3536" s="1"/>
    </row>
    <row r="3537" spans="15:28">
      <c r="O3537" s="1"/>
      <c r="P3537" s="1"/>
      <c r="Q3537" s="1"/>
      <c r="R3537" s="1"/>
      <c r="Z3537" s="103"/>
      <c r="AA3537" s="103"/>
      <c r="AB3537" s="1"/>
    </row>
    <row r="3538" spans="15:28">
      <c r="O3538" s="1"/>
      <c r="P3538" s="1"/>
      <c r="Q3538" s="1"/>
      <c r="R3538" s="1"/>
      <c r="Z3538" s="103"/>
      <c r="AA3538" s="103"/>
      <c r="AB3538" s="1"/>
    </row>
    <row r="3539" spans="15:28">
      <c r="O3539" s="1"/>
      <c r="P3539" s="1"/>
      <c r="Q3539" s="1"/>
      <c r="R3539" s="1"/>
      <c r="Z3539" s="103"/>
      <c r="AA3539" s="103"/>
      <c r="AB3539" s="1"/>
    </row>
    <row r="3540" spans="15:28">
      <c r="O3540" s="1"/>
      <c r="P3540" s="1"/>
      <c r="Q3540" s="1"/>
      <c r="R3540" s="1"/>
      <c r="Z3540" s="103"/>
      <c r="AA3540" s="103"/>
      <c r="AB3540" s="1"/>
    </row>
    <row r="3541" spans="15:28">
      <c r="O3541" s="1"/>
      <c r="P3541" s="1"/>
      <c r="Q3541" s="1"/>
      <c r="R3541" s="1"/>
      <c r="Z3541" s="103"/>
      <c r="AA3541" s="103"/>
      <c r="AB3541" s="1"/>
    </row>
    <row r="3542" spans="15:28">
      <c r="O3542" s="1"/>
      <c r="P3542" s="1"/>
      <c r="Q3542" s="1"/>
      <c r="R3542" s="1"/>
      <c r="Z3542" s="103"/>
      <c r="AA3542" s="103"/>
      <c r="AB3542" s="1"/>
    </row>
    <row r="3543" spans="15:28">
      <c r="O3543" s="1"/>
      <c r="P3543" s="1"/>
      <c r="Q3543" s="1"/>
      <c r="R3543" s="1"/>
      <c r="Z3543" s="103"/>
      <c r="AA3543" s="103"/>
      <c r="AB3543" s="1"/>
    </row>
    <row r="3544" spans="15:28">
      <c r="O3544" s="1"/>
      <c r="P3544" s="1"/>
      <c r="Q3544" s="1"/>
      <c r="R3544" s="1"/>
      <c r="Z3544" s="103"/>
      <c r="AA3544" s="103"/>
      <c r="AB3544" s="1"/>
    </row>
    <row r="3545" spans="15:28">
      <c r="O3545" s="1"/>
      <c r="P3545" s="1"/>
      <c r="Q3545" s="1"/>
      <c r="R3545" s="1"/>
      <c r="Z3545" s="103"/>
      <c r="AA3545" s="103"/>
      <c r="AB3545" s="1"/>
    </row>
    <row r="3546" spans="15:28">
      <c r="O3546" s="1"/>
      <c r="P3546" s="1"/>
      <c r="Q3546" s="1"/>
      <c r="R3546" s="1"/>
      <c r="Z3546" s="103"/>
      <c r="AA3546" s="103"/>
      <c r="AB3546" s="1"/>
    </row>
    <row r="3547" spans="15:28">
      <c r="O3547" s="1"/>
      <c r="P3547" s="1"/>
      <c r="Q3547" s="1"/>
      <c r="R3547" s="1"/>
      <c r="Z3547" s="103"/>
      <c r="AA3547" s="103"/>
      <c r="AB3547" s="1"/>
    </row>
    <row r="3548" spans="15:28">
      <c r="O3548" s="1"/>
      <c r="P3548" s="1"/>
      <c r="Q3548" s="1"/>
      <c r="R3548" s="1"/>
      <c r="Z3548" s="103"/>
      <c r="AA3548" s="103"/>
      <c r="AB3548" s="1"/>
    </row>
    <row r="3549" spans="15:28">
      <c r="O3549" s="1"/>
      <c r="P3549" s="1"/>
      <c r="Q3549" s="1"/>
      <c r="R3549" s="1"/>
      <c r="Z3549" s="103"/>
      <c r="AA3549" s="103"/>
      <c r="AB3549" s="1"/>
    </row>
    <row r="3550" spans="15:28">
      <c r="O3550" s="1"/>
      <c r="P3550" s="1"/>
      <c r="Q3550" s="1"/>
      <c r="R3550" s="1"/>
      <c r="Z3550" s="103"/>
      <c r="AA3550" s="103"/>
      <c r="AB3550" s="1"/>
    </row>
    <row r="3551" spans="15:28">
      <c r="O3551" s="1"/>
      <c r="P3551" s="1"/>
      <c r="Q3551" s="1"/>
      <c r="R3551" s="1"/>
      <c r="Z3551" s="103"/>
      <c r="AA3551" s="103"/>
      <c r="AB3551" s="1"/>
    </row>
    <row r="3552" spans="15:28">
      <c r="O3552" s="1"/>
      <c r="P3552" s="1"/>
      <c r="Q3552" s="1"/>
      <c r="R3552" s="1"/>
      <c r="Z3552" s="103"/>
      <c r="AA3552" s="103"/>
      <c r="AB3552" s="1"/>
    </row>
    <row r="3553" spans="15:30">
      <c r="O3553" s="1"/>
      <c r="P3553" s="1"/>
      <c r="Q3553" s="1"/>
      <c r="R3553" s="1"/>
      <c r="Z3553" s="103"/>
      <c r="AA3553" s="103"/>
      <c r="AB3553" s="1"/>
    </row>
    <row r="3554" spans="15:30">
      <c r="O3554" s="1"/>
      <c r="P3554" s="1"/>
      <c r="Q3554" s="1"/>
      <c r="R3554" s="1"/>
      <c r="Z3554" s="103"/>
      <c r="AA3554" s="103"/>
      <c r="AB3554" s="1"/>
      <c r="AD3554" s="102"/>
    </row>
    <row r="3555" spans="15:30">
      <c r="O3555" s="1"/>
      <c r="P3555" s="1"/>
      <c r="Q3555" s="1"/>
      <c r="R3555" s="1"/>
      <c r="Z3555" s="103"/>
      <c r="AA3555" s="103"/>
      <c r="AB3555" s="1"/>
      <c r="AD3555" s="102"/>
    </row>
    <row r="3556" spans="15:30">
      <c r="O3556" s="1"/>
      <c r="P3556" s="1"/>
      <c r="Q3556" s="1"/>
      <c r="R3556" s="1"/>
      <c r="Z3556" s="103"/>
      <c r="AA3556" s="103"/>
      <c r="AB3556" s="1"/>
    </row>
    <row r="3557" spans="15:30">
      <c r="O3557" s="1"/>
      <c r="P3557" s="1"/>
      <c r="Q3557" s="1"/>
      <c r="R3557" s="1"/>
      <c r="Z3557" s="103"/>
      <c r="AA3557" s="103"/>
      <c r="AB3557" s="1"/>
      <c r="AD3557" s="102"/>
    </row>
    <row r="3558" spans="15:30">
      <c r="O3558" s="1"/>
      <c r="P3558" s="1"/>
      <c r="Q3558" s="1"/>
      <c r="R3558" s="1"/>
      <c r="Z3558" s="103"/>
      <c r="AA3558" s="103"/>
      <c r="AB3558" s="1"/>
    </row>
    <row r="3559" spans="15:30">
      <c r="O3559" s="1"/>
      <c r="P3559" s="1"/>
      <c r="Q3559" s="1"/>
      <c r="R3559" s="1"/>
      <c r="Z3559" s="103"/>
      <c r="AA3559" s="103"/>
      <c r="AB3559" s="1"/>
    </row>
    <row r="3560" spans="15:30">
      <c r="O3560" s="1"/>
      <c r="P3560" s="1"/>
      <c r="Q3560" s="1"/>
      <c r="R3560" s="1"/>
      <c r="Z3560" s="103"/>
      <c r="AA3560" s="103"/>
      <c r="AB3560" s="1"/>
    </row>
    <row r="3561" spans="15:30">
      <c r="O3561" s="1"/>
      <c r="P3561" s="1"/>
      <c r="Q3561" s="1"/>
      <c r="R3561" s="1"/>
      <c r="Z3561" s="103"/>
      <c r="AA3561" s="103"/>
      <c r="AB3561" s="1"/>
    </row>
    <row r="3562" spans="15:30">
      <c r="O3562" s="1"/>
      <c r="P3562" s="1"/>
      <c r="Q3562" s="1"/>
      <c r="R3562" s="1"/>
      <c r="Z3562" s="103"/>
      <c r="AA3562" s="103"/>
      <c r="AB3562" s="1"/>
    </row>
    <row r="3563" spans="15:30">
      <c r="O3563" s="1"/>
      <c r="P3563" s="1"/>
      <c r="Q3563" s="1"/>
      <c r="R3563" s="1"/>
      <c r="Z3563" s="103"/>
      <c r="AA3563" s="103"/>
      <c r="AB3563" s="1"/>
    </row>
    <row r="3564" spans="15:30">
      <c r="O3564" s="1"/>
      <c r="P3564" s="1"/>
      <c r="Q3564" s="1"/>
      <c r="R3564" s="1"/>
      <c r="Z3564" s="103"/>
      <c r="AA3564" s="103"/>
      <c r="AB3564" s="1"/>
    </row>
    <row r="3565" spans="15:30">
      <c r="O3565" s="1"/>
      <c r="P3565" s="1"/>
      <c r="Q3565" s="1"/>
      <c r="R3565" s="1"/>
      <c r="Z3565" s="103"/>
      <c r="AA3565" s="103"/>
      <c r="AB3565" s="1"/>
    </row>
    <row r="3566" spans="15:30">
      <c r="O3566" s="1"/>
      <c r="P3566" s="1"/>
      <c r="Q3566" s="1"/>
      <c r="R3566" s="1"/>
      <c r="Z3566" s="103"/>
      <c r="AA3566" s="103"/>
      <c r="AB3566" s="1"/>
    </row>
    <row r="3567" spans="15:30">
      <c r="O3567" s="1"/>
      <c r="P3567" s="1"/>
      <c r="Q3567" s="1"/>
      <c r="R3567" s="1"/>
      <c r="Z3567" s="103"/>
      <c r="AA3567" s="103"/>
      <c r="AB3567" s="1"/>
    </row>
    <row r="3568" spans="15:30">
      <c r="O3568" s="1"/>
      <c r="P3568" s="1"/>
      <c r="Q3568" s="1"/>
      <c r="R3568" s="1"/>
      <c r="Z3568" s="103"/>
      <c r="AA3568" s="103"/>
      <c r="AB3568" s="1"/>
    </row>
    <row r="3569" spans="15:28">
      <c r="O3569" s="1"/>
      <c r="P3569" s="1"/>
      <c r="Q3569" s="1"/>
      <c r="R3569" s="1"/>
      <c r="Z3569" s="103"/>
      <c r="AA3569" s="103"/>
      <c r="AB3569" s="1"/>
    </row>
    <row r="3570" spans="15:28">
      <c r="O3570" s="1"/>
      <c r="P3570" s="1"/>
      <c r="Q3570" s="1"/>
      <c r="R3570" s="1"/>
      <c r="Z3570" s="103"/>
      <c r="AA3570" s="103"/>
      <c r="AB3570" s="1"/>
    </row>
    <row r="3571" spans="15:28">
      <c r="O3571" s="1"/>
      <c r="P3571" s="1"/>
      <c r="Q3571" s="1"/>
      <c r="R3571" s="1"/>
      <c r="Z3571" s="103"/>
      <c r="AA3571" s="103"/>
      <c r="AB3571" s="1"/>
    </row>
    <row r="3572" spans="15:28">
      <c r="O3572" s="1"/>
      <c r="P3572" s="1"/>
      <c r="Q3572" s="1"/>
      <c r="R3572" s="1"/>
      <c r="Z3572" s="103"/>
      <c r="AA3572" s="103"/>
      <c r="AB3572" s="1"/>
    </row>
    <row r="3573" spans="15:28">
      <c r="O3573" s="1"/>
      <c r="P3573" s="1"/>
      <c r="Q3573" s="1"/>
      <c r="R3573" s="1"/>
      <c r="Z3573" s="103"/>
      <c r="AA3573" s="103"/>
      <c r="AB3573" s="1"/>
    </row>
    <row r="3574" spans="15:28">
      <c r="O3574" s="1"/>
      <c r="P3574" s="1"/>
      <c r="Q3574" s="1"/>
      <c r="R3574" s="1"/>
      <c r="Z3574" s="103"/>
      <c r="AA3574" s="103"/>
      <c r="AB3574" s="1"/>
    </row>
    <row r="3575" spans="15:28">
      <c r="O3575" s="1"/>
      <c r="P3575" s="1"/>
      <c r="Q3575" s="1"/>
      <c r="R3575" s="1"/>
      <c r="Z3575" s="103"/>
      <c r="AA3575" s="103"/>
      <c r="AB3575" s="1"/>
    </row>
    <row r="3576" spans="15:28">
      <c r="O3576" s="1"/>
      <c r="P3576" s="1"/>
      <c r="Q3576" s="1"/>
      <c r="R3576" s="1"/>
      <c r="Z3576" s="103"/>
      <c r="AA3576" s="103"/>
      <c r="AB3576" s="1"/>
    </row>
    <row r="3577" spans="15:28">
      <c r="O3577" s="1"/>
      <c r="P3577" s="1"/>
      <c r="Q3577" s="1"/>
      <c r="R3577" s="1"/>
      <c r="Z3577" s="103"/>
      <c r="AA3577" s="103"/>
      <c r="AB3577" s="1"/>
    </row>
    <row r="3578" spans="15:28">
      <c r="O3578" s="1"/>
      <c r="P3578" s="1"/>
      <c r="Q3578" s="1"/>
      <c r="R3578" s="1"/>
      <c r="Z3578" s="103"/>
      <c r="AA3578" s="103"/>
      <c r="AB3578" s="1"/>
    </row>
    <row r="3579" spans="15:28">
      <c r="O3579" s="1"/>
      <c r="P3579" s="1"/>
      <c r="Q3579" s="1"/>
      <c r="R3579" s="1"/>
      <c r="Z3579" s="103"/>
      <c r="AA3579" s="103"/>
      <c r="AB3579" s="1"/>
    </row>
    <row r="3580" spans="15:28">
      <c r="O3580" s="1"/>
      <c r="P3580" s="1"/>
      <c r="Q3580" s="1"/>
      <c r="R3580" s="1"/>
      <c r="Z3580" s="103"/>
      <c r="AA3580" s="103"/>
      <c r="AB3580" s="1"/>
    </row>
    <row r="3581" spans="15:28">
      <c r="O3581" s="1"/>
      <c r="P3581" s="1"/>
      <c r="Q3581" s="1"/>
      <c r="R3581" s="1"/>
      <c r="Z3581" s="103"/>
      <c r="AA3581" s="103"/>
      <c r="AB3581" s="1"/>
    </row>
    <row r="3582" spans="15:28">
      <c r="O3582" s="1"/>
      <c r="P3582" s="1"/>
      <c r="Q3582" s="1"/>
      <c r="R3582" s="1"/>
      <c r="Z3582" s="103"/>
      <c r="AA3582" s="103"/>
      <c r="AB3582" s="1"/>
    </row>
    <row r="3583" spans="15:28">
      <c r="O3583" s="1"/>
      <c r="P3583" s="1"/>
      <c r="Q3583" s="1"/>
      <c r="R3583" s="1"/>
      <c r="Z3583" s="103"/>
      <c r="AA3583" s="103"/>
      <c r="AB3583" s="1"/>
    </row>
    <row r="3584" spans="15:28">
      <c r="O3584" s="1"/>
      <c r="P3584" s="1"/>
      <c r="Q3584" s="1"/>
      <c r="R3584" s="1"/>
      <c r="Z3584" s="103"/>
      <c r="AA3584" s="103"/>
      <c r="AB3584" s="1"/>
    </row>
    <row r="3585" spans="15:30">
      <c r="O3585" s="1"/>
      <c r="P3585" s="1"/>
      <c r="Q3585" s="1"/>
      <c r="R3585" s="1"/>
      <c r="Z3585" s="103"/>
      <c r="AA3585" s="103"/>
      <c r="AB3585" s="1"/>
    </row>
    <row r="3586" spans="15:30">
      <c r="O3586" s="1"/>
      <c r="P3586" s="1"/>
      <c r="Q3586" s="1"/>
      <c r="R3586" s="1"/>
      <c r="Z3586" s="103"/>
      <c r="AA3586" s="103"/>
      <c r="AB3586" s="1"/>
    </row>
    <row r="3587" spans="15:30">
      <c r="O3587" s="1"/>
      <c r="P3587" s="1"/>
      <c r="Q3587" s="1"/>
      <c r="R3587" s="1"/>
      <c r="Z3587" s="103"/>
      <c r="AA3587" s="103"/>
      <c r="AB3587" s="1"/>
    </row>
    <row r="3588" spans="15:30">
      <c r="O3588" s="1"/>
      <c r="P3588" s="1"/>
      <c r="Q3588" s="1"/>
      <c r="R3588" s="1"/>
      <c r="Z3588" s="103"/>
      <c r="AA3588" s="103"/>
      <c r="AB3588" s="1"/>
      <c r="AD3588" s="102"/>
    </row>
    <row r="3589" spans="15:30">
      <c r="O3589" s="1"/>
      <c r="P3589" s="1"/>
      <c r="Q3589" s="1"/>
      <c r="R3589" s="1"/>
      <c r="Z3589" s="103"/>
      <c r="AA3589" s="103"/>
      <c r="AB3589" s="1"/>
    </row>
    <row r="3590" spans="15:30">
      <c r="O3590" s="1"/>
      <c r="P3590" s="1"/>
      <c r="Q3590" s="1"/>
      <c r="R3590" s="1"/>
      <c r="Z3590" s="103"/>
      <c r="AA3590" s="103"/>
      <c r="AB3590" s="1"/>
    </row>
    <row r="3591" spans="15:30">
      <c r="O3591" s="1"/>
      <c r="P3591" s="1"/>
      <c r="Q3591" s="1"/>
      <c r="R3591" s="1"/>
      <c r="Z3591" s="103"/>
      <c r="AA3591" s="103"/>
      <c r="AB3591" s="1"/>
    </row>
    <row r="3592" spans="15:30">
      <c r="O3592" s="1"/>
      <c r="P3592" s="1"/>
      <c r="Q3592" s="1"/>
      <c r="R3592" s="1"/>
      <c r="Z3592" s="103"/>
      <c r="AA3592" s="103"/>
      <c r="AB3592" s="1"/>
    </row>
    <row r="3593" spans="15:30">
      <c r="O3593" s="1"/>
      <c r="P3593" s="1"/>
      <c r="Q3593" s="1"/>
      <c r="R3593" s="1"/>
      <c r="Z3593" s="103"/>
      <c r="AA3593" s="103"/>
      <c r="AB3593" s="1"/>
    </row>
    <row r="3594" spans="15:30">
      <c r="O3594" s="1"/>
      <c r="P3594" s="1"/>
      <c r="Q3594" s="1"/>
      <c r="R3594" s="1"/>
      <c r="Z3594" s="103"/>
      <c r="AA3594" s="103"/>
      <c r="AB3594" s="1"/>
    </row>
    <row r="3595" spans="15:30">
      <c r="O3595" s="1"/>
      <c r="P3595" s="1"/>
      <c r="Q3595" s="1"/>
      <c r="R3595" s="1"/>
      <c r="Z3595" s="103"/>
      <c r="AA3595" s="103"/>
      <c r="AB3595" s="1"/>
    </row>
    <row r="3596" spans="15:30">
      <c r="O3596" s="1"/>
      <c r="P3596" s="1"/>
      <c r="Q3596" s="1"/>
      <c r="R3596" s="1"/>
      <c r="Z3596" s="103"/>
      <c r="AA3596" s="103"/>
      <c r="AB3596" s="1"/>
    </row>
    <row r="3597" spans="15:30">
      <c r="O3597" s="1"/>
      <c r="P3597" s="1"/>
      <c r="Q3597" s="1"/>
      <c r="R3597" s="1"/>
      <c r="Z3597" s="103"/>
      <c r="AA3597" s="103"/>
      <c r="AB3597" s="1"/>
    </row>
    <row r="3598" spans="15:30">
      <c r="O3598" s="1"/>
      <c r="P3598" s="1"/>
      <c r="Q3598" s="1"/>
      <c r="R3598" s="1"/>
      <c r="Z3598" s="103"/>
      <c r="AA3598" s="103"/>
      <c r="AB3598" s="1"/>
    </row>
    <row r="3599" spans="15:30">
      <c r="O3599" s="1"/>
      <c r="P3599" s="1"/>
      <c r="Q3599" s="1"/>
      <c r="R3599" s="1"/>
      <c r="Z3599" s="103"/>
      <c r="AA3599" s="103"/>
      <c r="AB3599" s="1"/>
    </row>
    <row r="3600" spans="15:30">
      <c r="O3600" s="1"/>
      <c r="P3600" s="1"/>
      <c r="Q3600" s="1"/>
      <c r="R3600" s="1"/>
      <c r="Z3600" s="103"/>
      <c r="AA3600" s="103"/>
      <c r="AB3600" s="1"/>
    </row>
    <row r="3601" spans="15:28">
      <c r="O3601" s="1"/>
      <c r="P3601" s="1"/>
      <c r="Q3601" s="1"/>
      <c r="R3601" s="1"/>
      <c r="Z3601" s="103"/>
      <c r="AA3601" s="103"/>
      <c r="AB3601" s="1"/>
    </row>
    <row r="3602" spans="15:28">
      <c r="O3602" s="1"/>
      <c r="P3602" s="1"/>
      <c r="Q3602" s="1"/>
      <c r="R3602" s="1"/>
      <c r="Z3602" s="103"/>
      <c r="AA3602" s="103"/>
      <c r="AB3602" s="1"/>
    </row>
    <row r="3603" spans="15:28">
      <c r="O3603" s="1"/>
      <c r="P3603" s="1"/>
      <c r="Q3603" s="1"/>
      <c r="R3603" s="1"/>
      <c r="Z3603" s="103"/>
      <c r="AA3603" s="103"/>
      <c r="AB3603" s="1"/>
    </row>
    <row r="3604" spans="15:28">
      <c r="O3604" s="1"/>
      <c r="P3604" s="1"/>
      <c r="Q3604" s="1"/>
      <c r="R3604" s="1"/>
      <c r="Z3604" s="103"/>
      <c r="AA3604" s="103"/>
      <c r="AB3604" s="1"/>
    </row>
    <row r="3605" spans="15:28">
      <c r="O3605" s="1"/>
      <c r="P3605" s="1"/>
      <c r="Q3605" s="1"/>
      <c r="R3605" s="1"/>
      <c r="Z3605" s="103"/>
      <c r="AA3605" s="103"/>
      <c r="AB3605" s="1"/>
    </row>
    <row r="3606" spans="15:28">
      <c r="O3606" s="1"/>
      <c r="P3606" s="1"/>
      <c r="Q3606" s="1"/>
      <c r="R3606" s="1"/>
      <c r="Z3606" s="103"/>
      <c r="AA3606" s="103"/>
      <c r="AB3606" s="1"/>
    </row>
    <row r="3607" spans="15:28">
      <c r="O3607" s="1"/>
      <c r="P3607" s="1"/>
      <c r="Q3607" s="1"/>
      <c r="R3607" s="1"/>
      <c r="Z3607" s="103"/>
      <c r="AA3607" s="103"/>
      <c r="AB3607" s="1"/>
    </row>
    <row r="3608" spans="15:28">
      <c r="O3608" s="1"/>
      <c r="P3608" s="1"/>
      <c r="Q3608" s="1"/>
      <c r="R3608" s="1"/>
      <c r="Z3608" s="103"/>
      <c r="AA3608" s="103"/>
      <c r="AB3608" s="1"/>
    </row>
    <row r="3609" spans="15:28">
      <c r="O3609" s="1"/>
      <c r="P3609" s="1"/>
      <c r="Q3609" s="1"/>
      <c r="R3609" s="1"/>
      <c r="Z3609" s="103"/>
      <c r="AA3609" s="103"/>
      <c r="AB3609" s="1"/>
    </row>
    <row r="3610" spans="15:28">
      <c r="O3610" s="1"/>
      <c r="P3610" s="1"/>
      <c r="Q3610" s="1"/>
      <c r="R3610" s="1"/>
      <c r="Z3610" s="103"/>
      <c r="AA3610" s="103"/>
      <c r="AB3610" s="1"/>
    </row>
    <row r="3611" spans="15:28">
      <c r="O3611" s="1"/>
      <c r="P3611" s="1"/>
      <c r="Q3611" s="1"/>
      <c r="R3611" s="1"/>
      <c r="Z3611" s="103"/>
      <c r="AA3611" s="103"/>
      <c r="AB3611" s="1"/>
    </row>
    <row r="3612" spans="15:28">
      <c r="O3612" s="1"/>
      <c r="P3612" s="1"/>
      <c r="Q3612" s="1"/>
      <c r="R3612" s="1"/>
      <c r="Z3612" s="103"/>
      <c r="AA3612" s="103"/>
      <c r="AB3612" s="1"/>
    </row>
    <row r="3613" spans="15:28">
      <c r="O3613" s="1"/>
      <c r="P3613" s="1"/>
      <c r="Q3613" s="1"/>
      <c r="R3613" s="1"/>
      <c r="Z3613" s="103"/>
      <c r="AA3613" s="103"/>
      <c r="AB3613" s="1"/>
    </row>
    <row r="3614" spans="15:28">
      <c r="O3614" s="1"/>
      <c r="P3614" s="1"/>
      <c r="Q3614" s="1"/>
      <c r="R3614" s="1"/>
      <c r="Z3614" s="103"/>
      <c r="AA3614" s="103"/>
      <c r="AB3614" s="1"/>
    </row>
    <row r="3615" spans="15:28">
      <c r="O3615" s="1"/>
      <c r="P3615" s="1"/>
      <c r="Q3615" s="1"/>
      <c r="R3615" s="1"/>
      <c r="Z3615" s="103"/>
      <c r="AA3615" s="103"/>
      <c r="AB3615" s="1"/>
    </row>
    <row r="3616" spans="15:28">
      <c r="O3616" s="1"/>
      <c r="P3616" s="1"/>
      <c r="Q3616" s="1"/>
      <c r="R3616" s="1"/>
      <c r="Z3616" s="103"/>
      <c r="AA3616" s="103"/>
      <c r="AB3616" s="1"/>
    </row>
    <row r="3617" spans="15:30">
      <c r="O3617" s="1"/>
      <c r="P3617" s="1"/>
      <c r="Q3617" s="1"/>
      <c r="R3617" s="1"/>
      <c r="Z3617" s="103"/>
      <c r="AA3617" s="103"/>
      <c r="AB3617" s="1"/>
    </row>
    <row r="3618" spans="15:30">
      <c r="O3618" s="1"/>
      <c r="P3618" s="1"/>
      <c r="Q3618" s="1"/>
      <c r="R3618" s="1"/>
      <c r="Z3618" s="103"/>
      <c r="AA3618" s="103"/>
      <c r="AB3618" s="1"/>
    </row>
    <row r="3619" spans="15:30">
      <c r="O3619" s="1"/>
      <c r="P3619" s="1"/>
      <c r="Q3619" s="1"/>
      <c r="R3619" s="1"/>
      <c r="Z3619" s="103"/>
      <c r="AA3619" s="103"/>
      <c r="AB3619" s="1"/>
    </row>
    <row r="3620" spans="15:30">
      <c r="O3620" s="1"/>
      <c r="P3620" s="1"/>
      <c r="Q3620" s="1"/>
      <c r="R3620" s="1"/>
      <c r="Z3620" s="103"/>
      <c r="AA3620" s="103"/>
      <c r="AB3620" s="1"/>
    </row>
    <row r="3621" spans="15:30">
      <c r="O3621" s="1"/>
      <c r="P3621" s="1"/>
      <c r="Q3621" s="1"/>
      <c r="R3621" s="1"/>
      <c r="Z3621" s="103"/>
      <c r="AA3621" s="103"/>
      <c r="AB3621" s="1"/>
    </row>
    <row r="3622" spans="15:30">
      <c r="O3622" s="1"/>
      <c r="P3622" s="1"/>
      <c r="Q3622" s="1"/>
      <c r="R3622" s="1"/>
      <c r="Z3622" s="103"/>
      <c r="AA3622" s="103"/>
      <c r="AB3622" s="1"/>
    </row>
    <row r="3623" spans="15:30">
      <c r="O3623" s="1"/>
      <c r="P3623" s="1"/>
      <c r="Q3623" s="1"/>
      <c r="R3623" s="1"/>
      <c r="Z3623" s="103"/>
      <c r="AA3623" s="103"/>
      <c r="AB3623" s="1"/>
    </row>
    <row r="3624" spans="15:30">
      <c r="O3624" s="1"/>
      <c r="P3624" s="1"/>
      <c r="Q3624" s="1"/>
      <c r="R3624" s="1"/>
      <c r="Z3624" s="103"/>
      <c r="AA3624" s="103"/>
      <c r="AB3624" s="1"/>
    </row>
    <row r="3625" spans="15:30">
      <c r="O3625" s="1"/>
      <c r="P3625" s="1"/>
      <c r="Q3625" s="1"/>
      <c r="R3625" s="1"/>
      <c r="Z3625" s="103"/>
      <c r="AA3625" s="103"/>
      <c r="AB3625" s="1"/>
    </row>
    <row r="3626" spans="15:30">
      <c r="O3626" s="1"/>
      <c r="P3626" s="1"/>
      <c r="Q3626" s="1"/>
      <c r="R3626" s="1"/>
      <c r="Z3626" s="103"/>
      <c r="AA3626" s="103"/>
      <c r="AB3626" s="1"/>
      <c r="AD3626" s="102"/>
    </row>
    <row r="3627" spans="15:30">
      <c r="O3627" s="1"/>
      <c r="P3627" s="1"/>
      <c r="Q3627" s="1"/>
      <c r="R3627" s="1"/>
      <c r="Z3627" s="103"/>
      <c r="AA3627" s="103"/>
      <c r="AB3627" s="1"/>
    </row>
    <row r="3628" spans="15:30">
      <c r="O3628" s="1"/>
      <c r="P3628" s="1"/>
      <c r="Q3628" s="1"/>
      <c r="R3628" s="1"/>
      <c r="Z3628" s="103"/>
      <c r="AA3628" s="103"/>
      <c r="AB3628" s="1"/>
    </row>
    <row r="3629" spans="15:30">
      <c r="O3629" s="1"/>
      <c r="P3629" s="1"/>
      <c r="Q3629" s="1"/>
      <c r="R3629" s="1"/>
      <c r="Z3629" s="103"/>
      <c r="AA3629" s="103"/>
      <c r="AB3629" s="1"/>
    </row>
    <row r="3630" spans="15:30">
      <c r="O3630" s="1"/>
      <c r="P3630" s="1"/>
      <c r="Q3630" s="1"/>
      <c r="R3630" s="1"/>
      <c r="Z3630" s="103"/>
      <c r="AA3630" s="103"/>
      <c r="AB3630" s="1"/>
    </row>
    <row r="3631" spans="15:30">
      <c r="O3631" s="1"/>
      <c r="P3631" s="1"/>
      <c r="Q3631" s="1"/>
      <c r="R3631" s="1"/>
      <c r="Z3631" s="103"/>
      <c r="AA3631" s="103"/>
      <c r="AB3631" s="1"/>
    </row>
    <row r="3632" spans="15:30">
      <c r="O3632" s="1"/>
      <c r="P3632" s="1"/>
      <c r="Q3632" s="1"/>
      <c r="R3632" s="1"/>
      <c r="Z3632" s="103"/>
      <c r="AA3632" s="103"/>
      <c r="AB3632" s="1"/>
    </row>
    <row r="3633" spans="15:30">
      <c r="O3633" s="1"/>
      <c r="P3633" s="1"/>
      <c r="Q3633" s="1"/>
      <c r="R3633" s="1"/>
      <c r="Z3633" s="103"/>
      <c r="AA3633" s="103"/>
      <c r="AB3633" s="1"/>
    </row>
    <row r="3634" spans="15:30">
      <c r="O3634" s="1"/>
      <c r="P3634" s="1"/>
      <c r="Q3634" s="1"/>
      <c r="R3634" s="1"/>
      <c r="Z3634" s="103"/>
      <c r="AA3634" s="103"/>
      <c r="AB3634" s="1"/>
    </row>
    <row r="3635" spans="15:30">
      <c r="O3635" s="1"/>
      <c r="P3635" s="1"/>
      <c r="Q3635" s="1"/>
      <c r="R3635" s="1"/>
      <c r="Z3635" s="103"/>
      <c r="AA3635" s="103"/>
      <c r="AB3635" s="1"/>
    </row>
    <row r="3636" spans="15:30">
      <c r="O3636" s="1"/>
      <c r="P3636" s="1"/>
      <c r="Q3636" s="1"/>
      <c r="R3636" s="1"/>
      <c r="Z3636" s="103"/>
      <c r="AA3636" s="103"/>
      <c r="AB3636" s="1"/>
    </row>
    <row r="3637" spans="15:30">
      <c r="O3637" s="1"/>
      <c r="P3637" s="1"/>
      <c r="Q3637" s="1"/>
      <c r="R3637" s="1"/>
      <c r="Z3637" s="103"/>
      <c r="AA3637" s="103"/>
      <c r="AB3637" s="1"/>
      <c r="AD3637" s="102"/>
    </row>
    <row r="3638" spans="15:30">
      <c r="O3638" s="1"/>
      <c r="P3638" s="1"/>
      <c r="Q3638" s="1"/>
      <c r="R3638" s="1"/>
      <c r="Z3638" s="103"/>
      <c r="AA3638" s="103"/>
      <c r="AB3638" s="1"/>
    </row>
    <row r="3639" spans="15:30">
      <c r="O3639" s="1"/>
      <c r="P3639" s="1"/>
      <c r="Q3639" s="1"/>
      <c r="R3639" s="1"/>
      <c r="Z3639" s="103"/>
      <c r="AA3639" s="103"/>
      <c r="AB3639" s="1"/>
    </row>
    <row r="3640" spans="15:30">
      <c r="O3640" s="1"/>
      <c r="P3640" s="1"/>
      <c r="Q3640" s="1"/>
      <c r="R3640" s="1"/>
      <c r="Z3640" s="103"/>
      <c r="AA3640" s="103"/>
      <c r="AB3640" s="1"/>
    </row>
    <row r="3641" spans="15:30">
      <c r="O3641" s="1"/>
      <c r="P3641" s="1"/>
      <c r="Q3641" s="1"/>
      <c r="R3641" s="1"/>
      <c r="Z3641" s="103"/>
      <c r="AA3641" s="103"/>
      <c r="AB3641" s="1"/>
    </row>
    <row r="3642" spans="15:30">
      <c r="O3642" s="1"/>
      <c r="P3642" s="1"/>
      <c r="Q3642" s="1"/>
      <c r="R3642" s="1"/>
      <c r="Z3642" s="103"/>
      <c r="AA3642" s="103"/>
      <c r="AB3642" s="1"/>
    </row>
    <row r="3643" spans="15:30">
      <c r="O3643" s="1"/>
      <c r="P3643" s="1"/>
      <c r="Q3643" s="1"/>
      <c r="R3643" s="1"/>
      <c r="Z3643" s="103"/>
      <c r="AA3643" s="103"/>
      <c r="AB3643" s="1"/>
    </row>
    <row r="3644" spans="15:30">
      <c r="O3644" s="1"/>
      <c r="P3644" s="1"/>
      <c r="Q3644" s="1"/>
      <c r="R3644" s="1"/>
      <c r="Z3644" s="103"/>
      <c r="AA3644" s="103"/>
      <c r="AB3644" s="1"/>
    </row>
    <row r="3645" spans="15:30">
      <c r="O3645" s="1"/>
      <c r="P3645" s="1"/>
      <c r="Q3645" s="1"/>
      <c r="R3645" s="1"/>
      <c r="Z3645" s="103"/>
      <c r="AA3645" s="103"/>
      <c r="AB3645" s="1"/>
    </row>
    <row r="3646" spans="15:30">
      <c r="O3646" s="1"/>
      <c r="P3646" s="1"/>
      <c r="Q3646" s="1"/>
      <c r="R3646" s="1"/>
      <c r="Z3646" s="103"/>
      <c r="AA3646" s="103"/>
      <c r="AB3646" s="1"/>
    </row>
    <row r="3647" spans="15:30">
      <c r="O3647" s="1"/>
      <c r="P3647" s="1"/>
      <c r="Q3647" s="1"/>
      <c r="R3647" s="1"/>
      <c r="Z3647" s="103"/>
      <c r="AA3647" s="103"/>
      <c r="AB3647" s="1"/>
    </row>
    <row r="3648" spans="15:30">
      <c r="O3648" s="1"/>
      <c r="P3648" s="1"/>
      <c r="Q3648" s="1"/>
      <c r="R3648" s="1"/>
      <c r="Z3648" s="103"/>
      <c r="AA3648" s="103"/>
      <c r="AB3648" s="1"/>
    </row>
    <row r="3649" spans="15:28">
      <c r="O3649" s="1"/>
      <c r="P3649" s="1"/>
      <c r="Q3649" s="1"/>
      <c r="R3649" s="1"/>
      <c r="Z3649" s="103"/>
      <c r="AA3649" s="103"/>
      <c r="AB3649" s="1"/>
    </row>
    <row r="3650" spans="15:28">
      <c r="O3650" s="1"/>
      <c r="P3650" s="1"/>
      <c r="Q3650" s="1"/>
      <c r="R3650" s="1"/>
      <c r="Z3650" s="103"/>
      <c r="AA3650" s="103"/>
      <c r="AB3650" s="1"/>
    </row>
    <row r="3651" spans="15:28">
      <c r="O3651" s="1"/>
      <c r="P3651" s="1"/>
      <c r="Q3651" s="1"/>
      <c r="R3651" s="1"/>
      <c r="Z3651" s="103"/>
      <c r="AA3651" s="103"/>
      <c r="AB3651" s="1"/>
    </row>
    <row r="3652" spans="15:28">
      <c r="O3652" s="1"/>
      <c r="P3652" s="1"/>
      <c r="Q3652" s="1"/>
      <c r="R3652" s="1"/>
      <c r="Z3652" s="103"/>
      <c r="AA3652" s="103"/>
      <c r="AB3652" s="1"/>
    </row>
    <row r="3653" spans="15:28">
      <c r="O3653" s="1"/>
      <c r="P3653" s="1"/>
      <c r="Q3653" s="1"/>
      <c r="R3653" s="1"/>
      <c r="Z3653" s="103"/>
      <c r="AA3653" s="103"/>
      <c r="AB3653" s="1"/>
    </row>
    <row r="3654" spans="15:28">
      <c r="O3654" s="1"/>
      <c r="P3654" s="1"/>
      <c r="Q3654" s="1"/>
      <c r="R3654" s="1"/>
      <c r="Z3654" s="103"/>
      <c r="AA3654" s="103"/>
      <c r="AB3654" s="1"/>
    </row>
    <row r="3655" spans="15:28">
      <c r="O3655" s="1"/>
      <c r="P3655" s="1"/>
      <c r="Q3655" s="1"/>
      <c r="R3655" s="1"/>
      <c r="Z3655" s="103"/>
      <c r="AA3655" s="103"/>
      <c r="AB3655" s="1"/>
    </row>
    <row r="3656" spans="15:28">
      <c r="O3656" s="1"/>
      <c r="P3656" s="1"/>
      <c r="Q3656" s="1"/>
      <c r="R3656" s="1"/>
      <c r="Z3656" s="103"/>
      <c r="AA3656" s="103"/>
      <c r="AB3656" s="1"/>
    </row>
    <row r="3657" spans="15:28">
      <c r="O3657" s="1"/>
      <c r="P3657" s="1"/>
      <c r="Q3657" s="1"/>
      <c r="R3657" s="1"/>
      <c r="Z3657" s="103"/>
      <c r="AA3657" s="103"/>
      <c r="AB3657" s="1"/>
    </row>
    <row r="3658" spans="15:28">
      <c r="O3658" s="1"/>
      <c r="P3658" s="1"/>
      <c r="Q3658" s="1"/>
      <c r="R3658" s="1"/>
      <c r="Z3658" s="103"/>
      <c r="AA3658" s="103"/>
      <c r="AB3658" s="1"/>
    </row>
    <row r="3659" spans="15:28">
      <c r="O3659" s="1"/>
      <c r="P3659" s="1"/>
      <c r="Q3659" s="1"/>
      <c r="R3659" s="1"/>
      <c r="Z3659" s="103"/>
      <c r="AA3659" s="103"/>
      <c r="AB3659" s="1"/>
    </row>
    <row r="3660" spans="15:28">
      <c r="O3660" s="1"/>
      <c r="P3660" s="1"/>
      <c r="Q3660" s="1"/>
      <c r="R3660" s="1"/>
      <c r="Z3660" s="103"/>
      <c r="AA3660" s="103"/>
      <c r="AB3660" s="1"/>
    </row>
    <row r="3661" spans="15:28">
      <c r="O3661" s="1"/>
      <c r="P3661" s="1"/>
      <c r="Q3661" s="1"/>
      <c r="R3661" s="1"/>
      <c r="Z3661" s="103"/>
      <c r="AA3661" s="103"/>
      <c r="AB3661" s="1"/>
    </row>
    <row r="3662" spans="15:28">
      <c r="O3662" s="1"/>
      <c r="P3662" s="1"/>
      <c r="Q3662" s="1"/>
      <c r="R3662" s="1"/>
      <c r="Z3662" s="103"/>
      <c r="AA3662" s="103"/>
      <c r="AB3662" s="1"/>
    </row>
    <row r="3663" spans="15:28">
      <c r="O3663" s="1"/>
      <c r="P3663" s="1"/>
      <c r="Q3663" s="1"/>
      <c r="R3663" s="1"/>
      <c r="Z3663" s="103"/>
      <c r="AA3663" s="103"/>
      <c r="AB3663" s="1"/>
    </row>
    <row r="3664" spans="15:28">
      <c r="O3664" s="1"/>
      <c r="P3664" s="1"/>
      <c r="Q3664" s="1"/>
      <c r="R3664" s="1"/>
      <c r="Z3664" s="103"/>
      <c r="AA3664" s="103"/>
      <c r="AB3664" s="1"/>
    </row>
    <row r="3665" spans="15:30">
      <c r="O3665" s="1"/>
      <c r="P3665" s="1"/>
      <c r="Q3665" s="1"/>
      <c r="R3665" s="1"/>
      <c r="Z3665" s="103"/>
      <c r="AA3665" s="103"/>
      <c r="AB3665" s="1"/>
    </row>
    <row r="3666" spans="15:30">
      <c r="O3666" s="1"/>
      <c r="P3666" s="1"/>
      <c r="Q3666" s="1"/>
      <c r="R3666" s="1"/>
      <c r="Z3666" s="103"/>
      <c r="AA3666" s="103"/>
      <c r="AB3666" s="1"/>
    </row>
    <row r="3667" spans="15:30">
      <c r="O3667" s="1"/>
      <c r="P3667" s="1"/>
      <c r="Q3667" s="1"/>
      <c r="R3667" s="1"/>
      <c r="Z3667" s="103"/>
      <c r="AA3667" s="103"/>
      <c r="AB3667" s="1"/>
    </row>
    <row r="3668" spans="15:30">
      <c r="O3668" s="1"/>
      <c r="P3668" s="1"/>
      <c r="Q3668" s="1"/>
      <c r="R3668" s="1"/>
      <c r="Z3668" s="103"/>
      <c r="AA3668" s="103"/>
      <c r="AB3668" s="1"/>
    </row>
    <row r="3669" spans="15:30">
      <c r="O3669" s="1"/>
      <c r="P3669" s="1"/>
      <c r="Q3669" s="1"/>
      <c r="R3669" s="1"/>
      <c r="Z3669" s="103"/>
      <c r="AA3669" s="103"/>
      <c r="AB3669" s="1"/>
      <c r="AD3669" s="102"/>
    </row>
    <row r="3670" spans="15:30">
      <c r="O3670" s="1"/>
      <c r="P3670" s="1"/>
      <c r="Q3670" s="1"/>
      <c r="R3670" s="1"/>
      <c r="Z3670" s="103"/>
      <c r="AA3670" s="103"/>
      <c r="AB3670" s="1"/>
    </row>
    <row r="3671" spans="15:30">
      <c r="O3671" s="1"/>
      <c r="P3671" s="1"/>
      <c r="Q3671" s="1"/>
      <c r="R3671" s="1"/>
      <c r="Z3671" s="103"/>
      <c r="AA3671" s="103"/>
      <c r="AB3671" s="1"/>
    </row>
    <row r="3672" spans="15:30">
      <c r="O3672" s="1"/>
      <c r="P3672" s="1"/>
      <c r="Q3672" s="1"/>
      <c r="R3672" s="1"/>
      <c r="Z3672" s="103"/>
      <c r="AA3672" s="103"/>
      <c r="AB3672" s="1"/>
    </row>
    <row r="3673" spans="15:30">
      <c r="O3673" s="1"/>
      <c r="P3673" s="1"/>
      <c r="Q3673" s="1"/>
      <c r="R3673" s="1"/>
      <c r="Z3673" s="103"/>
      <c r="AA3673" s="103"/>
      <c r="AB3673" s="1"/>
    </row>
    <row r="3674" spans="15:30">
      <c r="O3674" s="1"/>
      <c r="P3674" s="1"/>
      <c r="Q3674" s="1"/>
      <c r="R3674" s="1"/>
      <c r="Z3674" s="103"/>
      <c r="AA3674" s="103"/>
      <c r="AB3674" s="1"/>
    </row>
    <row r="3675" spans="15:30">
      <c r="O3675" s="1"/>
      <c r="P3675" s="1"/>
      <c r="Q3675" s="1"/>
      <c r="R3675" s="1"/>
      <c r="Z3675" s="103"/>
      <c r="AA3675" s="103"/>
      <c r="AB3675" s="1"/>
    </row>
    <row r="3676" spans="15:30">
      <c r="O3676" s="1"/>
      <c r="P3676" s="1"/>
      <c r="Q3676" s="1"/>
      <c r="R3676" s="1"/>
      <c r="Z3676" s="103"/>
      <c r="AA3676" s="103"/>
      <c r="AB3676" s="1"/>
    </row>
    <row r="3677" spans="15:30">
      <c r="O3677" s="1"/>
      <c r="P3677" s="1"/>
      <c r="Q3677" s="1"/>
      <c r="R3677" s="1"/>
      <c r="Z3677" s="103"/>
      <c r="AA3677" s="103"/>
      <c r="AB3677" s="1"/>
    </row>
    <row r="3678" spans="15:30">
      <c r="O3678" s="1"/>
      <c r="P3678" s="1"/>
      <c r="Q3678" s="1"/>
      <c r="R3678" s="1"/>
      <c r="Z3678" s="103"/>
      <c r="AA3678" s="103"/>
      <c r="AB3678" s="1"/>
    </row>
    <row r="3679" spans="15:30">
      <c r="O3679" s="1"/>
      <c r="P3679" s="1"/>
      <c r="Q3679" s="1"/>
      <c r="R3679" s="1"/>
      <c r="Z3679" s="103"/>
      <c r="AA3679" s="103"/>
      <c r="AB3679" s="1"/>
    </row>
    <row r="3680" spans="15:30">
      <c r="O3680" s="1"/>
      <c r="P3680" s="1"/>
      <c r="Q3680" s="1"/>
      <c r="R3680" s="1"/>
      <c r="Z3680" s="103"/>
      <c r="AA3680" s="103"/>
      <c r="AB3680" s="1"/>
    </row>
    <row r="3681" spans="15:30">
      <c r="O3681" s="1"/>
      <c r="P3681" s="1"/>
      <c r="Q3681" s="1"/>
      <c r="R3681" s="1"/>
      <c r="Z3681" s="103"/>
      <c r="AA3681" s="103"/>
      <c r="AB3681" s="1"/>
    </row>
    <row r="3682" spans="15:30">
      <c r="O3682" s="1"/>
      <c r="P3682" s="1"/>
      <c r="Q3682" s="1"/>
      <c r="R3682" s="1"/>
      <c r="Z3682" s="103"/>
      <c r="AA3682" s="103"/>
      <c r="AB3682" s="1"/>
    </row>
    <row r="3683" spans="15:30">
      <c r="O3683" s="1"/>
      <c r="P3683" s="1"/>
      <c r="Q3683" s="1"/>
      <c r="R3683" s="1"/>
      <c r="Z3683" s="103"/>
      <c r="AA3683" s="103"/>
      <c r="AB3683" s="1"/>
    </row>
    <row r="3684" spans="15:30">
      <c r="O3684" s="1"/>
      <c r="P3684" s="1"/>
      <c r="Q3684" s="1"/>
      <c r="R3684" s="1"/>
      <c r="Z3684" s="103"/>
      <c r="AA3684" s="103"/>
      <c r="AB3684" s="1"/>
    </row>
    <row r="3685" spans="15:30">
      <c r="O3685" s="1"/>
      <c r="P3685" s="1"/>
      <c r="Q3685" s="1"/>
      <c r="R3685" s="1"/>
      <c r="Z3685" s="103"/>
      <c r="AA3685" s="103"/>
      <c r="AB3685" s="1"/>
    </row>
    <row r="3686" spans="15:30">
      <c r="O3686" s="1"/>
      <c r="P3686" s="1"/>
      <c r="Q3686" s="1"/>
      <c r="R3686" s="1"/>
      <c r="Z3686" s="103"/>
      <c r="AA3686" s="103"/>
      <c r="AB3686" s="1"/>
    </row>
    <row r="3687" spans="15:30">
      <c r="O3687" s="1"/>
      <c r="P3687" s="1"/>
      <c r="Q3687" s="1"/>
      <c r="R3687" s="1"/>
      <c r="Z3687" s="103"/>
      <c r="AA3687" s="103"/>
      <c r="AB3687" s="1"/>
    </row>
    <row r="3688" spans="15:30">
      <c r="O3688" s="1"/>
      <c r="P3688" s="1"/>
      <c r="Q3688" s="1"/>
      <c r="R3688" s="1"/>
      <c r="Z3688" s="103"/>
      <c r="AA3688" s="103"/>
      <c r="AB3688" s="1"/>
    </row>
    <row r="3689" spans="15:30">
      <c r="O3689" s="1"/>
      <c r="P3689" s="1"/>
      <c r="Q3689" s="1"/>
      <c r="R3689" s="1"/>
      <c r="Z3689" s="103"/>
      <c r="AA3689" s="103"/>
      <c r="AB3689" s="1"/>
    </row>
    <row r="3690" spans="15:30">
      <c r="O3690" s="1"/>
      <c r="P3690" s="1"/>
      <c r="Q3690" s="1"/>
      <c r="R3690" s="1"/>
      <c r="Z3690" s="103"/>
      <c r="AA3690" s="103"/>
      <c r="AB3690" s="1"/>
    </row>
    <row r="3691" spans="15:30">
      <c r="O3691" s="1"/>
      <c r="P3691" s="1"/>
      <c r="Q3691" s="1"/>
      <c r="R3691" s="1"/>
      <c r="Z3691" s="103"/>
      <c r="AA3691" s="103"/>
      <c r="AB3691" s="1"/>
    </row>
    <row r="3692" spans="15:30">
      <c r="O3692" s="1"/>
      <c r="P3692" s="1"/>
      <c r="Q3692" s="1"/>
      <c r="R3692" s="1"/>
      <c r="Z3692" s="103"/>
      <c r="AA3692" s="103"/>
      <c r="AB3692" s="1"/>
    </row>
    <row r="3693" spans="15:30">
      <c r="O3693" s="1"/>
      <c r="P3693" s="1"/>
      <c r="Q3693" s="1"/>
      <c r="R3693" s="1"/>
      <c r="Z3693" s="103"/>
      <c r="AA3693" s="103"/>
      <c r="AB3693" s="1"/>
    </row>
    <row r="3694" spans="15:30">
      <c r="O3694" s="1"/>
      <c r="P3694" s="1"/>
      <c r="Q3694" s="1"/>
      <c r="R3694" s="1"/>
      <c r="Z3694" s="103"/>
      <c r="AA3694" s="103"/>
      <c r="AB3694" s="1"/>
    </row>
    <row r="3695" spans="15:30">
      <c r="O3695" s="1"/>
      <c r="P3695" s="1"/>
      <c r="Q3695" s="1"/>
      <c r="R3695" s="1"/>
      <c r="Z3695" s="103"/>
      <c r="AA3695" s="103"/>
      <c r="AB3695" s="1"/>
      <c r="AD3695" s="102"/>
    </row>
    <row r="3696" spans="15:30">
      <c r="O3696" s="1"/>
      <c r="P3696" s="1"/>
      <c r="Q3696" s="1"/>
      <c r="R3696" s="1"/>
      <c r="Z3696" s="103"/>
      <c r="AA3696" s="103"/>
      <c r="AB3696" s="1"/>
    </row>
    <row r="3697" spans="15:28">
      <c r="O3697" s="1"/>
      <c r="P3697" s="1"/>
      <c r="Q3697" s="1"/>
      <c r="R3697" s="1"/>
      <c r="Z3697" s="103"/>
      <c r="AA3697" s="103"/>
      <c r="AB3697" s="1"/>
    </row>
    <row r="3698" spans="15:28">
      <c r="O3698" s="1"/>
      <c r="P3698" s="1"/>
      <c r="Q3698" s="1"/>
      <c r="R3698" s="1"/>
      <c r="Z3698" s="103"/>
      <c r="AA3698" s="103"/>
      <c r="AB3698" s="1"/>
    </row>
    <row r="3699" spans="15:28">
      <c r="O3699" s="1"/>
      <c r="P3699" s="1"/>
      <c r="Q3699" s="1"/>
      <c r="R3699" s="1"/>
      <c r="Z3699" s="103"/>
      <c r="AA3699" s="103"/>
      <c r="AB3699" s="1"/>
    </row>
    <row r="3700" spans="15:28">
      <c r="O3700" s="1"/>
      <c r="P3700" s="1"/>
      <c r="Q3700" s="1"/>
      <c r="R3700" s="1"/>
      <c r="Z3700" s="103"/>
      <c r="AA3700" s="103"/>
      <c r="AB3700" s="1"/>
    </row>
    <row r="3701" spans="15:28">
      <c r="O3701" s="1"/>
      <c r="P3701" s="1"/>
      <c r="Q3701" s="1"/>
      <c r="R3701" s="1"/>
      <c r="Z3701" s="103"/>
      <c r="AA3701" s="103"/>
      <c r="AB3701" s="1"/>
    </row>
    <row r="3702" spans="15:28">
      <c r="O3702" s="1"/>
      <c r="P3702" s="1"/>
      <c r="Q3702" s="1"/>
      <c r="R3702" s="1"/>
      <c r="Z3702" s="103"/>
      <c r="AA3702" s="103"/>
      <c r="AB3702" s="1"/>
    </row>
    <row r="3703" spans="15:28">
      <c r="O3703" s="1"/>
      <c r="P3703" s="1"/>
      <c r="Q3703" s="1"/>
      <c r="R3703" s="1"/>
      <c r="Z3703" s="103"/>
      <c r="AA3703" s="103"/>
      <c r="AB3703" s="1"/>
    </row>
    <row r="3704" spans="15:28">
      <c r="O3704" s="1"/>
      <c r="P3704" s="1"/>
      <c r="Q3704" s="1"/>
      <c r="R3704" s="1"/>
      <c r="Z3704" s="103"/>
      <c r="AA3704" s="103"/>
      <c r="AB3704" s="1"/>
    </row>
    <row r="3705" spans="15:28">
      <c r="O3705" s="1"/>
      <c r="P3705" s="1"/>
      <c r="Q3705" s="1"/>
      <c r="R3705" s="1"/>
      <c r="Z3705" s="103"/>
      <c r="AA3705" s="103"/>
      <c r="AB3705" s="1"/>
    </row>
    <row r="3706" spans="15:28">
      <c r="O3706" s="1"/>
      <c r="P3706" s="1"/>
      <c r="Q3706" s="1"/>
      <c r="R3706" s="1"/>
      <c r="Z3706" s="103"/>
      <c r="AA3706" s="103"/>
      <c r="AB3706" s="1"/>
    </row>
    <row r="3707" spans="15:28">
      <c r="O3707" s="1"/>
      <c r="P3707" s="1"/>
      <c r="Q3707" s="1"/>
      <c r="R3707" s="1"/>
      <c r="Z3707" s="103"/>
      <c r="AA3707" s="103"/>
      <c r="AB3707" s="1"/>
    </row>
    <row r="3708" spans="15:28">
      <c r="O3708" s="1"/>
      <c r="P3708" s="1"/>
      <c r="Q3708" s="1"/>
      <c r="R3708" s="1"/>
      <c r="Z3708" s="103"/>
      <c r="AA3708" s="103"/>
      <c r="AB3708" s="1"/>
    </row>
    <row r="3709" spans="15:28">
      <c r="O3709" s="1"/>
      <c r="P3709" s="1"/>
      <c r="Q3709" s="1"/>
      <c r="R3709" s="1"/>
      <c r="Z3709" s="103"/>
      <c r="AA3709" s="103"/>
      <c r="AB3709" s="1"/>
    </row>
    <row r="3710" spans="15:28">
      <c r="O3710" s="1"/>
      <c r="P3710" s="1"/>
      <c r="Q3710" s="1"/>
      <c r="R3710" s="1"/>
      <c r="Z3710" s="103"/>
      <c r="AA3710" s="103"/>
      <c r="AB3710" s="1"/>
    </row>
    <row r="3711" spans="15:28">
      <c r="O3711" s="1"/>
      <c r="P3711" s="1"/>
      <c r="Q3711" s="1"/>
      <c r="R3711" s="1"/>
      <c r="Z3711" s="103"/>
      <c r="AA3711" s="103"/>
      <c r="AB3711" s="1"/>
    </row>
    <row r="3712" spans="15:28">
      <c r="O3712" s="1"/>
      <c r="P3712" s="1"/>
      <c r="Q3712" s="1"/>
      <c r="R3712" s="1"/>
      <c r="Z3712" s="103"/>
      <c r="AA3712" s="103"/>
      <c r="AB3712" s="1"/>
    </row>
    <row r="3713" spans="15:28">
      <c r="O3713" s="1"/>
      <c r="P3713" s="1"/>
      <c r="Q3713" s="1"/>
      <c r="R3713" s="1"/>
      <c r="Z3713" s="103"/>
      <c r="AA3713" s="103"/>
      <c r="AB3713" s="1"/>
    </row>
    <row r="3714" spans="15:28">
      <c r="O3714" s="1"/>
      <c r="P3714" s="1"/>
      <c r="Q3714" s="1"/>
      <c r="R3714" s="1"/>
      <c r="Z3714" s="103"/>
      <c r="AA3714" s="103"/>
      <c r="AB3714" s="1"/>
    </row>
    <row r="3715" spans="15:28">
      <c r="O3715" s="1"/>
      <c r="P3715" s="1"/>
      <c r="Q3715" s="1"/>
      <c r="R3715" s="1"/>
      <c r="Z3715" s="103"/>
      <c r="AA3715" s="103"/>
      <c r="AB3715" s="1"/>
    </row>
    <row r="3716" spans="15:28">
      <c r="O3716" s="1"/>
      <c r="P3716" s="1"/>
      <c r="Q3716" s="1"/>
      <c r="R3716" s="1"/>
      <c r="Z3716" s="103"/>
      <c r="AA3716" s="103"/>
      <c r="AB3716" s="1"/>
    </row>
    <row r="3717" spans="15:28">
      <c r="O3717" s="1"/>
      <c r="P3717" s="1"/>
      <c r="Q3717" s="1"/>
      <c r="R3717" s="1"/>
      <c r="Z3717" s="103"/>
      <c r="AA3717" s="103"/>
      <c r="AB3717" s="1"/>
    </row>
    <row r="3718" spans="15:28">
      <c r="O3718" s="1"/>
      <c r="P3718" s="1"/>
      <c r="Q3718" s="1"/>
      <c r="R3718" s="1"/>
      <c r="Z3718" s="103"/>
      <c r="AA3718" s="103"/>
      <c r="AB3718" s="1"/>
    </row>
    <row r="3719" spans="15:28">
      <c r="O3719" s="1"/>
      <c r="P3719" s="1"/>
      <c r="Q3719" s="1"/>
      <c r="R3719" s="1"/>
      <c r="Z3719" s="103"/>
      <c r="AA3719" s="103"/>
      <c r="AB3719" s="1"/>
    </row>
    <row r="3720" spans="15:28">
      <c r="O3720" s="1"/>
      <c r="P3720" s="1"/>
      <c r="Q3720" s="1"/>
      <c r="R3720" s="1"/>
      <c r="Z3720" s="103"/>
      <c r="AA3720" s="103"/>
      <c r="AB3720" s="1"/>
    </row>
    <row r="3721" spans="15:28">
      <c r="O3721" s="1"/>
      <c r="P3721" s="1"/>
      <c r="Q3721" s="1"/>
      <c r="R3721" s="1"/>
      <c r="Z3721" s="103"/>
      <c r="AA3721" s="103"/>
      <c r="AB3721" s="1"/>
    </row>
    <row r="3722" spans="15:28">
      <c r="O3722" s="1"/>
      <c r="P3722" s="1"/>
      <c r="Q3722" s="1"/>
      <c r="R3722" s="1"/>
      <c r="Z3722" s="103"/>
      <c r="AA3722" s="103"/>
      <c r="AB3722" s="1"/>
    </row>
    <row r="3723" spans="15:28">
      <c r="O3723" s="1"/>
      <c r="P3723" s="1"/>
      <c r="Q3723" s="1"/>
      <c r="R3723" s="1"/>
      <c r="Z3723" s="103"/>
      <c r="AA3723" s="103"/>
      <c r="AB3723" s="1"/>
    </row>
    <row r="3724" spans="15:28">
      <c r="O3724" s="1"/>
      <c r="P3724" s="1"/>
      <c r="Q3724" s="1"/>
      <c r="R3724" s="1"/>
      <c r="Z3724" s="103"/>
      <c r="AA3724" s="103"/>
      <c r="AB3724" s="1"/>
    </row>
    <row r="3725" spans="15:28">
      <c r="O3725" s="1"/>
      <c r="P3725" s="1"/>
      <c r="Q3725" s="1"/>
      <c r="R3725" s="1"/>
      <c r="Z3725" s="103"/>
      <c r="AA3725" s="103"/>
      <c r="AB3725" s="1"/>
    </row>
    <row r="3726" spans="15:28">
      <c r="O3726" s="1"/>
      <c r="P3726" s="1"/>
      <c r="Q3726" s="1"/>
      <c r="R3726" s="1"/>
      <c r="Z3726" s="103"/>
      <c r="AA3726" s="103"/>
      <c r="AB3726" s="1"/>
    </row>
    <row r="3727" spans="15:28">
      <c r="O3727" s="1"/>
      <c r="P3727" s="1"/>
      <c r="Q3727" s="1"/>
      <c r="R3727" s="1"/>
      <c r="Z3727" s="103"/>
      <c r="AA3727" s="103"/>
      <c r="AB3727" s="1"/>
    </row>
    <row r="3728" spans="15:28">
      <c r="O3728" s="1"/>
      <c r="P3728" s="1"/>
      <c r="Q3728" s="1"/>
      <c r="R3728" s="1"/>
      <c r="Z3728" s="103"/>
      <c r="AA3728" s="103"/>
      <c r="AB3728" s="1"/>
    </row>
    <row r="3729" spans="15:28">
      <c r="O3729" s="1"/>
      <c r="P3729" s="1"/>
      <c r="Q3729" s="1"/>
      <c r="R3729" s="1"/>
      <c r="Z3729" s="103"/>
      <c r="AA3729" s="103"/>
      <c r="AB3729" s="1"/>
    </row>
    <row r="3730" spans="15:28">
      <c r="O3730" s="1"/>
      <c r="P3730" s="1"/>
      <c r="Q3730" s="1"/>
      <c r="R3730" s="1"/>
      <c r="Z3730" s="103"/>
      <c r="AA3730" s="103"/>
      <c r="AB3730" s="1"/>
    </row>
    <row r="3731" spans="15:28">
      <c r="O3731" s="1"/>
      <c r="P3731" s="1"/>
      <c r="Q3731" s="1"/>
      <c r="R3731" s="1"/>
      <c r="Z3731" s="103"/>
      <c r="AA3731" s="103"/>
      <c r="AB3731" s="1"/>
    </row>
    <row r="3732" spans="15:28">
      <c r="O3732" s="1"/>
      <c r="P3732" s="1"/>
      <c r="Q3732" s="1"/>
      <c r="R3732" s="1"/>
      <c r="Z3732" s="103"/>
      <c r="AA3732" s="103"/>
      <c r="AB3732" s="1"/>
    </row>
    <row r="3733" spans="15:28">
      <c r="O3733" s="1"/>
      <c r="P3733" s="1"/>
      <c r="Q3733" s="1"/>
      <c r="R3733" s="1"/>
      <c r="Z3733" s="103"/>
      <c r="AA3733" s="103"/>
      <c r="AB3733" s="1"/>
    </row>
    <row r="3734" spans="15:28">
      <c r="O3734" s="1"/>
      <c r="P3734" s="1"/>
      <c r="Q3734" s="1"/>
      <c r="R3734" s="1"/>
      <c r="Z3734" s="103"/>
      <c r="AA3734" s="103"/>
      <c r="AB3734" s="1"/>
    </row>
    <row r="3735" spans="15:28">
      <c r="O3735" s="1"/>
      <c r="P3735" s="1"/>
      <c r="Q3735" s="1"/>
      <c r="R3735" s="1"/>
      <c r="Z3735" s="103"/>
      <c r="AA3735" s="103"/>
      <c r="AB3735" s="1"/>
    </row>
    <row r="3736" spans="15:28">
      <c r="O3736" s="1"/>
      <c r="P3736" s="1"/>
      <c r="Q3736" s="1"/>
      <c r="R3736" s="1"/>
      <c r="Z3736" s="103"/>
      <c r="AA3736" s="103"/>
      <c r="AB3736" s="1"/>
    </row>
    <row r="3737" spans="15:28">
      <c r="O3737" s="1"/>
      <c r="P3737" s="1"/>
      <c r="Q3737" s="1"/>
      <c r="R3737" s="1"/>
      <c r="Z3737" s="103"/>
      <c r="AA3737" s="103"/>
      <c r="AB3737" s="1"/>
    </row>
    <row r="3738" spans="15:28">
      <c r="O3738" s="1"/>
      <c r="P3738" s="1"/>
      <c r="Q3738" s="1"/>
      <c r="R3738" s="1"/>
      <c r="Z3738" s="103"/>
      <c r="AA3738" s="103"/>
      <c r="AB3738" s="1"/>
    </row>
    <row r="3739" spans="15:28">
      <c r="O3739" s="1"/>
      <c r="P3739" s="1"/>
      <c r="Q3739" s="1"/>
      <c r="R3739" s="1"/>
      <c r="Z3739" s="103"/>
      <c r="AA3739" s="103"/>
      <c r="AB3739" s="1"/>
    </row>
    <row r="3740" spans="15:28">
      <c r="O3740" s="1"/>
      <c r="P3740" s="1"/>
      <c r="Q3740" s="1"/>
      <c r="R3740" s="1"/>
      <c r="Z3740" s="103"/>
      <c r="AA3740" s="103"/>
      <c r="AB3740" s="1"/>
    </row>
    <row r="3741" spans="15:28">
      <c r="O3741" s="1"/>
      <c r="P3741" s="1"/>
      <c r="Q3741" s="1"/>
      <c r="R3741" s="1"/>
      <c r="Z3741" s="103"/>
      <c r="AA3741" s="103"/>
      <c r="AB3741" s="1"/>
    </row>
    <row r="3742" spans="15:28">
      <c r="O3742" s="1"/>
      <c r="P3742" s="1"/>
      <c r="Q3742" s="1"/>
      <c r="R3742" s="1"/>
      <c r="Z3742" s="103"/>
      <c r="AA3742" s="103"/>
      <c r="AB3742" s="1"/>
    </row>
    <row r="3743" spans="15:28">
      <c r="O3743" s="1"/>
      <c r="P3743" s="1"/>
      <c r="Q3743" s="1"/>
      <c r="R3743" s="1"/>
      <c r="Z3743" s="103"/>
      <c r="AA3743" s="103"/>
      <c r="AB3743" s="1"/>
    </row>
    <row r="3744" spans="15:28">
      <c r="O3744" s="1"/>
      <c r="P3744" s="1"/>
      <c r="Q3744" s="1"/>
      <c r="R3744" s="1"/>
      <c r="Z3744" s="103"/>
      <c r="AA3744" s="103"/>
      <c r="AB3744" s="1"/>
    </row>
    <row r="3745" spans="15:28">
      <c r="O3745" s="1"/>
      <c r="P3745" s="1"/>
      <c r="Q3745" s="1"/>
      <c r="R3745" s="1"/>
      <c r="Z3745" s="103"/>
      <c r="AA3745" s="103"/>
      <c r="AB3745" s="1"/>
    </row>
    <row r="3746" spans="15:28">
      <c r="O3746" s="1"/>
      <c r="P3746" s="1"/>
      <c r="Q3746" s="1"/>
      <c r="R3746" s="1"/>
      <c r="Z3746" s="103"/>
      <c r="AA3746" s="103"/>
      <c r="AB3746" s="1"/>
    </row>
    <row r="3747" spans="15:28">
      <c r="O3747" s="1"/>
      <c r="P3747" s="1"/>
      <c r="Q3747" s="1"/>
      <c r="R3747" s="1"/>
      <c r="Z3747" s="103"/>
      <c r="AA3747" s="103"/>
      <c r="AB3747" s="1"/>
    </row>
    <row r="3748" spans="15:28">
      <c r="O3748" s="1"/>
      <c r="P3748" s="1"/>
      <c r="Q3748" s="1"/>
      <c r="R3748" s="1"/>
      <c r="Z3748" s="103"/>
      <c r="AA3748" s="103"/>
      <c r="AB3748" s="1"/>
    </row>
    <row r="3749" spans="15:28">
      <c r="O3749" s="1"/>
      <c r="P3749" s="1"/>
      <c r="Q3749" s="1"/>
      <c r="R3749" s="1"/>
      <c r="Z3749" s="103"/>
      <c r="AA3749" s="103"/>
      <c r="AB3749" s="1"/>
    </row>
    <row r="3750" spans="15:28">
      <c r="O3750" s="1"/>
      <c r="P3750" s="1"/>
      <c r="Q3750" s="1"/>
      <c r="R3750" s="1"/>
      <c r="Z3750" s="103"/>
      <c r="AA3750" s="103"/>
      <c r="AB3750" s="1"/>
    </row>
    <row r="3751" spans="15:28">
      <c r="O3751" s="1"/>
      <c r="P3751" s="1"/>
      <c r="Q3751" s="1"/>
      <c r="R3751" s="1"/>
      <c r="Z3751" s="103"/>
      <c r="AA3751" s="103"/>
      <c r="AB3751" s="1"/>
    </row>
    <row r="3752" spans="15:28">
      <c r="O3752" s="1"/>
      <c r="P3752" s="1"/>
      <c r="Q3752" s="1"/>
      <c r="R3752" s="1"/>
      <c r="Z3752" s="103"/>
      <c r="AA3752" s="103"/>
      <c r="AB3752" s="1"/>
    </row>
    <row r="3753" spans="15:28">
      <c r="O3753" s="1"/>
      <c r="P3753" s="1"/>
      <c r="Q3753" s="1"/>
      <c r="R3753" s="1"/>
      <c r="Z3753" s="103"/>
      <c r="AA3753" s="103"/>
      <c r="AB3753" s="1"/>
    </row>
    <row r="3754" spans="15:28">
      <c r="O3754" s="1"/>
      <c r="P3754" s="1"/>
      <c r="Q3754" s="1"/>
      <c r="R3754" s="1"/>
      <c r="Z3754" s="103"/>
      <c r="AA3754" s="103"/>
      <c r="AB3754" s="1"/>
    </row>
    <row r="3755" spans="15:28">
      <c r="O3755" s="1"/>
      <c r="P3755" s="1"/>
      <c r="Q3755" s="1"/>
      <c r="R3755" s="1"/>
      <c r="Z3755" s="103"/>
      <c r="AA3755" s="103"/>
      <c r="AB3755" s="1"/>
    </row>
    <row r="3756" spans="15:28">
      <c r="O3756" s="1"/>
      <c r="P3756" s="1"/>
      <c r="Q3756" s="1"/>
      <c r="R3756" s="1"/>
      <c r="Z3756" s="103"/>
      <c r="AA3756" s="103"/>
      <c r="AB3756" s="1"/>
    </row>
    <row r="3757" spans="15:28">
      <c r="O3757" s="1"/>
      <c r="P3757" s="1"/>
      <c r="Q3757" s="1"/>
      <c r="R3757" s="1"/>
      <c r="Z3757" s="103"/>
      <c r="AA3757" s="103"/>
      <c r="AB3757" s="1"/>
    </row>
    <row r="3758" spans="15:28">
      <c r="O3758" s="1"/>
      <c r="P3758" s="1"/>
      <c r="Q3758" s="1"/>
      <c r="R3758" s="1"/>
      <c r="Z3758" s="103"/>
      <c r="AA3758" s="103"/>
      <c r="AB3758" s="1"/>
    </row>
    <row r="3759" spans="15:28">
      <c r="O3759" s="1"/>
      <c r="P3759" s="1"/>
      <c r="Q3759" s="1"/>
      <c r="R3759" s="1"/>
      <c r="Z3759" s="103"/>
      <c r="AA3759" s="103"/>
      <c r="AB3759" s="1"/>
    </row>
    <row r="3760" spans="15:28">
      <c r="O3760" s="1"/>
      <c r="P3760" s="1"/>
      <c r="Q3760" s="1"/>
      <c r="R3760" s="1"/>
      <c r="Z3760" s="103"/>
      <c r="AA3760" s="103"/>
      <c r="AB3760" s="1"/>
    </row>
    <row r="3761" spans="15:28">
      <c r="O3761" s="1"/>
      <c r="P3761" s="1"/>
      <c r="Q3761" s="1"/>
      <c r="R3761" s="1"/>
      <c r="Z3761" s="103"/>
      <c r="AA3761" s="103"/>
      <c r="AB3761" s="1"/>
    </row>
    <row r="3762" spans="15:28">
      <c r="O3762" s="1"/>
      <c r="P3762" s="1"/>
      <c r="Q3762" s="1"/>
      <c r="R3762" s="1"/>
      <c r="Z3762" s="103"/>
      <c r="AA3762" s="103"/>
      <c r="AB3762" s="1"/>
    </row>
    <row r="3763" spans="15:28">
      <c r="O3763" s="1"/>
      <c r="P3763" s="1"/>
      <c r="Q3763" s="1"/>
      <c r="R3763" s="1"/>
      <c r="Z3763" s="103"/>
      <c r="AA3763" s="103"/>
      <c r="AB3763" s="1"/>
    </row>
    <row r="3764" spans="15:28">
      <c r="O3764" s="1"/>
      <c r="P3764" s="1"/>
      <c r="Q3764" s="1"/>
      <c r="R3764" s="1"/>
      <c r="Z3764" s="103"/>
      <c r="AA3764" s="103"/>
      <c r="AB3764" s="1"/>
    </row>
    <row r="3765" spans="15:28">
      <c r="O3765" s="1"/>
      <c r="P3765" s="1"/>
      <c r="Q3765" s="1"/>
      <c r="R3765" s="1"/>
      <c r="Z3765" s="103"/>
      <c r="AA3765" s="103"/>
      <c r="AB3765" s="1"/>
    </row>
    <row r="3766" spans="15:28">
      <c r="O3766" s="1"/>
      <c r="P3766" s="1"/>
      <c r="Q3766" s="1"/>
      <c r="R3766" s="1"/>
      <c r="Z3766" s="103"/>
      <c r="AA3766" s="103"/>
      <c r="AB3766" s="1"/>
    </row>
    <row r="3767" spans="15:28">
      <c r="O3767" s="1"/>
      <c r="P3767" s="1"/>
      <c r="Q3767" s="1"/>
      <c r="R3767" s="1"/>
      <c r="Z3767" s="103"/>
      <c r="AA3767" s="103"/>
      <c r="AB3767" s="1"/>
    </row>
    <row r="3768" spans="15:28">
      <c r="O3768" s="1"/>
      <c r="P3768" s="1"/>
      <c r="Q3768" s="1"/>
      <c r="R3768" s="1"/>
      <c r="Z3768" s="103"/>
      <c r="AA3768" s="103"/>
      <c r="AB3768" s="1"/>
    </row>
    <row r="3769" spans="15:28">
      <c r="O3769" s="1"/>
      <c r="P3769" s="1"/>
      <c r="Q3769" s="1"/>
      <c r="R3769" s="1"/>
      <c r="Z3769" s="103"/>
      <c r="AA3769" s="103"/>
      <c r="AB3769" s="1"/>
    </row>
    <row r="3770" spans="15:28">
      <c r="O3770" s="1"/>
      <c r="P3770" s="1"/>
      <c r="Q3770" s="1"/>
      <c r="R3770" s="1"/>
      <c r="Z3770" s="103"/>
      <c r="AA3770" s="103"/>
      <c r="AB3770" s="1"/>
    </row>
    <row r="3771" spans="15:28">
      <c r="O3771" s="1"/>
      <c r="P3771" s="1"/>
      <c r="Q3771" s="1"/>
      <c r="R3771" s="1"/>
      <c r="Z3771" s="103"/>
      <c r="AA3771" s="103"/>
      <c r="AB3771" s="1"/>
    </row>
    <row r="3772" spans="15:28">
      <c r="O3772" s="1"/>
      <c r="P3772" s="1"/>
      <c r="Q3772" s="1"/>
      <c r="R3772" s="1"/>
      <c r="Z3772" s="103"/>
      <c r="AA3772" s="103"/>
      <c r="AB3772" s="1"/>
    </row>
    <row r="3773" spans="15:28">
      <c r="O3773" s="1"/>
      <c r="P3773" s="1"/>
      <c r="Q3773" s="1"/>
      <c r="R3773" s="1"/>
      <c r="Z3773" s="103"/>
      <c r="AA3773" s="103"/>
      <c r="AB3773" s="1"/>
    </row>
    <row r="3774" spans="15:28">
      <c r="O3774" s="1"/>
      <c r="P3774" s="1"/>
      <c r="Q3774" s="1"/>
      <c r="R3774" s="1"/>
      <c r="Z3774" s="103"/>
      <c r="AA3774" s="103"/>
      <c r="AB3774" s="1"/>
    </row>
    <row r="3775" spans="15:28">
      <c r="O3775" s="1"/>
      <c r="P3775" s="1"/>
      <c r="Q3775" s="1"/>
      <c r="R3775" s="1"/>
      <c r="Z3775" s="103"/>
      <c r="AA3775" s="103"/>
      <c r="AB3775" s="1"/>
    </row>
    <row r="3776" spans="15:28">
      <c r="O3776" s="1"/>
      <c r="P3776" s="1"/>
      <c r="Q3776" s="1"/>
      <c r="R3776" s="1"/>
      <c r="Z3776" s="103"/>
      <c r="AA3776" s="103"/>
      <c r="AB3776" s="1"/>
    </row>
    <row r="3777" spans="15:28">
      <c r="O3777" s="1"/>
      <c r="P3777" s="1"/>
      <c r="Q3777" s="1"/>
      <c r="R3777" s="1"/>
      <c r="Z3777" s="103"/>
      <c r="AA3777" s="103"/>
      <c r="AB3777" s="1"/>
    </row>
    <row r="3778" spans="15:28">
      <c r="O3778" s="1"/>
      <c r="P3778" s="1"/>
      <c r="Q3778" s="1"/>
      <c r="R3778" s="1"/>
      <c r="Z3778" s="103"/>
      <c r="AA3778" s="103"/>
      <c r="AB3778" s="1"/>
    </row>
    <row r="3779" spans="15:28">
      <c r="O3779" s="1"/>
      <c r="P3779" s="1"/>
      <c r="Q3779" s="1"/>
      <c r="R3779" s="1"/>
      <c r="Z3779" s="103"/>
      <c r="AA3779" s="103"/>
      <c r="AB3779" s="1"/>
    </row>
    <row r="3780" spans="15:28">
      <c r="O3780" s="1"/>
      <c r="P3780" s="1"/>
      <c r="Q3780" s="1"/>
      <c r="R3780" s="1"/>
      <c r="Z3780" s="103"/>
      <c r="AA3780" s="103"/>
      <c r="AB3780" s="1"/>
    </row>
    <row r="3781" spans="15:28">
      <c r="O3781" s="1"/>
      <c r="P3781" s="1"/>
      <c r="Q3781" s="1"/>
      <c r="R3781" s="1"/>
      <c r="Z3781" s="103"/>
      <c r="AA3781" s="103"/>
      <c r="AB3781" s="1"/>
    </row>
    <row r="3782" spans="15:28">
      <c r="O3782" s="1"/>
      <c r="P3782" s="1"/>
      <c r="Q3782" s="1"/>
      <c r="R3782" s="1"/>
      <c r="Z3782" s="103"/>
      <c r="AA3782" s="103"/>
      <c r="AB3782" s="1"/>
    </row>
    <row r="3783" spans="15:28">
      <c r="O3783" s="1"/>
      <c r="P3783" s="1"/>
      <c r="Q3783" s="1"/>
      <c r="R3783" s="1"/>
      <c r="Z3783" s="103"/>
      <c r="AA3783" s="103"/>
      <c r="AB3783" s="1"/>
    </row>
    <row r="3784" spans="15:28">
      <c r="O3784" s="1"/>
      <c r="P3784" s="1"/>
      <c r="Q3784" s="1"/>
      <c r="R3784" s="1"/>
      <c r="Z3784" s="103"/>
      <c r="AA3784" s="103"/>
      <c r="AB3784" s="1"/>
    </row>
    <row r="3785" spans="15:28">
      <c r="O3785" s="1"/>
      <c r="P3785" s="1"/>
      <c r="Q3785" s="1"/>
      <c r="R3785" s="1"/>
      <c r="Z3785" s="103"/>
      <c r="AA3785" s="103"/>
      <c r="AB3785" s="1"/>
    </row>
    <row r="3786" spans="15:28">
      <c r="O3786" s="1"/>
      <c r="P3786" s="1"/>
      <c r="Q3786" s="1"/>
      <c r="R3786" s="1"/>
      <c r="Z3786" s="103"/>
      <c r="AA3786" s="103"/>
      <c r="AB3786" s="1"/>
    </row>
    <row r="3787" spans="15:28">
      <c r="O3787" s="1"/>
      <c r="P3787" s="1"/>
      <c r="Q3787" s="1"/>
      <c r="R3787" s="1"/>
      <c r="Z3787" s="103"/>
      <c r="AA3787" s="103"/>
      <c r="AB3787" s="1"/>
    </row>
    <row r="3788" spans="15:28">
      <c r="O3788" s="1"/>
      <c r="P3788" s="1"/>
      <c r="Q3788" s="1"/>
      <c r="R3788" s="1"/>
      <c r="Z3788" s="103"/>
      <c r="AA3788" s="103"/>
      <c r="AB3788" s="1"/>
    </row>
    <row r="3789" spans="15:28">
      <c r="O3789" s="1"/>
      <c r="P3789" s="1"/>
      <c r="Q3789" s="1"/>
      <c r="R3789" s="1"/>
      <c r="Z3789" s="103"/>
      <c r="AA3789" s="103"/>
      <c r="AB3789" s="1"/>
    </row>
    <row r="3790" spans="15:28">
      <c r="O3790" s="1"/>
      <c r="P3790" s="1"/>
      <c r="Q3790" s="1"/>
      <c r="R3790" s="1"/>
      <c r="Z3790" s="103"/>
      <c r="AA3790" s="103"/>
      <c r="AB3790" s="1"/>
    </row>
    <row r="3791" spans="15:28">
      <c r="O3791" s="1"/>
      <c r="P3791" s="1"/>
      <c r="Q3791" s="1"/>
      <c r="R3791" s="1"/>
      <c r="Z3791" s="103"/>
      <c r="AA3791" s="103"/>
      <c r="AB3791" s="1"/>
    </row>
    <row r="3792" spans="15:28">
      <c r="O3792" s="1"/>
      <c r="P3792" s="1"/>
      <c r="Q3792" s="1"/>
      <c r="R3792" s="1"/>
      <c r="Z3792" s="103"/>
      <c r="AA3792" s="103"/>
      <c r="AB3792" s="1"/>
    </row>
    <row r="3793" spans="15:30">
      <c r="O3793" s="1"/>
      <c r="P3793" s="1"/>
      <c r="Q3793" s="1"/>
      <c r="R3793" s="1"/>
      <c r="Z3793" s="103"/>
      <c r="AA3793" s="103"/>
      <c r="AB3793" s="1"/>
    </row>
    <row r="3794" spans="15:30">
      <c r="O3794" s="1"/>
      <c r="P3794" s="1"/>
      <c r="Q3794" s="1"/>
      <c r="R3794" s="1"/>
      <c r="Z3794" s="103"/>
      <c r="AA3794" s="103"/>
      <c r="AB3794" s="1"/>
    </row>
    <row r="3795" spans="15:30">
      <c r="O3795" s="1"/>
      <c r="P3795" s="1"/>
      <c r="Q3795" s="1"/>
      <c r="R3795" s="1"/>
      <c r="Z3795" s="103"/>
      <c r="AA3795" s="103"/>
      <c r="AB3795" s="1"/>
    </row>
    <row r="3796" spans="15:30">
      <c r="O3796" s="1"/>
      <c r="P3796" s="1"/>
      <c r="Q3796" s="1"/>
      <c r="R3796" s="1"/>
      <c r="Z3796" s="103"/>
      <c r="AA3796" s="103"/>
      <c r="AB3796" s="1"/>
    </row>
    <row r="3797" spans="15:30">
      <c r="O3797" s="1"/>
      <c r="P3797" s="1"/>
      <c r="Q3797" s="1"/>
      <c r="R3797" s="1"/>
      <c r="Z3797" s="103"/>
      <c r="AA3797" s="103"/>
      <c r="AB3797" s="1"/>
    </row>
    <row r="3798" spans="15:30">
      <c r="O3798" s="1"/>
      <c r="P3798" s="1"/>
      <c r="Q3798" s="1"/>
      <c r="R3798" s="1"/>
      <c r="Z3798" s="103"/>
      <c r="AA3798" s="103"/>
      <c r="AB3798" s="1"/>
    </row>
    <row r="3799" spans="15:30">
      <c r="O3799" s="1"/>
      <c r="P3799" s="1"/>
      <c r="Q3799" s="1"/>
      <c r="R3799" s="1"/>
      <c r="Z3799" s="103"/>
      <c r="AA3799" s="103"/>
      <c r="AB3799" s="1"/>
    </row>
    <row r="3800" spans="15:30">
      <c r="O3800" s="1"/>
      <c r="P3800" s="1"/>
      <c r="Q3800" s="1"/>
      <c r="R3800" s="1"/>
      <c r="Z3800" s="103"/>
      <c r="AA3800" s="103"/>
      <c r="AB3800" s="1"/>
    </row>
    <row r="3801" spans="15:30">
      <c r="O3801" s="1"/>
      <c r="P3801" s="1"/>
      <c r="Q3801" s="1"/>
      <c r="R3801" s="1"/>
      <c r="Z3801" s="103"/>
      <c r="AA3801" s="103"/>
      <c r="AB3801" s="1"/>
    </row>
    <row r="3802" spans="15:30">
      <c r="O3802" s="1"/>
      <c r="P3802" s="1"/>
      <c r="Q3802" s="1"/>
      <c r="R3802" s="1"/>
      <c r="Z3802" s="103"/>
      <c r="AA3802" s="103"/>
      <c r="AB3802" s="1"/>
    </row>
    <row r="3803" spans="15:30">
      <c r="O3803" s="1"/>
      <c r="P3803" s="1"/>
      <c r="Q3803" s="1"/>
      <c r="R3803" s="1"/>
      <c r="Z3803" s="103"/>
      <c r="AA3803" s="103"/>
      <c r="AB3803" s="1"/>
    </row>
    <row r="3804" spans="15:30">
      <c r="O3804" s="1"/>
      <c r="P3804" s="1"/>
      <c r="Q3804" s="1"/>
      <c r="R3804" s="1"/>
      <c r="Z3804" s="103"/>
      <c r="AA3804" s="103"/>
      <c r="AB3804" s="1"/>
      <c r="AD3804" s="102"/>
    </row>
    <row r="3805" spans="15:30">
      <c r="O3805" s="1"/>
      <c r="P3805" s="1"/>
      <c r="Q3805" s="1"/>
      <c r="R3805" s="1"/>
      <c r="Z3805" s="103"/>
      <c r="AA3805" s="103"/>
      <c r="AB3805" s="1"/>
    </row>
    <row r="3806" spans="15:30">
      <c r="O3806" s="1"/>
      <c r="P3806" s="1"/>
      <c r="Q3806" s="1"/>
      <c r="R3806" s="1"/>
      <c r="Z3806" s="103"/>
      <c r="AA3806" s="103"/>
      <c r="AB3806" s="1"/>
    </row>
    <row r="3807" spans="15:30">
      <c r="O3807" s="1"/>
      <c r="P3807" s="1"/>
      <c r="Q3807" s="1"/>
      <c r="R3807" s="1"/>
      <c r="Z3807" s="103"/>
      <c r="AA3807" s="103"/>
      <c r="AB3807" s="1"/>
    </row>
    <row r="3808" spans="15:30">
      <c r="O3808" s="1"/>
      <c r="P3808" s="1"/>
      <c r="Q3808" s="1"/>
      <c r="R3808" s="1"/>
      <c r="Z3808" s="103"/>
      <c r="AA3808" s="103"/>
      <c r="AB3808" s="1"/>
    </row>
    <row r="3809" spans="15:28">
      <c r="O3809" s="1"/>
      <c r="P3809" s="1"/>
      <c r="Q3809" s="1"/>
      <c r="R3809" s="1"/>
      <c r="Z3809" s="103"/>
      <c r="AA3809" s="103"/>
      <c r="AB3809" s="1"/>
    </row>
    <row r="3810" spans="15:28">
      <c r="O3810" s="1"/>
      <c r="P3810" s="1"/>
      <c r="Q3810" s="1"/>
      <c r="R3810" s="1"/>
      <c r="Z3810" s="103"/>
      <c r="AA3810" s="103"/>
      <c r="AB3810" s="1"/>
    </row>
    <row r="3811" spans="15:28">
      <c r="O3811" s="1"/>
      <c r="P3811" s="1"/>
      <c r="Q3811" s="1"/>
      <c r="R3811" s="1"/>
      <c r="Z3811" s="103"/>
      <c r="AA3811" s="103"/>
      <c r="AB3811" s="1"/>
    </row>
    <row r="3812" spans="15:28">
      <c r="O3812" s="1"/>
      <c r="P3812" s="1"/>
      <c r="Q3812" s="1"/>
      <c r="R3812" s="1"/>
      <c r="Z3812" s="103"/>
      <c r="AA3812" s="103"/>
      <c r="AB3812" s="1"/>
    </row>
    <row r="3813" spans="15:28">
      <c r="O3813" s="1"/>
      <c r="P3813" s="1"/>
      <c r="Q3813" s="1"/>
      <c r="R3813" s="1"/>
      <c r="Z3813" s="103"/>
      <c r="AA3813" s="103"/>
      <c r="AB3813" s="1"/>
    </row>
    <row r="3814" spans="15:28">
      <c r="O3814" s="1"/>
      <c r="P3814" s="1"/>
      <c r="Q3814" s="1"/>
      <c r="R3814" s="1"/>
      <c r="Z3814" s="103"/>
      <c r="AA3814" s="103"/>
      <c r="AB3814" s="1"/>
    </row>
    <row r="3815" spans="15:28">
      <c r="O3815" s="1"/>
      <c r="P3815" s="1"/>
      <c r="Q3815" s="1"/>
      <c r="R3815" s="1"/>
      <c r="Z3815" s="103"/>
      <c r="AA3815" s="103"/>
      <c r="AB3815" s="1"/>
    </row>
    <row r="3816" spans="15:28">
      <c r="O3816" s="1"/>
      <c r="P3816" s="1"/>
      <c r="Q3816" s="1"/>
      <c r="R3816" s="1"/>
      <c r="Z3816" s="103"/>
      <c r="AA3816" s="103"/>
      <c r="AB3816" s="1"/>
    </row>
    <row r="3817" spans="15:28">
      <c r="O3817" s="1"/>
      <c r="P3817" s="1"/>
      <c r="Q3817" s="1"/>
      <c r="R3817" s="1"/>
      <c r="Z3817" s="103"/>
      <c r="AA3817" s="103"/>
      <c r="AB3817" s="1"/>
    </row>
    <row r="3818" spans="15:28">
      <c r="O3818" s="1"/>
      <c r="P3818" s="1"/>
      <c r="Q3818" s="1"/>
      <c r="R3818" s="1"/>
      <c r="Z3818" s="103"/>
      <c r="AA3818" s="103"/>
      <c r="AB3818" s="1"/>
    </row>
    <row r="3819" spans="15:28">
      <c r="O3819" s="1"/>
      <c r="P3819" s="1"/>
      <c r="Q3819" s="1"/>
      <c r="R3819" s="1"/>
      <c r="Z3819" s="103"/>
      <c r="AA3819" s="103"/>
      <c r="AB3819" s="1"/>
    </row>
    <row r="3820" spans="15:28">
      <c r="O3820" s="1"/>
      <c r="P3820" s="1"/>
      <c r="Q3820" s="1"/>
      <c r="R3820" s="1"/>
      <c r="Z3820" s="103"/>
      <c r="AA3820" s="103"/>
      <c r="AB3820" s="1"/>
    </row>
    <row r="3821" spans="15:28">
      <c r="O3821" s="1"/>
      <c r="P3821" s="1"/>
      <c r="Q3821" s="1"/>
      <c r="R3821" s="1"/>
      <c r="Z3821" s="103"/>
      <c r="AA3821" s="103"/>
      <c r="AB3821" s="1"/>
    </row>
    <row r="3822" spans="15:28">
      <c r="O3822" s="1"/>
      <c r="P3822" s="1"/>
      <c r="Q3822" s="1"/>
      <c r="R3822" s="1"/>
      <c r="Z3822" s="103"/>
      <c r="AA3822" s="103"/>
      <c r="AB3822" s="1"/>
    </row>
    <row r="3823" spans="15:28">
      <c r="O3823" s="1"/>
      <c r="P3823" s="1"/>
      <c r="Q3823" s="1"/>
      <c r="R3823" s="1"/>
      <c r="Z3823" s="103"/>
      <c r="AA3823" s="103"/>
      <c r="AB3823" s="1"/>
    </row>
    <row r="3824" spans="15:28">
      <c r="O3824" s="1"/>
      <c r="P3824" s="1"/>
      <c r="Q3824" s="1"/>
      <c r="R3824" s="1"/>
      <c r="Z3824" s="103"/>
      <c r="AA3824" s="103"/>
      <c r="AB3824" s="1"/>
    </row>
    <row r="3825" spans="15:30">
      <c r="O3825" s="1"/>
      <c r="P3825" s="1"/>
      <c r="Q3825" s="1"/>
      <c r="R3825" s="1"/>
      <c r="Z3825" s="103"/>
      <c r="AA3825" s="103"/>
      <c r="AB3825" s="1"/>
    </row>
    <row r="3826" spans="15:30">
      <c r="O3826" s="1"/>
      <c r="P3826" s="1"/>
      <c r="Q3826" s="1"/>
      <c r="R3826" s="1"/>
      <c r="Z3826" s="103"/>
      <c r="AA3826" s="103"/>
      <c r="AB3826" s="1"/>
    </row>
    <row r="3827" spans="15:30">
      <c r="O3827" s="1"/>
      <c r="P3827" s="1"/>
      <c r="Q3827" s="1"/>
      <c r="R3827" s="1"/>
      <c r="Z3827" s="103"/>
      <c r="AA3827" s="103"/>
      <c r="AB3827" s="1"/>
    </row>
    <row r="3828" spans="15:30">
      <c r="O3828" s="1"/>
      <c r="P3828" s="1"/>
      <c r="Q3828" s="1"/>
      <c r="R3828" s="1"/>
      <c r="Z3828" s="103"/>
      <c r="AA3828" s="103"/>
      <c r="AB3828" s="1"/>
    </row>
    <row r="3829" spans="15:30">
      <c r="O3829" s="1"/>
      <c r="P3829" s="1"/>
      <c r="Q3829" s="1"/>
      <c r="R3829" s="1"/>
      <c r="Z3829" s="103"/>
      <c r="AA3829" s="103"/>
      <c r="AB3829" s="1"/>
    </row>
    <row r="3830" spans="15:30">
      <c r="O3830" s="1"/>
      <c r="P3830" s="1"/>
      <c r="Q3830" s="1"/>
      <c r="R3830" s="1"/>
      <c r="Z3830" s="103"/>
      <c r="AA3830" s="103"/>
      <c r="AB3830" s="1"/>
    </row>
    <row r="3831" spans="15:30">
      <c r="O3831" s="1"/>
      <c r="P3831" s="1"/>
      <c r="Q3831" s="1"/>
      <c r="R3831" s="1"/>
      <c r="Z3831" s="103"/>
      <c r="AA3831" s="103"/>
      <c r="AB3831" s="1"/>
    </row>
    <row r="3832" spans="15:30">
      <c r="O3832" s="1"/>
      <c r="P3832" s="1"/>
      <c r="Q3832" s="1"/>
      <c r="R3832" s="1"/>
      <c r="Z3832" s="103"/>
      <c r="AA3832" s="103"/>
      <c r="AB3832" s="1"/>
    </row>
    <row r="3833" spans="15:30">
      <c r="O3833" s="1"/>
      <c r="P3833" s="1"/>
      <c r="Q3833" s="1"/>
      <c r="R3833" s="1"/>
      <c r="Z3833" s="103"/>
      <c r="AA3833" s="103"/>
      <c r="AB3833" s="1"/>
    </row>
    <row r="3834" spans="15:30">
      <c r="O3834" s="1"/>
      <c r="P3834" s="1"/>
      <c r="Q3834" s="1"/>
      <c r="R3834" s="1"/>
      <c r="Z3834" s="103"/>
      <c r="AA3834" s="103"/>
      <c r="AB3834" s="1"/>
    </row>
    <row r="3835" spans="15:30">
      <c r="O3835" s="1"/>
      <c r="P3835" s="1"/>
      <c r="Q3835" s="1"/>
      <c r="R3835" s="1"/>
      <c r="Z3835" s="103"/>
      <c r="AA3835" s="103"/>
      <c r="AB3835" s="1"/>
    </row>
    <row r="3836" spans="15:30">
      <c r="O3836" s="1"/>
      <c r="P3836" s="1"/>
      <c r="Q3836" s="1"/>
      <c r="R3836" s="1"/>
      <c r="Z3836" s="103"/>
      <c r="AA3836" s="103"/>
      <c r="AB3836" s="1"/>
    </row>
    <row r="3837" spans="15:30">
      <c r="O3837" s="1"/>
      <c r="P3837" s="1"/>
      <c r="Q3837" s="1"/>
      <c r="R3837" s="1"/>
      <c r="Z3837" s="103"/>
      <c r="AA3837" s="103"/>
      <c r="AB3837" s="1"/>
      <c r="AD3837" s="102"/>
    </row>
    <row r="3838" spans="15:30">
      <c r="O3838" s="1"/>
      <c r="P3838" s="1"/>
      <c r="Q3838" s="1"/>
      <c r="R3838" s="1"/>
      <c r="Z3838" s="103"/>
      <c r="AA3838" s="103"/>
      <c r="AB3838" s="1"/>
    </row>
    <row r="3839" spans="15:30">
      <c r="O3839" s="1"/>
      <c r="P3839" s="1"/>
      <c r="Q3839" s="1"/>
      <c r="R3839" s="1"/>
      <c r="Z3839" s="103"/>
      <c r="AA3839" s="103"/>
      <c r="AB3839" s="1"/>
    </row>
    <row r="3840" spans="15:30">
      <c r="O3840" s="1"/>
      <c r="P3840" s="1"/>
      <c r="Q3840" s="1"/>
      <c r="R3840" s="1"/>
      <c r="Z3840" s="103"/>
      <c r="AA3840" s="103"/>
      <c r="AB3840" s="1"/>
    </row>
    <row r="3841" spans="15:28">
      <c r="O3841" s="1"/>
      <c r="P3841" s="1"/>
      <c r="Q3841" s="1"/>
      <c r="R3841" s="1"/>
      <c r="Z3841" s="103"/>
      <c r="AA3841" s="103"/>
      <c r="AB3841" s="1"/>
    </row>
    <row r="3842" spans="15:28">
      <c r="O3842" s="1"/>
      <c r="P3842" s="1"/>
      <c r="Q3842" s="1"/>
      <c r="R3842" s="1"/>
      <c r="Z3842" s="103"/>
      <c r="AA3842" s="103"/>
      <c r="AB3842" s="1"/>
    </row>
    <row r="3843" spans="15:28">
      <c r="O3843" s="1"/>
      <c r="P3843" s="1"/>
      <c r="Q3843" s="1"/>
      <c r="R3843" s="1"/>
      <c r="Z3843" s="103"/>
      <c r="AA3843" s="103"/>
      <c r="AB3843" s="1"/>
    </row>
    <row r="3844" spans="15:28">
      <c r="O3844" s="1"/>
      <c r="P3844" s="1"/>
      <c r="Q3844" s="1"/>
      <c r="R3844" s="1"/>
      <c r="Z3844" s="103"/>
      <c r="AA3844" s="103"/>
      <c r="AB3844" s="1"/>
    </row>
    <row r="3845" spans="15:28">
      <c r="O3845" s="1"/>
      <c r="P3845" s="1"/>
      <c r="Q3845" s="1"/>
      <c r="R3845" s="1"/>
      <c r="Z3845" s="103"/>
      <c r="AA3845" s="103"/>
      <c r="AB3845" s="1"/>
    </row>
    <row r="3846" spans="15:28">
      <c r="O3846" s="1"/>
      <c r="P3846" s="1"/>
      <c r="Q3846" s="1"/>
      <c r="R3846" s="1"/>
      <c r="Z3846" s="103"/>
      <c r="AA3846" s="103"/>
      <c r="AB3846" s="1"/>
    </row>
    <row r="3847" spans="15:28">
      <c r="O3847" s="1"/>
      <c r="P3847" s="1"/>
      <c r="Q3847" s="1"/>
      <c r="R3847" s="1"/>
      <c r="Z3847" s="103"/>
      <c r="AA3847" s="103"/>
      <c r="AB3847" s="1"/>
    </row>
    <row r="3848" spans="15:28">
      <c r="O3848" s="1"/>
      <c r="P3848" s="1"/>
      <c r="Q3848" s="1"/>
      <c r="R3848" s="1"/>
      <c r="Z3848" s="103"/>
      <c r="AA3848" s="103"/>
      <c r="AB3848" s="1"/>
    </row>
    <row r="3849" spans="15:28">
      <c r="O3849" s="1"/>
      <c r="P3849" s="1"/>
      <c r="Q3849" s="1"/>
      <c r="R3849" s="1"/>
      <c r="Z3849" s="103"/>
      <c r="AA3849" s="103"/>
      <c r="AB3849" s="1"/>
    </row>
    <row r="3850" spans="15:28">
      <c r="O3850" s="1"/>
      <c r="P3850" s="1"/>
      <c r="Q3850" s="1"/>
      <c r="R3850" s="1"/>
      <c r="Z3850" s="103"/>
      <c r="AA3850" s="103"/>
      <c r="AB3850" s="1"/>
    </row>
    <row r="3851" spans="15:28">
      <c r="O3851" s="1"/>
      <c r="P3851" s="1"/>
      <c r="Q3851" s="1"/>
      <c r="R3851" s="1"/>
      <c r="Z3851" s="103"/>
      <c r="AA3851" s="103"/>
      <c r="AB3851" s="1"/>
    </row>
    <row r="3852" spans="15:28">
      <c r="O3852" s="1"/>
      <c r="P3852" s="1"/>
      <c r="Q3852" s="1"/>
      <c r="R3852" s="1"/>
      <c r="Z3852" s="103"/>
      <c r="AA3852" s="103"/>
      <c r="AB3852" s="1"/>
    </row>
    <row r="3853" spans="15:28">
      <c r="O3853" s="1"/>
      <c r="P3853" s="1"/>
      <c r="Q3853" s="1"/>
      <c r="R3853" s="1"/>
      <c r="Z3853" s="103"/>
      <c r="AA3853" s="103"/>
      <c r="AB3853" s="1"/>
    </row>
    <row r="3854" spans="15:28">
      <c r="O3854" s="1"/>
      <c r="P3854" s="1"/>
      <c r="Q3854" s="1"/>
      <c r="R3854" s="1"/>
      <c r="Z3854" s="103"/>
      <c r="AA3854" s="103"/>
      <c r="AB3854" s="1"/>
    </row>
    <row r="3855" spans="15:28">
      <c r="O3855" s="1"/>
      <c r="P3855" s="1"/>
      <c r="Q3855" s="1"/>
      <c r="R3855" s="1"/>
      <c r="Z3855" s="103"/>
      <c r="AA3855" s="103"/>
      <c r="AB3855" s="1"/>
    </row>
    <row r="3856" spans="15:28">
      <c r="O3856" s="1"/>
      <c r="P3856" s="1"/>
      <c r="Q3856" s="1"/>
      <c r="R3856" s="1"/>
      <c r="Z3856" s="103"/>
      <c r="AA3856" s="103"/>
      <c r="AB3856" s="1"/>
    </row>
    <row r="3857" spans="15:28">
      <c r="O3857" s="1"/>
      <c r="P3857" s="1"/>
      <c r="Q3857" s="1"/>
      <c r="R3857" s="1"/>
      <c r="Z3857" s="103"/>
      <c r="AA3857" s="103"/>
      <c r="AB3857" s="1"/>
    </row>
    <row r="3858" spans="15:28">
      <c r="O3858" s="1"/>
      <c r="P3858" s="1"/>
      <c r="Q3858" s="1"/>
      <c r="R3858" s="1"/>
      <c r="Z3858" s="103"/>
      <c r="AA3858" s="103"/>
      <c r="AB3858" s="1"/>
    </row>
    <row r="3859" spans="15:28">
      <c r="O3859" s="1"/>
      <c r="P3859" s="1"/>
      <c r="Q3859" s="1"/>
      <c r="R3859" s="1"/>
      <c r="Z3859" s="103"/>
      <c r="AA3859" s="103"/>
      <c r="AB3859" s="1"/>
    </row>
    <row r="3860" spans="15:28">
      <c r="O3860" s="1"/>
      <c r="P3860" s="1"/>
      <c r="Q3860" s="1"/>
      <c r="R3860" s="1"/>
      <c r="Z3860" s="103"/>
      <c r="AA3860" s="103"/>
      <c r="AB3860" s="1"/>
    </row>
    <row r="3861" spans="15:28">
      <c r="O3861" s="1"/>
      <c r="P3861" s="1"/>
      <c r="Q3861" s="1"/>
      <c r="R3861" s="1"/>
      <c r="Z3861" s="103"/>
      <c r="AA3861" s="103"/>
      <c r="AB3861" s="1"/>
    </row>
    <row r="3862" spans="15:28">
      <c r="O3862" s="1"/>
      <c r="P3862" s="1"/>
      <c r="Q3862" s="1"/>
      <c r="R3862" s="1"/>
      <c r="Z3862" s="103"/>
      <c r="AA3862" s="103"/>
      <c r="AB3862" s="1"/>
    </row>
    <row r="3863" spans="15:28">
      <c r="O3863" s="1"/>
      <c r="P3863" s="1"/>
      <c r="Q3863" s="1"/>
      <c r="R3863" s="1"/>
      <c r="Z3863" s="103"/>
      <c r="AA3863" s="103"/>
      <c r="AB3863" s="1"/>
    </row>
    <row r="3864" spans="15:28">
      <c r="O3864" s="1"/>
      <c r="P3864" s="1"/>
      <c r="Q3864" s="1"/>
      <c r="R3864" s="1"/>
      <c r="Z3864" s="103"/>
      <c r="AA3864" s="103"/>
      <c r="AB3864" s="1"/>
    </row>
    <row r="3865" spans="15:28">
      <c r="O3865" s="1"/>
      <c r="P3865" s="1"/>
      <c r="Q3865" s="1"/>
      <c r="R3865" s="1"/>
      <c r="Z3865" s="103"/>
      <c r="AA3865" s="103"/>
      <c r="AB3865" s="1"/>
    </row>
    <row r="3866" spans="15:28">
      <c r="O3866" s="1"/>
      <c r="P3866" s="1"/>
      <c r="Q3866" s="1"/>
      <c r="R3866" s="1"/>
      <c r="Z3866" s="103"/>
      <c r="AA3866" s="103"/>
      <c r="AB3866" s="1"/>
    </row>
    <row r="3867" spans="15:28">
      <c r="O3867" s="1"/>
      <c r="P3867" s="1"/>
      <c r="Q3867" s="1"/>
      <c r="R3867" s="1"/>
      <c r="Z3867" s="103"/>
      <c r="AA3867" s="103"/>
      <c r="AB3867" s="1"/>
    </row>
    <row r="3868" spans="15:28">
      <c r="O3868" s="1"/>
      <c r="P3868" s="1"/>
      <c r="Q3868" s="1"/>
      <c r="R3868" s="1"/>
      <c r="Z3868" s="103"/>
      <c r="AA3868" s="103"/>
      <c r="AB3868" s="1"/>
    </row>
    <row r="3869" spans="15:28">
      <c r="O3869" s="1"/>
      <c r="P3869" s="1"/>
      <c r="Q3869" s="1"/>
      <c r="R3869" s="1"/>
      <c r="Z3869" s="103"/>
      <c r="AA3869" s="103"/>
      <c r="AB3869" s="1"/>
    </row>
    <row r="3870" spans="15:28">
      <c r="O3870" s="1"/>
      <c r="P3870" s="1"/>
      <c r="Q3870" s="1"/>
      <c r="R3870" s="1"/>
      <c r="Z3870" s="103"/>
      <c r="AA3870" s="103"/>
      <c r="AB3870" s="1"/>
    </row>
    <row r="3871" spans="15:28">
      <c r="O3871" s="1"/>
      <c r="P3871" s="1"/>
      <c r="Q3871" s="1"/>
      <c r="R3871" s="1"/>
      <c r="Z3871" s="103"/>
      <c r="AA3871" s="103"/>
      <c r="AB3871" s="1"/>
    </row>
    <row r="3872" spans="15:28">
      <c r="O3872" s="1"/>
      <c r="P3872" s="1"/>
      <c r="Q3872" s="1"/>
      <c r="R3872" s="1"/>
      <c r="Z3872" s="103"/>
      <c r="AA3872" s="103"/>
      <c r="AB3872" s="1"/>
    </row>
    <row r="3873" spans="15:28">
      <c r="O3873" s="1"/>
      <c r="P3873" s="1"/>
      <c r="Q3873" s="1"/>
      <c r="R3873" s="1"/>
      <c r="Z3873" s="103"/>
      <c r="AA3873" s="103"/>
      <c r="AB3873" s="1"/>
    </row>
    <row r="3874" spans="15:28">
      <c r="O3874" s="1"/>
      <c r="P3874" s="1"/>
      <c r="Q3874" s="1"/>
      <c r="R3874" s="1"/>
      <c r="Z3874" s="103"/>
      <c r="AA3874" s="103"/>
      <c r="AB3874" s="1"/>
    </row>
    <row r="3875" spans="15:28">
      <c r="O3875" s="1"/>
      <c r="P3875" s="1"/>
      <c r="Q3875" s="1"/>
      <c r="R3875" s="1"/>
      <c r="Z3875" s="103"/>
      <c r="AA3875" s="103"/>
      <c r="AB3875" s="1"/>
    </row>
    <row r="3876" spans="15:28">
      <c r="O3876" s="1"/>
      <c r="P3876" s="1"/>
      <c r="Q3876" s="1"/>
      <c r="R3876" s="1"/>
      <c r="Z3876" s="103"/>
      <c r="AA3876" s="103"/>
      <c r="AB3876" s="1"/>
    </row>
    <row r="3877" spans="15:28">
      <c r="O3877" s="1"/>
      <c r="P3877" s="1"/>
      <c r="Q3877" s="1"/>
      <c r="R3877" s="1"/>
      <c r="Z3877" s="103"/>
      <c r="AA3877" s="103"/>
      <c r="AB3877" s="1"/>
    </row>
    <row r="3878" spans="15:28">
      <c r="O3878" s="1"/>
      <c r="P3878" s="1"/>
      <c r="Q3878" s="1"/>
      <c r="R3878" s="1"/>
      <c r="Z3878" s="103"/>
      <c r="AA3878" s="103"/>
      <c r="AB3878" s="1"/>
    </row>
    <row r="3879" spans="15:28">
      <c r="O3879" s="1"/>
      <c r="P3879" s="1"/>
      <c r="Q3879" s="1"/>
      <c r="R3879" s="1"/>
      <c r="Z3879" s="103"/>
      <c r="AA3879" s="103"/>
      <c r="AB3879" s="1"/>
    </row>
    <row r="3880" spans="15:28">
      <c r="O3880" s="1"/>
      <c r="P3880" s="1"/>
      <c r="Q3880" s="1"/>
      <c r="R3880" s="1"/>
      <c r="Z3880" s="103"/>
      <c r="AA3880" s="103"/>
      <c r="AB3880" s="1"/>
    </row>
    <row r="3881" spans="15:28">
      <c r="O3881" s="1"/>
      <c r="P3881" s="1"/>
      <c r="Q3881" s="1"/>
      <c r="R3881" s="1"/>
      <c r="Z3881" s="103"/>
      <c r="AA3881" s="103"/>
      <c r="AB3881" s="1"/>
    </row>
    <row r="3882" spans="15:28">
      <c r="O3882" s="1"/>
      <c r="P3882" s="1"/>
      <c r="Q3882" s="1"/>
      <c r="R3882" s="1"/>
      <c r="Z3882" s="103"/>
      <c r="AA3882" s="103"/>
      <c r="AB3882" s="1"/>
    </row>
    <row r="3883" spans="15:28">
      <c r="O3883" s="1"/>
      <c r="P3883" s="1"/>
      <c r="Q3883" s="1"/>
      <c r="R3883" s="1"/>
      <c r="Z3883" s="103"/>
      <c r="AA3883" s="103"/>
      <c r="AB3883" s="1"/>
    </row>
    <row r="3884" spans="15:28">
      <c r="O3884" s="1"/>
      <c r="P3884" s="1"/>
      <c r="Q3884" s="1"/>
      <c r="R3884" s="1"/>
      <c r="Z3884" s="103"/>
      <c r="AA3884" s="103"/>
      <c r="AB3884" s="1"/>
    </row>
    <row r="3885" spans="15:28">
      <c r="O3885" s="1"/>
      <c r="P3885" s="1"/>
      <c r="Q3885" s="1"/>
      <c r="R3885" s="1"/>
      <c r="Z3885" s="103"/>
      <c r="AA3885" s="103"/>
      <c r="AB3885" s="1"/>
    </row>
    <row r="3886" spans="15:28">
      <c r="O3886" s="1"/>
      <c r="P3886" s="1"/>
      <c r="Q3886" s="1"/>
      <c r="R3886" s="1"/>
      <c r="Z3886" s="103"/>
      <c r="AA3886" s="103"/>
      <c r="AB3886" s="1"/>
    </row>
    <row r="3887" spans="15:28">
      <c r="O3887" s="1"/>
      <c r="P3887" s="1"/>
      <c r="Q3887" s="1"/>
      <c r="R3887" s="1"/>
      <c r="Z3887" s="103"/>
      <c r="AA3887" s="103"/>
      <c r="AB3887" s="1"/>
    </row>
    <row r="3888" spans="15:28">
      <c r="O3888" s="1"/>
      <c r="P3888" s="1"/>
      <c r="Q3888" s="1"/>
      <c r="R3888" s="1"/>
      <c r="Z3888" s="103"/>
      <c r="AA3888" s="103"/>
      <c r="AB3888" s="1"/>
    </row>
    <row r="3889" spans="15:30">
      <c r="O3889" s="1"/>
      <c r="P3889" s="1"/>
      <c r="Q3889" s="1"/>
      <c r="R3889" s="1"/>
      <c r="Z3889" s="103"/>
      <c r="AA3889" s="103"/>
      <c r="AB3889" s="1"/>
    </row>
    <row r="3890" spans="15:30">
      <c r="O3890" s="1"/>
      <c r="P3890" s="1"/>
      <c r="Q3890" s="1"/>
      <c r="R3890" s="1"/>
      <c r="Z3890" s="103"/>
      <c r="AA3890" s="103"/>
      <c r="AB3890" s="1"/>
    </row>
    <row r="3891" spans="15:30">
      <c r="O3891" s="1"/>
      <c r="P3891" s="1"/>
      <c r="Q3891" s="1"/>
      <c r="R3891" s="1"/>
      <c r="Z3891" s="103"/>
      <c r="AA3891" s="103"/>
      <c r="AB3891" s="1"/>
    </row>
    <row r="3892" spans="15:30">
      <c r="O3892" s="1"/>
      <c r="P3892" s="1"/>
      <c r="Q3892" s="1"/>
      <c r="R3892" s="1"/>
      <c r="Z3892" s="103"/>
      <c r="AA3892" s="103"/>
      <c r="AB3892" s="1"/>
      <c r="AD3892" s="102"/>
    </row>
    <row r="3893" spans="15:30">
      <c r="O3893" s="1"/>
      <c r="P3893" s="1"/>
      <c r="Q3893" s="1"/>
      <c r="R3893" s="1"/>
      <c r="Z3893" s="103"/>
      <c r="AA3893" s="103"/>
      <c r="AB3893" s="1"/>
    </row>
    <row r="3894" spans="15:30">
      <c r="O3894" s="1"/>
      <c r="P3894" s="1"/>
      <c r="Q3894" s="1"/>
      <c r="R3894" s="1"/>
      <c r="Z3894" s="103"/>
      <c r="AA3894" s="103"/>
      <c r="AB3894" s="1"/>
    </row>
    <row r="3895" spans="15:30">
      <c r="O3895" s="1"/>
      <c r="P3895" s="1"/>
      <c r="Q3895" s="1"/>
      <c r="R3895" s="1"/>
      <c r="Z3895" s="103"/>
      <c r="AA3895" s="103"/>
      <c r="AB3895" s="1"/>
      <c r="AD3895" s="102"/>
    </row>
    <row r="3896" spans="15:30">
      <c r="O3896" s="1"/>
      <c r="P3896" s="1"/>
      <c r="Q3896" s="1"/>
      <c r="R3896" s="1"/>
      <c r="Z3896" s="103"/>
      <c r="AA3896" s="103"/>
      <c r="AB3896" s="1"/>
      <c r="AD3896" s="102"/>
    </row>
    <row r="3897" spans="15:30">
      <c r="O3897" s="1"/>
      <c r="P3897" s="1"/>
      <c r="Q3897" s="1"/>
      <c r="R3897" s="1"/>
      <c r="Z3897" s="103"/>
      <c r="AA3897" s="103"/>
      <c r="AB3897" s="1"/>
    </row>
    <row r="3898" spans="15:30">
      <c r="O3898" s="1"/>
      <c r="P3898" s="1"/>
      <c r="Q3898" s="1"/>
      <c r="R3898" s="1"/>
      <c r="Z3898" s="103"/>
      <c r="AA3898" s="103"/>
      <c r="AB3898" s="1"/>
    </row>
    <row r="3899" spans="15:30">
      <c r="O3899" s="1"/>
      <c r="P3899" s="1"/>
      <c r="Q3899" s="1"/>
      <c r="R3899" s="1"/>
      <c r="Z3899" s="103"/>
      <c r="AA3899" s="103"/>
      <c r="AB3899" s="1"/>
    </row>
    <row r="3900" spans="15:30">
      <c r="O3900" s="1"/>
      <c r="P3900" s="1"/>
      <c r="Q3900" s="1"/>
      <c r="R3900" s="1"/>
      <c r="Z3900" s="103"/>
      <c r="AA3900" s="103"/>
      <c r="AB3900" s="1"/>
    </row>
    <row r="3901" spans="15:30">
      <c r="O3901" s="1"/>
      <c r="P3901" s="1"/>
      <c r="Q3901" s="1"/>
      <c r="R3901" s="1"/>
      <c r="Z3901" s="103"/>
      <c r="AA3901" s="103"/>
      <c r="AB3901" s="1"/>
    </row>
    <row r="3902" spans="15:30">
      <c r="O3902" s="1"/>
      <c r="P3902" s="1"/>
      <c r="Q3902" s="1"/>
      <c r="R3902" s="1"/>
      <c r="Z3902" s="103"/>
      <c r="AA3902" s="103"/>
      <c r="AB3902" s="1"/>
    </row>
    <row r="3903" spans="15:30">
      <c r="O3903" s="1"/>
      <c r="P3903" s="1"/>
      <c r="Q3903" s="1"/>
      <c r="R3903" s="1"/>
      <c r="Z3903" s="103"/>
      <c r="AA3903" s="103"/>
      <c r="AB3903" s="1"/>
    </row>
    <row r="3904" spans="15:30">
      <c r="O3904" s="1"/>
      <c r="P3904" s="1"/>
      <c r="Q3904" s="1"/>
      <c r="R3904" s="1"/>
      <c r="Z3904" s="103"/>
      <c r="AA3904" s="103"/>
      <c r="AB3904" s="1"/>
    </row>
    <row r="3905" spans="15:30">
      <c r="O3905" s="1"/>
      <c r="P3905" s="1"/>
      <c r="Q3905" s="1"/>
      <c r="R3905" s="1"/>
      <c r="Z3905" s="103"/>
      <c r="AA3905" s="103"/>
      <c r="AB3905" s="1"/>
    </row>
    <row r="3906" spans="15:30">
      <c r="O3906" s="1"/>
      <c r="P3906" s="1"/>
      <c r="Q3906" s="1"/>
      <c r="R3906" s="1"/>
      <c r="Z3906" s="103"/>
      <c r="AA3906" s="103"/>
      <c r="AB3906" s="1"/>
    </row>
    <row r="3907" spans="15:30">
      <c r="O3907" s="1"/>
      <c r="P3907" s="1"/>
      <c r="Q3907" s="1"/>
      <c r="R3907" s="1"/>
      <c r="Z3907" s="103"/>
      <c r="AA3907" s="103"/>
      <c r="AB3907" s="1"/>
    </row>
    <row r="3908" spans="15:30">
      <c r="O3908" s="1"/>
      <c r="P3908" s="1"/>
      <c r="Q3908" s="1"/>
      <c r="R3908" s="1"/>
      <c r="Z3908" s="103"/>
      <c r="AA3908" s="103"/>
      <c r="AB3908" s="1"/>
      <c r="AD3908" s="102"/>
    </row>
    <row r="3909" spans="15:30">
      <c r="O3909" s="1"/>
      <c r="P3909" s="1"/>
      <c r="Q3909" s="1"/>
      <c r="R3909" s="1"/>
      <c r="Z3909" s="103"/>
      <c r="AA3909" s="103"/>
      <c r="AB3909" s="1"/>
    </row>
    <row r="3910" spans="15:30">
      <c r="O3910" s="1"/>
      <c r="P3910" s="1"/>
      <c r="Q3910" s="1"/>
      <c r="R3910" s="1"/>
      <c r="Z3910" s="103"/>
      <c r="AA3910" s="103"/>
      <c r="AB3910" s="1"/>
    </row>
    <row r="3911" spans="15:30">
      <c r="O3911" s="1"/>
      <c r="P3911" s="1"/>
      <c r="Q3911" s="1"/>
      <c r="R3911" s="1"/>
      <c r="Z3911" s="103"/>
      <c r="AA3911" s="103"/>
      <c r="AB3911" s="1"/>
    </row>
    <row r="3912" spans="15:30">
      <c r="O3912" s="1"/>
      <c r="P3912" s="1"/>
      <c r="Q3912" s="1"/>
      <c r="R3912" s="1"/>
      <c r="Z3912" s="103"/>
      <c r="AA3912" s="103"/>
      <c r="AB3912" s="1"/>
    </row>
    <row r="3913" spans="15:30">
      <c r="O3913" s="1"/>
      <c r="P3913" s="1"/>
      <c r="Q3913" s="1"/>
      <c r="R3913" s="1"/>
      <c r="Z3913" s="103"/>
      <c r="AA3913" s="103"/>
      <c r="AB3913" s="1"/>
    </row>
    <row r="3914" spans="15:30">
      <c r="O3914" s="1"/>
      <c r="P3914" s="1"/>
      <c r="Q3914" s="1"/>
      <c r="R3914" s="1"/>
      <c r="Z3914" s="103"/>
      <c r="AA3914" s="103"/>
      <c r="AB3914" s="1"/>
    </row>
    <row r="3915" spans="15:30">
      <c r="O3915" s="1"/>
      <c r="P3915" s="1"/>
      <c r="Q3915" s="1"/>
      <c r="R3915" s="1"/>
      <c r="Z3915" s="103"/>
      <c r="AA3915" s="103"/>
      <c r="AB3915" s="1"/>
    </row>
    <row r="3916" spans="15:30">
      <c r="O3916" s="1"/>
      <c r="P3916" s="1"/>
      <c r="Q3916" s="1"/>
      <c r="R3916" s="1"/>
      <c r="Z3916" s="103"/>
      <c r="AA3916" s="103"/>
      <c r="AB3916" s="1"/>
    </row>
    <row r="3917" spans="15:30">
      <c r="O3917" s="1"/>
      <c r="P3917" s="1"/>
      <c r="Q3917" s="1"/>
      <c r="R3917" s="1"/>
      <c r="Z3917" s="103"/>
      <c r="AA3917" s="103"/>
      <c r="AB3917" s="1"/>
    </row>
    <row r="3918" spans="15:30">
      <c r="O3918" s="1"/>
      <c r="P3918" s="1"/>
      <c r="Q3918" s="1"/>
      <c r="R3918" s="1"/>
      <c r="Z3918" s="103"/>
      <c r="AA3918" s="103"/>
      <c r="AB3918" s="1"/>
    </row>
    <row r="3919" spans="15:30">
      <c r="O3919" s="1"/>
      <c r="P3919" s="1"/>
      <c r="Q3919" s="1"/>
      <c r="R3919" s="1"/>
      <c r="Z3919" s="103"/>
      <c r="AA3919" s="103"/>
      <c r="AB3919" s="1"/>
    </row>
    <row r="3920" spans="15:30">
      <c r="O3920" s="1"/>
      <c r="P3920" s="1"/>
      <c r="Q3920" s="1"/>
      <c r="R3920" s="1"/>
      <c r="Z3920" s="103"/>
      <c r="AA3920" s="103"/>
      <c r="AB3920" s="1"/>
    </row>
    <row r="3921" spans="15:28">
      <c r="O3921" s="1"/>
      <c r="P3921" s="1"/>
      <c r="Q3921" s="1"/>
      <c r="R3921" s="1"/>
      <c r="Z3921" s="103"/>
      <c r="AA3921" s="103"/>
      <c r="AB3921" s="1"/>
    </row>
    <row r="3922" spans="15:28">
      <c r="O3922" s="1"/>
      <c r="P3922" s="1"/>
      <c r="Q3922" s="1"/>
      <c r="R3922" s="1"/>
      <c r="Z3922" s="103"/>
      <c r="AA3922" s="103"/>
      <c r="AB3922" s="1"/>
    </row>
    <row r="3923" spans="15:28">
      <c r="O3923" s="1"/>
      <c r="P3923" s="1"/>
      <c r="Q3923" s="1"/>
      <c r="R3923" s="1"/>
      <c r="Z3923" s="103"/>
      <c r="AA3923" s="103"/>
      <c r="AB3923" s="1"/>
    </row>
    <row r="3924" spans="15:28">
      <c r="O3924" s="1"/>
      <c r="P3924" s="1"/>
      <c r="Q3924" s="1"/>
      <c r="R3924" s="1"/>
      <c r="Z3924" s="103"/>
      <c r="AA3924" s="103"/>
      <c r="AB3924" s="1"/>
    </row>
    <row r="3925" spans="15:28">
      <c r="O3925" s="1"/>
      <c r="P3925" s="1"/>
      <c r="Q3925" s="1"/>
      <c r="R3925" s="1"/>
      <c r="Z3925" s="103"/>
      <c r="AA3925" s="103"/>
      <c r="AB3925" s="1"/>
    </row>
    <row r="3926" spans="15:28">
      <c r="O3926" s="1"/>
      <c r="P3926" s="1"/>
      <c r="Q3926" s="1"/>
      <c r="R3926" s="1"/>
      <c r="Z3926" s="103"/>
      <c r="AA3926" s="103"/>
      <c r="AB3926" s="1"/>
    </row>
    <row r="3927" spans="15:28">
      <c r="O3927" s="1"/>
      <c r="P3927" s="1"/>
      <c r="Q3927" s="1"/>
      <c r="R3927" s="1"/>
      <c r="Z3927" s="103"/>
      <c r="AA3927" s="103"/>
      <c r="AB3927" s="1"/>
    </row>
    <row r="3928" spans="15:28">
      <c r="O3928" s="1"/>
      <c r="P3928" s="1"/>
      <c r="Q3928" s="1"/>
      <c r="R3928" s="1"/>
      <c r="Z3928" s="103"/>
      <c r="AA3928" s="103"/>
      <c r="AB3928" s="1"/>
    </row>
    <row r="3929" spans="15:28">
      <c r="O3929" s="1"/>
      <c r="P3929" s="1"/>
      <c r="Q3929" s="1"/>
      <c r="R3929" s="1"/>
      <c r="Z3929" s="103"/>
      <c r="AA3929" s="103"/>
      <c r="AB3929" s="1"/>
    </row>
    <row r="3930" spans="15:28">
      <c r="O3930" s="1"/>
      <c r="P3930" s="1"/>
      <c r="Q3930" s="1"/>
      <c r="R3930" s="1"/>
      <c r="Z3930" s="103"/>
      <c r="AA3930" s="103"/>
      <c r="AB3930" s="1"/>
    </row>
    <row r="3931" spans="15:28">
      <c r="O3931" s="1"/>
      <c r="P3931" s="1"/>
      <c r="Q3931" s="1"/>
      <c r="R3931" s="1"/>
      <c r="Z3931" s="103"/>
      <c r="AA3931" s="103"/>
      <c r="AB3931" s="1"/>
    </row>
    <row r="3932" spans="15:28">
      <c r="O3932" s="1"/>
      <c r="P3932" s="1"/>
      <c r="Q3932" s="1"/>
      <c r="R3932" s="1"/>
      <c r="Z3932" s="103"/>
      <c r="AA3932" s="103"/>
      <c r="AB3932" s="1"/>
    </row>
    <row r="3933" spans="15:28">
      <c r="O3933" s="1"/>
      <c r="P3933" s="1"/>
      <c r="Q3933" s="1"/>
      <c r="R3933" s="1"/>
      <c r="Z3933" s="103"/>
      <c r="AA3933" s="103"/>
      <c r="AB3933" s="1"/>
    </row>
    <row r="3934" spans="15:28">
      <c r="O3934" s="1"/>
      <c r="P3934" s="1"/>
      <c r="Q3934" s="1"/>
      <c r="R3934" s="1"/>
      <c r="Z3934" s="103"/>
      <c r="AA3934" s="103"/>
      <c r="AB3934" s="1"/>
    </row>
    <row r="3935" spans="15:28">
      <c r="O3935" s="1"/>
      <c r="P3935" s="1"/>
      <c r="Q3935" s="1"/>
      <c r="R3935" s="1"/>
      <c r="Z3935" s="103"/>
      <c r="AA3935" s="103"/>
      <c r="AB3935" s="1"/>
    </row>
    <row r="3936" spans="15:28">
      <c r="O3936" s="1"/>
      <c r="P3936" s="1"/>
      <c r="Q3936" s="1"/>
      <c r="R3936" s="1"/>
      <c r="Z3936" s="103"/>
      <c r="AA3936" s="103"/>
      <c r="AB3936" s="1"/>
    </row>
    <row r="3937" spans="15:28">
      <c r="O3937" s="1"/>
      <c r="P3937" s="1"/>
      <c r="Q3937" s="1"/>
      <c r="R3937" s="1"/>
      <c r="Z3937" s="103"/>
      <c r="AA3937" s="103"/>
      <c r="AB3937" s="1"/>
    </row>
    <row r="3938" spans="15:28">
      <c r="O3938" s="1"/>
      <c r="P3938" s="1"/>
      <c r="Q3938" s="1"/>
      <c r="R3938" s="1"/>
      <c r="Z3938" s="103"/>
      <c r="AA3938" s="103"/>
      <c r="AB3938" s="1"/>
    </row>
    <row r="3939" spans="15:28">
      <c r="O3939" s="1"/>
      <c r="P3939" s="1"/>
      <c r="Q3939" s="1"/>
      <c r="R3939" s="1"/>
      <c r="Z3939" s="103"/>
      <c r="AA3939" s="103"/>
      <c r="AB3939" s="1"/>
    </row>
    <row r="3940" spans="15:28">
      <c r="O3940" s="1"/>
      <c r="P3940" s="1"/>
      <c r="Q3940" s="1"/>
      <c r="R3940" s="1"/>
      <c r="Z3940" s="103"/>
      <c r="AA3940" s="103"/>
      <c r="AB3940" s="1"/>
    </row>
    <row r="3941" spans="15:28">
      <c r="O3941" s="1"/>
      <c r="P3941" s="1"/>
      <c r="Q3941" s="1"/>
      <c r="R3941" s="1"/>
      <c r="Z3941" s="103"/>
      <c r="AA3941" s="103"/>
      <c r="AB3941" s="1"/>
    </row>
    <row r="3942" spans="15:28">
      <c r="O3942" s="1"/>
      <c r="P3942" s="1"/>
      <c r="Q3942" s="1"/>
      <c r="R3942" s="1"/>
      <c r="Z3942" s="103"/>
      <c r="AA3942" s="103"/>
      <c r="AB3942" s="1"/>
    </row>
    <row r="3943" spans="15:28">
      <c r="O3943" s="1"/>
      <c r="P3943" s="1"/>
      <c r="Q3943" s="1"/>
      <c r="R3943" s="1"/>
      <c r="Z3943" s="103"/>
      <c r="AA3943" s="103"/>
      <c r="AB3943" s="1"/>
    </row>
    <row r="3944" spans="15:28">
      <c r="O3944" s="1"/>
      <c r="P3944" s="1"/>
      <c r="Q3944" s="1"/>
      <c r="R3944" s="1"/>
      <c r="Z3944" s="103"/>
      <c r="AA3944" s="103"/>
      <c r="AB3944" s="1"/>
    </row>
    <row r="3945" spans="15:28">
      <c r="O3945" s="1"/>
      <c r="P3945" s="1"/>
      <c r="Q3945" s="1"/>
      <c r="R3945" s="1"/>
      <c r="Z3945" s="103"/>
      <c r="AA3945" s="103"/>
      <c r="AB3945" s="1"/>
    </row>
    <row r="3946" spans="15:28">
      <c r="O3946" s="1"/>
      <c r="P3946" s="1"/>
      <c r="Q3946" s="1"/>
      <c r="R3946" s="1"/>
      <c r="Z3946" s="103"/>
      <c r="AA3946" s="103"/>
      <c r="AB3946" s="1"/>
    </row>
    <row r="3947" spans="15:28">
      <c r="O3947" s="1"/>
      <c r="P3947" s="1"/>
      <c r="Q3947" s="1"/>
      <c r="R3947" s="1"/>
      <c r="Z3947" s="103"/>
      <c r="AA3947" s="103"/>
      <c r="AB3947" s="1"/>
    </row>
    <row r="3948" spans="15:28">
      <c r="O3948" s="1"/>
      <c r="P3948" s="1"/>
      <c r="Q3948" s="1"/>
      <c r="R3948" s="1"/>
      <c r="Z3948" s="103"/>
      <c r="AA3948" s="103"/>
      <c r="AB3948" s="1"/>
    </row>
    <row r="3949" spans="15:28">
      <c r="O3949" s="1"/>
      <c r="P3949" s="1"/>
      <c r="Q3949" s="1"/>
      <c r="R3949" s="1"/>
      <c r="Z3949" s="103"/>
      <c r="AA3949" s="103"/>
      <c r="AB3949" s="1"/>
    </row>
    <row r="3950" spans="15:28">
      <c r="O3950" s="1"/>
      <c r="P3950" s="1"/>
      <c r="Q3950" s="1"/>
      <c r="R3950" s="1"/>
      <c r="Z3950" s="103"/>
      <c r="AA3950" s="103"/>
      <c r="AB3950" s="1"/>
    </row>
    <row r="3951" spans="15:28">
      <c r="O3951" s="1"/>
      <c r="P3951" s="1"/>
      <c r="Q3951" s="1"/>
      <c r="R3951" s="1"/>
      <c r="Z3951" s="103"/>
      <c r="AA3951" s="103"/>
      <c r="AB3951" s="1"/>
    </row>
    <row r="3952" spans="15:28">
      <c r="O3952" s="1"/>
      <c r="P3952" s="1"/>
      <c r="Q3952" s="1"/>
      <c r="R3952" s="1"/>
      <c r="Z3952" s="103"/>
      <c r="AA3952" s="103"/>
      <c r="AB3952" s="1"/>
    </row>
    <row r="3953" spans="15:30">
      <c r="O3953" s="1"/>
      <c r="P3953" s="1"/>
      <c r="Q3953" s="1"/>
      <c r="R3953" s="1"/>
      <c r="Z3953" s="103"/>
      <c r="AA3953" s="103"/>
      <c r="AB3953" s="1"/>
    </row>
    <row r="3954" spans="15:30">
      <c r="O3954" s="1"/>
      <c r="P3954" s="1"/>
      <c r="Q3954" s="1"/>
      <c r="R3954" s="1"/>
      <c r="Z3954" s="103"/>
      <c r="AA3954" s="103"/>
      <c r="AB3954" s="1"/>
    </row>
    <row r="3955" spans="15:30">
      <c r="O3955" s="1"/>
      <c r="P3955" s="1"/>
      <c r="Q3955" s="1"/>
      <c r="R3955" s="1"/>
      <c r="Z3955" s="103"/>
      <c r="AA3955" s="103"/>
      <c r="AB3955" s="1"/>
    </row>
    <row r="3956" spans="15:30">
      <c r="O3956" s="1"/>
      <c r="P3956" s="1"/>
      <c r="Q3956" s="1"/>
      <c r="R3956" s="1"/>
      <c r="Z3956" s="103"/>
      <c r="AA3956" s="103"/>
      <c r="AB3956" s="1"/>
    </row>
    <row r="3957" spans="15:30">
      <c r="O3957" s="1"/>
      <c r="P3957" s="1"/>
      <c r="Q3957" s="1"/>
      <c r="R3957" s="1"/>
      <c r="Z3957" s="103"/>
      <c r="AA3957" s="103"/>
      <c r="AB3957" s="1"/>
    </row>
    <row r="3958" spans="15:30">
      <c r="O3958" s="1"/>
      <c r="P3958" s="1"/>
      <c r="Q3958" s="1"/>
      <c r="R3958" s="1"/>
      <c r="Z3958" s="103"/>
      <c r="AA3958" s="103"/>
      <c r="AB3958" s="1"/>
    </row>
    <row r="3959" spans="15:30">
      <c r="O3959" s="1"/>
      <c r="P3959" s="1"/>
      <c r="Q3959" s="1"/>
      <c r="R3959" s="1"/>
      <c r="Z3959" s="103"/>
      <c r="AA3959" s="103"/>
      <c r="AB3959" s="1"/>
      <c r="AD3959" s="102"/>
    </row>
    <row r="3960" spans="15:30">
      <c r="O3960" s="1"/>
      <c r="P3960" s="1"/>
      <c r="Q3960" s="1"/>
      <c r="R3960" s="1"/>
      <c r="Z3960" s="103"/>
      <c r="AA3960" s="103"/>
      <c r="AB3960" s="1"/>
    </row>
    <row r="3961" spans="15:30">
      <c r="O3961" s="1"/>
      <c r="P3961" s="1"/>
      <c r="Q3961" s="1"/>
      <c r="R3961" s="1"/>
      <c r="Z3961" s="103"/>
      <c r="AA3961" s="103"/>
      <c r="AB3961" s="1"/>
    </row>
    <row r="3962" spans="15:30">
      <c r="O3962" s="1"/>
      <c r="P3962" s="1"/>
      <c r="Q3962" s="1"/>
      <c r="R3962" s="1"/>
      <c r="Z3962" s="103"/>
      <c r="AA3962" s="103"/>
      <c r="AB3962" s="1"/>
    </row>
    <row r="3963" spans="15:30">
      <c r="O3963" s="1"/>
      <c r="P3963" s="1"/>
      <c r="Q3963" s="1"/>
      <c r="R3963" s="1"/>
      <c r="Z3963" s="103"/>
      <c r="AA3963" s="103"/>
      <c r="AB3963" s="1"/>
    </row>
    <row r="3964" spans="15:30">
      <c r="O3964" s="1"/>
      <c r="P3964" s="1"/>
      <c r="Q3964" s="1"/>
      <c r="R3964" s="1"/>
      <c r="Z3964" s="103"/>
      <c r="AA3964" s="103"/>
      <c r="AB3964" s="1"/>
    </row>
    <row r="3965" spans="15:30">
      <c r="O3965" s="1"/>
      <c r="P3965" s="1"/>
      <c r="Q3965" s="1"/>
      <c r="R3965" s="1"/>
      <c r="Z3965" s="103"/>
      <c r="AA3965" s="103"/>
      <c r="AB3965" s="1"/>
    </row>
    <row r="3966" spans="15:30">
      <c r="O3966" s="1"/>
      <c r="P3966" s="1"/>
      <c r="Q3966" s="1"/>
      <c r="R3966" s="1"/>
      <c r="Z3966" s="103"/>
      <c r="AA3966" s="103"/>
      <c r="AB3966" s="1"/>
    </row>
    <row r="3967" spans="15:30">
      <c r="O3967" s="1"/>
      <c r="P3967" s="1"/>
      <c r="Q3967" s="1"/>
      <c r="R3967" s="1"/>
      <c r="Z3967" s="103"/>
      <c r="AA3967" s="103"/>
      <c r="AB3967" s="1"/>
    </row>
    <row r="3968" spans="15:30">
      <c r="O3968" s="1"/>
      <c r="P3968" s="1"/>
      <c r="Q3968" s="1"/>
      <c r="R3968" s="1"/>
      <c r="Z3968" s="103"/>
      <c r="AA3968" s="103"/>
      <c r="AB3968" s="1"/>
    </row>
    <row r="3969" spans="15:30">
      <c r="O3969" s="1"/>
      <c r="P3969" s="1"/>
      <c r="Q3969" s="1"/>
      <c r="R3969" s="1"/>
      <c r="Z3969" s="103"/>
      <c r="AA3969" s="103"/>
      <c r="AB3969" s="1"/>
    </row>
    <row r="3970" spans="15:30">
      <c r="O3970" s="1"/>
      <c r="P3970" s="1"/>
      <c r="Q3970" s="1"/>
      <c r="R3970" s="1"/>
      <c r="Z3970" s="103"/>
      <c r="AA3970" s="103"/>
      <c r="AB3970" s="1"/>
      <c r="AD3970" s="102"/>
    </row>
    <row r="3971" spans="15:30">
      <c r="O3971" s="1"/>
      <c r="P3971" s="1"/>
      <c r="Q3971" s="1"/>
      <c r="R3971" s="1"/>
      <c r="Z3971" s="103"/>
      <c r="AA3971" s="103"/>
      <c r="AB3971" s="1"/>
    </row>
    <row r="3972" spans="15:30">
      <c r="O3972" s="1"/>
      <c r="P3972" s="1"/>
      <c r="Q3972" s="1"/>
      <c r="R3972" s="1"/>
      <c r="Z3972" s="103"/>
      <c r="AA3972" s="103"/>
      <c r="AB3972" s="1"/>
    </row>
    <row r="3973" spans="15:30">
      <c r="O3973" s="1"/>
      <c r="P3973" s="1"/>
      <c r="Q3973" s="1"/>
      <c r="R3973" s="1"/>
      <c r="Z3973" s="103"/>
      <c r="AA3973" s="103"/>
      <c r="AB3973" s="1"/>
    </row>
    <row r="3974" spans="15:30">
      <c r="O3974" s="1"/>
      <c r="P3974" s="1"/>
      <c r="Q3974" s="1"/>
      <c r="R3974" s="1"/>
      <c r="Z3974" s="103"/>
      <c r="AA3974" s="103"/>
      <c r="AB3974" s="1"/>
    </row>
    <row r="3975" spans="15:30">
      <c r="O3975" s="1"/>
      <c r="P3975" s="1"/>
      <c r="Q3975" s="1"/>
      <c r="R3975" s="1"/>
      <c r="Z3975" s="103"/>
      <c r="AA3975" s="103"/>
      <c r="AB3975" s="1"/>
    </row>
    <row r="3976" spans="15:30">
      <c r="O3976" s="1"/>
      <c r="P3976" s="1"/>
      <c r="Q3976" s="1"/>
      <c r="R3976" s="1"/>
      <c r="Z3976" s="103"/>
      <c r="AA3976" s="103"/>
      <c r="AB3976" s="1"/>
    </row>
    <row r="3977" spans="15:30">
      <c r="O3977" s="1"/>
      <c r="P3977" s="1"/>
      <c r="Q3977" s="1"/>
      <c r="R3977" s="1"/>
      <c r="Z3977" s="103"/>
      <c r="AA3977" s="103"/>
      <c r="AB3977" s="1"/>
    </row>
    <row r="3978" spans="15:30">
      <c r="O3978" s="1"/>
      <c r="P3978" s="1"/>
      <c r="Q3978" s="1"/>
      <c r="R3978" s="1"/>
      <c r="Z3978" s="103"/>
      <c r="AA3978" s="103"/>
      <c r="AB3978" s="1"/>
    </row>
    <row r="3979" spans="15:30">
      <c r="O3979" s="1"/>
      <c r="P3979" s="1"/>
      <c r="Q3979" s="1"/>
      <c r="R3979" s="1"/>
      <c r="Z3979" s="103"/>
      <c r="AA3979" s="103"/>
      <c r="AB3979" s="1"/>
    </row>
    <row r="3980" spans="15:30">
      <c r="O3980" s="1"/>
      <c r="P3980" s="1"/>
      <c r="Q3980" s="1"/>
      <c r="R3980" s="1"/>
      <c r="Z3980" s="103"/>
      <c r="AA3980" s="103"/>
      <c r="AB3980" s="1"/>
      <c r="AD3980" s="102"/>
    </row>
    <row r="3981" spans="15:30">
      <c r="O3981" s="1"/>
      <c r="P3981" s="1"/>
      <c r="Q3981" s="1"/>
      <c r="R3981" s="1"/>
      <c r="Z3981" s="103"/>
      <c r="AA3981" s="103"/>
      <c r="AB3981" s="1"/>
    </row>
    <row r="3982" spans="15:30">
      <c r="O3982" s="1"/>
      <c r="P3982" s="1"/>
      <c r="Q3982" s="1"/>
      <c r="R3982" s="1"/>
      <c r="Z3982" s="103"/>
      <c r="AA3982" s="103"/>
      <c r="AB3982" s="1"/>
    </row>
    <row r="3983" spans="15:30">
      <c r="O3983" s="1"/>
      <c r="P3983" s="1"/>
      <c r="Q3983" s="1"/>
      <c r="R3983" s="1"/>
      <c r="Z3983" s="103"/>
      <c r="AA3983" s="103"/>
      <c r="AB3983" s="1"/>
    </row>
    <row r="3984" spans="15:30">
      <c r="O3984" s="1"/>
      <c r="P3984" s="1"/>
      <c r="Q3984" s="1"/>
      <c r="R3984" s="1"/>
      <c r="Z3984" s="103"/>
      <c r="AA3984" s="103"/>
      <c r="AB3984" s="1"/>
    </row>
    <row r="3985" spans="15:28">
      <c r="O3985" s="1"/>
      <c r="P3985" s="1"/>
      <c r="Q3985" s="1"/>
      <c r="R3985" s="1"/>
      <c r="Z3985" s="103"/>
      <c r="AA3985" s="103"/>
      <c r="AB3985" s="1"/>
    </row>
    <row r="3986" spans="15:28">
      <c r="O3986" s="1"/>
      <c r="P3986" s="1"/>
      <c r="Q3986" s="1"/>
      <c r="R3986" s="1"/>
      <c r="Z3986" s="103"/>
      <c r="AA3986" s="103"/>
      <c r="AB3986" s="1"/>
    </row>
    <row r="3987" spans="15:28">
      <c r="O3987" s="1"/>
      <c r="P3987" s="1"/>
      <c r="Q3987" s="1"/>
      <c r="R3987" s="1"/>
      <c r="Z3987" s="103"/>
      <c r="AA3987" s="103"/>
      <c r="AB3987" s="1"/>
    </row>
    <row r="3988" spans="15:28">
      <c r="O3988" s="1"/>
      <c r="P3988" s="1"/>
      <c r="Q3988" s="1"/>
      <c r="R3988" s="1"/>
      <c r="Z3988" s="103"/>
      <c r="AA3988" s="103"/>
      <c r="AB3988" s="1"/>
    </row>
    <row r="3989" spans="15:28">
      <c r="O3989" s="1"/>
      <c r="P3989" s="1"/>
      <c r="Q3989" s="1"/>
      <c r="R3989" s="1"/>
      <c r="Z3989" s="103"/>
      <c r="AA3989" s="103"/>
      <c r="AB3989" s="1"/>
    </row>
    <row r="3990" spans="15:28">
      <c r="O3990" s="1"/>
      <c r="P3990" s="1"/>
      <c r="Q3990" s="1"/>
      <c r="R3990" s="1"/>
      <c r="Z3990" s="103"/>
      <c r="AA3990" s="103"/>
      <c r="AB3990" s="1"/>
    </row>
    <row r="3991" spans="15:28">
      <c r="O3991" s="1"/>
      <c r="P3991" s="1"/>
      <c r="Q3991" s="1"/>
      <c r="R3991" s="1"/>
      <c r="Z3991" s="103"/>
      <c r="AA3991" s="103"/>
      <c r="AB3991" s="1"/>
    </row>
    <row r="3992" spans="15:28">
      <c r="O3992" s="1"/>
      <c r="P3992" s="1"/>
      <c r="Q3992" s="1"/>
      <c r="R3992" s="1"/>
      <c r="Z3992" s="103"/>
      <c r="AA3992" s="103"/>
      <c r="AB3992" s="1"/>
    </row>
    <row r="3993" spans="15:28">
      <c r="O3993" s="1"/>
      <c r="P3993" s="1"/>
      <c r="Q3993" s="1"/>
      <c r="R3993" s="1"/>
      <c r="Z3993" s="103"/>
      <c r="AA3993" s="103"/>
      <c r="AB3993" s="1"/>
    </row>
    <row r="3994" spans="15:28">
      <c r="O3994" s="1"/>
      <c r="P3994" s="1"/>
      <c r="Q3994" s="1"/>
      <c r="R3994" s="1"/>
      <c r="Z3994" s="103"/>
      <c r="AA3994" s="103"/>
      <c r="AB3994" s="1"/>
    </row>
    <row r="3995" spans="15:28">
      <c r="O3995" s="1"/>
      <c r="P3995" s="1"/>
      <c r="Q3995" s="1"/>
      <c r="R3995" s="1"/>
      <c r="Z3995" s="103"/>
      <c r="AA3995" s="103"/>
      <c r="AB3995" s="1"/>
    </row>
    <row r="3996" spans="15:28">
      <c r="O3996" s="1"/>
      <c r="P3996" s="1"/>
      <c r="Q3996" s="1"/>
      <c r="R3996" s="1"/>
      <c r="Z3996" s="103"/>
      <c r="AA3996" s="103"/>
      <c r="AB3996" s="1"/>
    </row>
    <row r="3997" spans="15:28">
      <c r="O3997" s="1"/>
      <c r="P3997" s="1"/>
      <c r="Q3997" s="1"/>
      <c r="R3997" s="1"/>
      <c r="Z3997" s="103"/>
      <c r="AA3997" s="103"/>
      <c r="AB3997" s="1"/>
    </row>
    <row r="3998" spans="15:28">
      <c r="O3998" s="1"/>
      <c r="P3998" s="1"/>
      <c r="Q3998" s="1"/>
      <c r="R3998" s="1"/>
      <c r="Z3998" s="103"/>
      <c r="AA3998" s="103"/>
      <c r="AB3998" s="1"/>
    </row>
    <row r="3999" spans="15:28">
      <c r="O3999" s="1"/>
      <c r="P3999" s="1"/>
      <c r="Q3999" s="1"/>
      <c r="R3999" s="1"/>
      <c r="Z3999" s="103"/>
      <c r="AA3999" s="103"/>
      <c r="AB3999" s="1"/>
    </row>
    <row r="4000" spans="15:28">
      <c r="O4000" s="1"/>
      <c r="P4000" s="1"/>
      <c r="Q4000" s="1"/>
      <c r="R4000" s="1"/>
      <c r="Z4000" s="103"/>
      <c r="AA4000" s="103"/>
      <c r="AB4000" s="1"/>
    </row>
    <row r="4001" spans="15:30">
      <c r="O4001" s="1"/>
      <c r="P4001" s="1"/>
      <c r="Q4001" s="1"/>
      <c r="R4001" s="1"/>
      <c r="Z4001" s="103"/>
      <c r="AA4001" s="103"/>
      <c r="AB4001" s="1"/>
    </row>
    <row r="4002" spans="15:30">
      <c r="O4002" s="1"/>
      <c r="P4002" s="1"/>
      <c r="Q4002" s="1"/>
      <c r="R4002" s="1"/>
      <c r="Z4002" s="103"/>
      <c r="AA4002" s="103"/>
      <c r="AB4002" s="1"/>
    </row>
    <row r="4003" spans="15:30">
      <c r="O4003" s="1"/>
      <c r="P4003" s="1"/>
      <c r="Q4003" s="1"/>
      <c r="R4003" s="1"/>
      <c r="Z4003" s="103"/>
      <c r="AA4003" s="103"/>
      <c r="AB4003" s="1"/>
      <c r="AD4003" s="102"/>
    </row>
    <row r="4004" spans="15:30">
      <c r="O4004" s="1"/>
      <c r="P4004" s="1"/>
      <c r="Q4004" s="1"/>
      <c r="R4004" s="1"/>
      <c r="Z4004" s="103"/>
      <c r="AA4004" s="103"/>
      <c r="AB4004" s="1"/>
      <c r="AD4004" s="102"/>
    </row>
    <row r="4005" spans="15:30">
      <c r="O4005" s="1"/>
      <c r="P4005" s="1"/>
      <c r="Q4005" s="1"/>
      <c r="R4005" s="1"/>
      <c r="Z4005" s="103"/>
      <c r="AA4005" s="103"/>
      <c r="AB4005" s="1"/>
    </row>
    <row r="4006" spans="15:30">
      <c r="O4006" s="1"/>
      <c r="P4006" s="1"/>
      <c r="Q4006" s="1"/>
      <c r="R4006" s="1"/>
      <c r="Z4006" s="103"/>
      <c r="AA4006" s="103"/>
      <c r="AB4006" s="1"/>
    </row>
    <row r="4007" spans="15:30">
      <c r="O4007" s="1"/>
      <c r="P4007" s="1"/>
      <c r="Q4007" s="1"/>
      <c r="R4007" s="1"/>
      <c r="Z4007" s="103"/>
      <c r="AA4007" s="103"/>
      <c r="AB4007" s="1"/>
    </row>
    <row r="4008" spans="15:30">
      <c r="O4008" s="1"/>
      <c r="P4008" s="1"/>
      <c r="Q4008" s="1"/>
      <c r="R4008" s="1"/>
      <c r="Z4008" s="103"/>
      <c r="AA4008" s="103"/>
      <c r="AB4008" s="1"/>
    </row>
    <row r="4009" spans="15:30">
      <c r="O4009" s="1"/>
      <c r="P4009" s="1"/>
      <c r="Q4009" s="1"/>
      <c r="R4009" s="1"/>
      <c r="Z4009" s="103"/>
      <c r="AA4009" s="103"/>
      <c r="AB4009" s="1"/>
    </row>
    <row r="4010" spans="15:30">
      <c r="O4010" s="1"/>
      <c r="P4010" s="1"/>
      <c r="Q4010" s="1"/>
      <c r="R4010" s="1"/>
      <c r="Z4010" s="103"/>
      <c r="AA4010" s="103"/>
      <c r="AB4010" s="1"/>
    </row>
    <row r="4011" spans="15:30">
      <c r="O4011" s="1"/>
      <c r="P4011" s="1"/>
      <c r="Q4011" s="1"/>
      <c r="R4011" s="1"/>
      <c r="Z4011" s="103"/>
      <c r="AA4011" s="103"/>
      <c r="AB4011" s="1"/>
    </row>
    <row r="4012" spans="15:30">
      <c r="O4012" s="1"/>
      <c r="P4012" s="1"/>
      <c r="Q4012" s="1"/>
      <c r="R4012" s="1"/>
      <c r="Z4012" s="103"/>
      <c r="AA4012" s="103"/>
      <c r="AB4012" s="1"/>
    </row>
    <row r="4013" spans="15:30">
      <c r="O4013" s="1"/>
      <c r="P4013" s="1"/>
      <c r="Q4013" s="1"/>
      <c r="R4013" s="1"/>
      <c r="Z4013" s="103"/>
      <c r="AA4013" s="103"/>
      <c r="AB4013" s="1"/>
    </row>
    <row r="4014" spans="15:30">
      <c r="O4014" s="1"/>
      <c r="P4014" s="1"/>
      <c r="Q4014" s="1"/>
      <c r="R4014" s="1"/>
      <c r="Z4014" s="103"/>
      <c r="AA4014" s="103"/>
      <c r="AB4014" s="1"/>
    </row>
    <row r="4015" spans="15:30">
      <c r="O4015" s="1"/>
      <c r="P4015" s="1"/>
      <c r="Q4015" s="1"/>
      <c r="R4015" s="1"/>
      <c r="Z4015" s="103"/>
      <c r="AA4015" s="103"/>
      <c r="AB4015" s="1"/>
    </row>
    <row r="4016" spans="15:30">
      <c r="O4016" s="1"/>
      <c r="P4016" s="1"/>
      <c r="Q4016" s="1"/>
      <c r="R4016" s="1"/>
      <c r="Z4016" s="103"/>
      <c r="AA4016" s="103"/>
      <c r="AB4016" s="1"/>
    </row>
    <row r="4017" spans="15:28">
      <c r="O4017" s="1"/>
      <c r="P4017" s="1"/>
      <c r="Q4017" s="1"/>
      <c r="R4017" s="1"/>
      <c r="Z4017" s="103"/>
      <c r="AA4017" s="103"/>
      <c r="AB4017" s="1"/>
    </row>
    <row r="4018" spans="15:28">
      <c r="O4018" s="1"/>
      <c r="P4018" s="1"/>
      <c r="Q4018" s="1"/>
      <c r="R4018" s="1"/>
      <c r="Z4018" s="103"/>
      <c r="AA4018" s="103"/>
      <c r="AB4018" s="1"/>
    </row>
    <row r="4019" spans="15:28">
      <c r="O4019" s="1"/>
      <c r="P4019" s="1"/>
      <c r="Q4019" s="1"/>
      <c r="R4019" s="1"/>
      <c r="Z4019" s="103"/>
      <c r="AA4019" s="103"/>
      <c r="AB4019" s="1"/>
    </row>
    <row r="4020" spans="15:28">
      <c r="O4020" s="1"/>
      <c r="P4020" s="1"/>
      <c r="Q4020" s="1"/>
      <c r="R4020" s="1"/>
      <c r="Z4020" s="103"/>
      <c r="AA4020" s="103"/>
      <c r="AB4020" s="1"/>
    </row>
    <row r="4021" spans="15:28">
      <c r="O4021" s="1"/>
      <c r="P4021" s="1"/>
      <c r="Q4021" s="1"/>
      <c r="R4021" s="1"/>
      <c r="Z4021" s="103"/>
      <c r="AA4021" s="103"/>
      <c r="AB4021" s="1"/>
    </row>
    <row r="4022" spans="15:28">
      <c r="O4022" s="1"/>
      <c r="P4022" s="1"/>
      <c r="Q4022" s="1"/>
      <c r="R4022" s="1"/>
      <c r="Z4022" s="103"/>
      <c r="AA4022" s="103"/>
      <c r="AB4022" s="1"/>
    </row>
    <row r="4023" spans="15:28">
      <c r="O4023" s="1"/>
      <c r="P4023" s="1"/>
      <c r="Q4023" s="1"/>
      <c r="R4023" s="1"/>
      <c r="Z4023" s="103"/>
      <c r="AA4023" s="103"/>
      <c r="AB4023" s="1"/>
    </row>
    <row r="4024" spans="15:28">
      <c r="O4024" s="1"/>
      <c r="P4024" s="1"/>
      <c r="Q4024" s="1"/>
      <c r="R4024" s="1"/>
      <c r="Z4024" s="103"/>
      <c r="AA4024" s="103"/>
      <c r="AB4024" s="1"/>
    </row>
    <row r="4025" spans="15:28">
      <c r="O4025" s="1"/>
      <c r="P4025" s="1"/>
      <c r="Q4025" s="1"/>
      <c r="R4025" s="1"/>
      <c r="Z4025" s="103"/>
      <c r="AA4025" s="103"/>
      <c r="AB4025" s="1"/>
    </row>
    <row r="4026" spans="15:28">
      <c r="O4026" s="1"/>
      <c r="P4026" s="1"/>
      <c r="Q4026" s="1"/>
      <c r="R4026" s="1"/>
      <c r="Z4026" s="103"/>
      <c r="AA4026" s="103"/>
      <c r="AB4026" s="1"/>
    </row>
    <row r="4027" spans="15:28">
      <c r="O4027" s="1"/>
      <c r="P4027" s="1"/>
      <c r="Q4027" s="1"/>
      <c r="R4027" s="1"/>
      <c r="Z4027" s="103"/>
      <c r="AA4027" s="103"/>
      <c r="AB4027" s="1"/>
    </row>
    <row r="4028" spans="15:28">
      <c r="O4028" s="1"/>
      <c r="P4028" s="1"/>
      <c r="Q4028" s="1"/>
      <c r="R4028" s="1"/>
      <c r="Z4028" s="103"/>
      <c r="AA4028" s="103"/>
      <c r="AB4028" s="1"/>
    </row>
    <row r="4029" spans="15:28">
      <c r="O4029" s="1"/>
      <c r="P4029" s="1"/>
      <c r="Q4029" s="1"/>
      <c r="R4029" s="1"/>
      <c r="Z4029" s="103"/>
      <c r="AA4029" s="103"/>
      <c r="AB4029" s="1"/>
    </row>
    <row r="4030" spans="15:28">
      <c r="O4030" s="1"/>
      <c r="P4030" s="1"/>
      <c r="Q4030" s="1"/>
      <c r="R4030" s="1"/>
      <c r="Z4030" s="103"/>
      <c r="AA4030" s="103"/>
      <c r="AB4030" s="1"/>
    </row>
    <row r="4031" spans="15:28">
      <c r="O4031" s="1"/>
      <c r="P4031" s="1"/>
      <c r="Q4031" s="1"/>
      <c r="R4031" s="1"/>
      <c r="Z4031" s="103"/>
      <c r="AA4031" s="103"/>
      <c r="AB4031" s="1"/>
    </row>
    <row r="4032" spans="15:28">
      <c r="O4032" s="1"/>
      <c r="P4032" s="1"/>
      <c r="Q4032" s="1"/>
      <c r="R4032" s="1"/>
      <c r="Z4032" s="103"/>
      <c r="AA4032" s="103"/>
      <c r="AB4032" s="1"/>
    </row>
    <row r="4033" spans="15:30">
      <c r="O4033" s="1"/>
      <c r="P4033" s="1"/>
      <c r="Q4033" s="1"/>
      <c r="R4033" s="1"/>
      <c r="Z4033" s="103"/>
      <c r="AA4033" s="103"/>
      <c r="AB4033" s="1"/>
    </row>
    <row r="4034" spans="15:30">
      <c r="O4034" s="1"/>
      <c r="P4034" s="1"/>
      <c r="Q4034" s="1"/>
      <c r="R4034" s="1"/>
      <c r="Z4034" s="103"/>
      <c r="AA4034" s="103"/>
      <c r="AB4034" s="1"/>
    </row>
    <row r="4035" spans="15:30">
      <c r="O4035" s="1"/>
      <c r="P4035" s="1"/>
      <c r="Q4035" s="1"/>
      <c r="R4035" s="1"/>
      <c r="Z4035" s="103"/>
      <c r="AA4035" s="103"/>
      <c r="AB4035" s="1"/>
    </row>
    <row r="4036" spans="15:30">
      <c r="O4036" s="1"/>
      <c r="P4036" s="1"/>
      <c r="Q4036" s="1"/>
      <c r="R4036" s="1"/>
      <c r="Z4036" s="103"/>
      <c r="AA4036" s="103"/>
      <c r="AB4036" s="1"/>
    </row>
    <row r="4037" spans="15:30">
      <c r="O4037" s="1"/>
      <c r="P4037" s="1"/>
      <c r="Q4037" s="1"/>
      <c r="R4037" s="1"/>
      <c r="Z4037" s="103"/>
      <c r="AA4037" s="103"/>
      <c r="AB4037" s="1"/>
    </row>
    <row r="4038" spans="15:30">
      <c r="O4038" s="1"/>
      <c r="P4038" s="1"/>
      <c r="Q4038" s="1"/>
      <c r="R4038" s="1"/>
      <c r="Z4038" s="103"/>
      <c r="AA4038" s="103"/>
      <c r="AB4038" s="1"/>
    </row>
    <row r="4039" spans="15:30">
      <c r="O4039" s="1"/>
      <c r="P4039" s="1"/>
      <c r="Q4039" s="1"/>
      <c r="R4039" s="1"/>
      <c r="Z4039" s="103"/>
      <c r="AA4039" s="103"/>
      <c r="AB4039" s="1"/>
    </row>
    <row r="4040" spans="15:30">
      <c r="O4040" s="1"/>
      <c r="P4040" s="1"/>
      <c r="Q4040" s="1"/>
      <c r="R4040" s="1"/>
      <c r="Z4040" s="103"/>
      <c r="AA4040" s="103"/>
      <c r="AB4040" s="1"/>
    </row>
    <row r="4041" spans="15:30">
      <c r="O4041" s="1"/>
      <c r="P4041" s="1"/>
      <c r="Q4041" s="1"/>
      <c r="R4041" s="1"/>
      <c r="Z4041" s="103"/>
      <c r="AA4041" s="103"/>
      <c r="AB4041" s="1"/>
    </row>
    <row r="4042" spans="15:30">
      <c r="O4042" s="1"/>
      <c r="P4042" s="1"/>
      <c r="Q4042" s="1"/>
      <c r="R4042" s="1"/>
      <c r="Z4042" s="103"/>
      <c r="AA4042" s="103"/>
      <c r="AB4042" s="1"/>
      <c r="AD4042" s="102"/>
    </row>
    <row r="4043" spans="15:30">
      <c r="O4043" s="1"/>
      <c r="P4043" s="1"/>
      <c r="Q4043" s="1"/>
      <c r="R4043" s="1"/>
      <c r="Z4043" s="103"/>
      <c r="AA4043" s="103"/>
      <c r="AB4043" s="1"/>
    </row>
    <row r="4044" spans="15:30">
      <c r="O4044" s="1"/>
      <c r="P4044" s="1"/>
      <c r="Q4044" s="1"/>
      <c r="R4044" s="1"/>
      <c r="Z4044" s="103"/>
      <c r="AA4044" s="103"/>
      <c r="AB4044" s="1"/>
    </row>
    <row r="4045" spans="15:30">
      <c r="O4045" s="1"/>
      <c r="P4045" s="1"/>
      <c r="Q4045" s="1"/>
      <c r="R4045" s="1"/>
      <c r="Z4045" s="103"/>
      <c r="AA4045" s="103"/>
      <c r="AB4045" s="1"/>
    </row>
    <row r="4046" spans="15:30">
      <c r="O4046" s="1"/>
      <c r="P4046" s="1"/>
      <c r="Q4046" s="1"/>
      <c r="R4046" s="1"/>
      <c r="Z4046" s="103"/>
      <c r="AA4046" s="103"/>
      <c r="AB4046" s="1"/>
    </row>
    <row r="4047" spans="15:30">
      <c r="O4047" s="1"/>
      <c r="P4047" s="1"/>
      <c r="Q4047" s="1"/>
      <c r="R4047" s="1"/>
      <c r="Z4047" s="103"/>
      <c r="AA4047" s="103"/>
      <c r="AB4047" s="1"/>
    </row>
    <row r="4048" spans="15:30">
      <c r="O4048" s="1"/>
      <c r="P4048" s="1"/>
      <c r="Q4048" s="1"/>
      <c r="R4048" s="1"/>
      <c r="Z4048" s="103"/>
      <c r="AA4048" s="103"/>
      <c r="AB4048" s="1"/>
    </row>
    <row r="4049" spans="15:30">
      <c r="O4049" s="1"/>
      <c r="P4049" s="1"/>
      <c r="Q4049" s="1"/>
      <c r="R4049" s="1"/>
      <c r="Z4049" s="103"/>
      <c r="AA4049" s="103"/>
      <c r="AB4049" s="1"/>
    </row>
    <row r="4050" spans="15:30">
      <c r="O4050" s="1"/>
      <c r="P4050" s="1"/>
      <c r="Q4050" s="1"/>
      <c r="R4050" s="1"/>
      <c r="Z4050" s="103"/>
      <c r="AA4050" s="103"/>
      <c r="AB4050" s="1"/>
    </row>
    <row r="4051" spans="15:30">
      <c r="O4051" s="1"/>
      <c r="P4051" s="1"/>
      <c r="Q4051" s="1"/>
      <c r="R4051" s="1"/>
      <c r="Z4051" s="103"/>
      <c r="AA4051" s="103"/>
      <c r="AB4051" s="1"/>
    </row>
    <row r="4052" spans="15:30">
      <c r="O4052" s="1"/>
      <c r="P4052" s="1"/>
      <c r="Q4052" s="1"/>
      <c r="R4052" s="1"/>
      <c r="Z4052" s="103"/>
      <c r="AA4052" s="103"/>
      <c r="AB4052" s="1"/>
    </row>
    <row r="4053" spans="15:30">
      <c r="O4053" s="1"/>
      <c r="P4053" s="1"/>
      <c r="Q4053" s="1"/>
      <c r="R4053" s="1"/>
      <c r="Z4053" s="103"/>
      <c r="AA4053" s="103"/>
      <c r="AB4053" s="1"/>
    </row>
    <row r="4054" spans="15:30">
      <c r="O4054" s="1"/>
      <c r="P4054" s="1"/>
      <c r="Q4054" s="1"/>
      <c r="R4054" s="1"/>
      <c r="Z4054" s="103"/>
      <c r="AA4054" s="103"/>
      <c r="AB4054" s="1"/>
    </row>
    <row r="4055" spans="15:30">
      <c r="O4055" s="1"/>
      <c r="P4055" s="1"/>
      <c r="Q4055" s="1"/>
      <c r="R4055" s="1"/>
      <c r="Z4055" s="103"/>
      <c r="AA4055" s="103"/>
      <c r="AB4055" s="1"/>
    </row>
    <row r="4056" spans="15:30">
      <c r="O4056" s="1"/>
      <c r="P4056" s="1"/>
      <c r="Q4056" s="1"/>
      <c r="R4056" s="1"/>
      <c r="Z4056" s="103"/>
      <c r="AA4056" s="103"/>
      <c r="AB4056" s="1"/>
      <c r="AD4056" s="102"/>
    </row>
    <row r="4057" spans="15:30">
      <c r="O4057" s="1"/>
      <c r="P4057" s="1"/>
      <c r="Q4057" s="1"/>
      <c r="R4057" s="1"/>
      <c r="Z4057" s="103"/>
      <c r="AA4057" s="103"/>
      <c r="AB4057" s="1"/>
    </row>
    <row r="4058" spans="15:30">
      <c r="O4058" s="1"/>
      <c r="P4058" s="1"/>
      <c r="Q4058" s="1"/>
      <c r="R4058" s="1"/>
      <c r="Z4058" s="103"/>
      <c r="AA4058" s="103"/>
      <c r="AB4058" s="1"/>
    </row>
    <row r="4059" spans="15:30">
      <c r="O4059" s="1"/>
      <c r="P4059" s="1"/>
      <c r="Q4059" s="1"/>
      <c r="R4059" s="1"/>
      <c r="Z4059" s="103"/>
      <c r="AA4059" s="103"/>
      <c r="AB4059" s="1"/>
    </row>
    <row r="4060" spans="15:30">
      <c r="O4060" s="1"/>
      <c r="P4060" s="1"/>
      <c r="Q4060" s="1"/>
      <c r="R4060" s="1"/>
      <c r="Z4060" s="103"/>
      <c r="AA4060" s="103"/>
      <c r="AB4060" s="1"/>
    </row>
    <row r="4061" spans="15:30">
      <c r="O4061" s="1"/>
      <c r="P4061" s="1"/>
      <c r="Q4061" s="1"/>
      <c r="R4061" s="1"/>
      <c r="Z4061" s="103"/>
      <c r="AA4061" s="103"/>
      <c r="AB4061" s="1"/>
    </row>
    <row r="4062" spans="15:30">
      <c r="O4062" s="1"/>
      <c r="P4062" s="1"/>
      <c r="Q4062" s="1"/>
      <c r="R4062" s="1"/>
      <c r="Z4062" s="103"/>
      <c r="AA4062" s="103"/>
      <c r="AB4062" s="1"/>
    </row>
    <row r="4063" spans="15:30">
      <c r="O4063" s="1"/>
      <c r="P4063" s="1"/>
      <c r="Q4063" s="1"/>
      <c r="R4063" s="1"/>
      <c r="Z4063" s="103"/>
      <c r="AA4063" s="103"/>
      <c r="AB4063" s="1"/>
    </row>
    <row r="4064" spans="15:30">
      <c r="O4064" s="1"/>
      <c r="P4064" s="1"/>
      <c r="Q4064" s="1"/>
      <c r="R4064" s="1"/>
      <c r="Z4064" s="103"/>
      <c r="AA4064" s="103"/>
      <c r="AB4064" s="1"/>
    </row>
    <row r="4065" spans="15:30">
      <c r="O4065" s="1"/>
      <c r="P4065" s="1"/>
      <c r="Q4065" s="1"/>
      <c r="R4065" s="1"/>
      <c r="Z4065" s="103"/>
      <c r="AA4065" s="103"/>
      <c r="AB4065" s="1"/>
    </row>
    <row r="4066" spans="15:30">
      <c r="O4066" s="1"/>
      <c r="P4066" s="1"/>
      <c r="Q4066" s="1"/>
      <c r="R4066" s="1"/>
      <c r="Z4066" s="103"/>
      <c r="AA4066" s="103"/>
      <c r="AB4066" s="1"/>
    </row>
    <row r="4067" spans="15:30">
      <c r="O4067" s="1"/>
      <c r="P4067" s="1"/>
      <c r="Q4067" s="1"/>
      <c r="R4067" s="1"/>
      <c r="Z4067" s="103"/>
      <c r="AA4067" s="103"/>
      <c r="AB4067" s="1"/>
      <c r="AD4067" s="102"/>
    </row>
    <row r="4068" spans="15:30">
      <c r="O4068" s="1"/>
      <c r="P4068" s="1"/>
      <c r="Q4068" s="1"/>
      <c r="R4068" s="1"/>
      <c r="Z4068" s="103"/>
      <c r="AA4068" s="103"/>
      <c r="AB4068" s="1"/>
    </row>
    <row r="4069" spans="15:30">
      <c r="O4069" s="1"/>
      <c r="P4069" s="1"/>
      <c r="Q4069" s="1"/>
      <c r="R4069" s="1"/>
      <c r="Z4069" s="103"/>
      <c r="AA4069" s="103"/>
      <c r="AB4069" s="1"/>
    </row>
    <row r="4070" spans="15:30">
      <c r="O4070" s="1"/>
      <c r="P4070" s="1"/>
      <c r="Q4070" s="1"/>
      <c r="R4070" s="1"/>
      <c r="Z4070" s="103"/>
      <c r="AA4070" s="103"/>
      <c r="AB4070" s="1"/>
    </row>
    <row r="4071" spans="15:30">
      <c r="O4071" s="1"/>
      <c r="P4071" s="1"/>
      <c r="Q4071" s="1"/>
      <c r="R4071" s="1"/>
      <c r="Z4071" s="103"/>
      <c r="AA4071" s="103"/>
      <c r="AB4071" s="1"/>
    </row>
    <row r="4072" spans="15:30">
      <c r="O4072" s="1"/>
      <c r="P4072" s="1"/>
      <c r="Q4072" s="1"/>
      <c r="R4072" s="1"/>
      <c r="Z4072" s="103"/>
      <c r="AA4072" s="103"/>
      <c r="AB4072" s="1"/>
    </row>
    <row r="4073" spans="15:30">
      <c r="O4073" s="1"/>
      <c r="P4073" s="1"/>
      <c r="Q4073" s="1"/>
      <c r="R4073" s="1"/>
      <c r="Z4073" s="103"/>
      <c r="AA4073" s="103"/>
      <c r="AB4073" s="1"/>
    </row>
    <row r="4074" spans="15:30">
      <c r="O4074" s="1"/>
      <c r="P4074" s="1"/>
      <c r="Q4074" s="1"/>
      <c r="R4074" s="1"/>
      <c r="Z4074" s="103"/>
      <c r="AA4074" s="103"/>
      <c r="AB4074" s="1"/>
    </row>
    <row r="4075" spans="15:30">
      <c r="O4075" s="1"/>
      <c r="P4075" s="1"/>
      <c r="Q4075" s="1"/>
      <c r="R4075" s="1"/>
      <c r="Z4075" s="103"/>
      <c r="AA4075" s="103"/>
      <c r="AB4075" s="1"/>
    </row>
    <row r="4076" spans="15:30">
      <c r="O4076" s="1"/>
      <c r="P4076" s="1"/>
      <c r="Q4076" s="1"/>
      <c r="R4076" s="1"/>
      <c r="Z4076" s="103"/>
      <c r="AA4076" s="103"/>
      <c r="AB4076" s="1"/>
    </row>
    <row r="4077" spans="15:30">
      <c r="O4077" s="1"/>
      <c r="P4077" s="1"/>
      <c r="Q4077" s="1"/>
      <c r="R4077" s="1"/>
      <c r="Z4077" s="103"/>
      <c r="AA4077" s="103"/>
      <c r="AB4077" s="1"/>
    </row>
    <row r="4078" spans="15:30">
      <c r="O4078" s="1"/>
      <c r="P4078" s="1"/>
      <c r="Q4078" s="1"/>
      <c r="R4078" s="1"/>
      <c r="Z4078" s="103"/>
      <c r="AA4078" s="103"/>
      <c r="AB4078" s="1"/>
    </row>
    <row r="4079" spans="15:30">
      <c r="O4079" s="1"/>
      <c r="P4079" s="1"/>
      <c r="Q4079" s="1"/>
      <c r="R4079" s="1"/>
      <c r="Z4079" s="103"/>
      <c r="AA4079" s="103"/>
      <c r="AB4079" s="1"/>
    </row>
    <row r="4080" spans="15:30">
      <c r="O4080" s="1"/>
      <c r="P4080" s="1"/>
      <c r="Q4080" s="1"/>
      <c r="R4080" s="1"/>
      <c r="Z4080" s="103"/>
      <c r="AA4080" s="103"/>
      <c r="AB4080" s="1"/>
    </row>
    <row r="4081" spans="15:28">
      <c r="O4081" s="1"/>
      <c r="P4081" s="1"/>
      <c r="Q4081" s="1"/>
      <c r="R4081" s="1"/>
      <c r="Z4081" s="103"/>
      <c r="AA4081" s="103"/>
      <c r="AB4081" s="1"/>
    </row>
    <row r="4082" spans="15:28">
      <c r="O4082" s="1"/>
      <c r="P4082" s="1"/>
      <c r="Q4082" s="1"/>
      <c r="R4082" s="1"/>
      <c r="Z4082" s="103"/>
      <c r="AA4082" s="103"/>
      <c r="AB4082" s="1"/>
    </row>
    <row r="4083" spans="15:28">
      <c r="O4083" s="1"/>
      <c r="P4083" s="1"/>
      <c r="Q4083" s="1"/>
      <c r="R4083" s="1"/>
      <c r="Z4083" s="103"/>
      <c r="AA4083" s="103"/>
      <c r="AB4083" s="1"/>
    </row>
    <row r="4084" spans="15:28">
      <c r="O4084" s="1"/>
      <c r="P4084" s="1"/>
      <c r="Q4084" s="1"/>
      <c r="R4084" s="1"/>
      <c r="Z4084" s="103"/>
      <c r="AA4084" s="103"/>
      <c r="AB4084" s="1"/>
    </row>
    <row r="4085" spans="15:28">
      <c r="O4085" s="1"/>
      <c r="P4085" s="1"/>
      <c r="Q4085" s="1"/>
      <c r="R4085" s="1"/>
      <c r="Z4085" s="103"/>
      <c r="AA4085" s="103"/>
      <c r="AB4085" s="1"/>
    </row>
    <row r="4086" spans="15:28">
      <c r="O4086" s="1"/>
      <c r="P4086" s="1"/>
      <c r="Q4086" s="1"/>
      <c r="R4086" s="1"/>
      <c r="Z4086" s="103"/>
      <c r="AA4086" s="103"/>
      <c r="AB4086" s="1"/>
    </row>
    <row r="4087" spans="15:28">
      <c r="O4087" s="1"/>
      <c r="P4087" s="1"/>
      <c r="Q4087" s="1"/>
      <c r="R4087" s="1"/>
      <c r="Z4087" s="103"/>
      <c r="AA4087" s="103"/>
      <c r="AB4087" s="1"/>
    </row>
    <row r="4088" spans="15:28">
      <c r="O4088" s="1"/>
      <c r="P4088" s="1"/>
      <c r="Q4088" s="1"/>
      <c r="R4088" s="1"/>
      <c r="Z4088" s="103"/>
      <c r="AA4088" s="103"/>
      <c r="AB4088" s="1"/>
    </row>
    <row r="4089" spans="15:28">
      <c r="O4089" s="1"/>
      <c r="P4089" s="1"/>
      <c r="Q4089" s="1"/>
      <c r="R4089" s="1"/>
      <c r="Z4089" s="103"/>
      <c r="AA4089" s="103"/>
      <c r="AB4089" s="1"/>
    </row>
    <row r="4090" spans="15:28">
      <c r="O4090" s="1"/>
      <c r="P4090" s="1"/>
      <c r="Q4090" s="1"/>
      <c r="R4090" s="1"/>
      <c r="Z4090" s="103"/>
      <c r="AA4090" s="103"/>
      <c r="AB4090" s="1"/>
    </row>
    <row r="4091" spans="15:28">
      <c r="O4091" s="1"/>
      <c r="P4091" s="1"/>
      <c r="Q4091" s="1"/>
      <c r="R4091" s="1"/>
      <c r="Z4091" s="103"/>
      <c r="AA4091" s="103"/>
      <c r="AB4091" s="1"/>
    </row>
    <row r="4092" spans="15:28">
      <c r="O4092" s="1"/>
      <c r="P4092" s="1"/>
      <c r="Q4092" s="1"/>
      <c r="R4092" s="1"/>
      <c r="Z4092" s="103"/>
      <c r="AA4092" s="103"/>
      <c r="AB4092" s="1"/>
    </row>
    <row r="4093" spans="15:28">
      <c r="O4093" s="1"/>
      <c r="P4093" s="1"/>
      <c r="Q4093" s="1"/>
      <c r="R4093" s="1"/>
      <c r="Z4093" s="103"/>
      <c r="AA4093" s="103"/>
      <c r="AB4093" s="1"/>
    </row>
    <row r="4094" spans="15:28">
      <c r="O4094" s="1"/>
      <c r="P4094" s="1"/>
      <c r="Q4094" s="1"/>
      <c r="R4094" s="1"/>
      <c r="Z4094" s="103"/>
      <c r="AA4094" s="103"/>
      <c r="AB4094" s="1"/>
    </row>
    <row r="4095" spans="15:28">
      <c r="O4095" s="1"/>
      <c r="P4095" s="1"/>
      <c r="Q4095" s="1"/>
      <c r="R4095" s="1"/>
      <c r="Z4095" s="103"/>
      <c r="AA4095" s="103"/>
      <c r="AB4095" s="1"/>
    </row>
    <row r="4096" spans="15:28">
      <c r="O4096" s="1"/>
      <c r="P4096" s="1"/>
      <c r="Q4096" s="1"/>
      <c r="R4096" s="1"/>
      <c r="Z4096" s="103"/>
      <c r="AA4096" s="103"/>
      <c r="AB4096" s="1"/>
    </row>
    <row r="4097" spans="15:30">
      <c r="O4097" s="1"/>
      <c r="P4097" s="1"/>
      <c r="Q4097" s="1"/>
      <c r="R4097" s="1"/>
      <c r="Z4097" s="103"/>
      <c r="AA4097" s="103"/>
      <c r="AB4097" s="1"/>
    </row>
    <row r="4098" spans="15:30">
      <c r="O4098" s="1"/>
      <c r="P4098" s="1"/>
      <c r="Q4098" s="1"/>
      <c r="R4098" s="1"/>
      <c r="Z4098" s="103"/>
      <c r="AA4098" s="103"/>
      <c r="AB4098" s="1"/>
    </row>
    <row r="4099" spans="15:30">
      <c r="O4099" s="1"/>
      <c r="P4099" s="1"/>
      <c r="Q4099" s="1"/>
      <c r="R4099" s="1"/>
      <c r="Z4099" s="103"/>
      <c r="AA4099" s="103"/>
      <c r="AB4099" s="1"/>
    </row>
    <row r="4100" spans="15:30">
      <c r="O4100" s="1"/>
      <c r="P4100" s="1"/>
      <c r="Q4100" s="1"/>
      <c r="R4100" s="1"/>
      <c r="Z4100" s="103"/>
      <c r="AA4100" s="103"/>
      <c r="AB4100" s="1"/>
    </row>
    <row r="4101" spans="15:30">
      <c r="O4101" s="1"/>
      <c r="P4101" s="1"/>
      <c r="Q4101" s="1"/>
      <c r="R4101" s="1"/>
      <c r="Z4101" s="103"/>
      <c r="AA4101" s="103"/>
      <c r="AB4101" s="1"/>
    </row>
    <row r="4102" spans="15:30">
      <c r="O4102" s="1"/>
      <c r="P4102" s="1"/>
      <c r="Q4102" s="1"/>
      <c r="R4102" s="1"/>
      <c r="Z4102" s="103"/>
      <c r="AA4102" s="103"/>
      <c r="AB4102" s="1"/>
      <c r="AD4102" s="102"/>
    </row>
    <row r="4103" spans="15:30">
      <c r="O4103" s="1"/>
      <c r="P4103" s="1"/>
      <c r="Q4103" s="1"/>
      <c r="R4103" s="1"/>
      <c r="Z4103" s="103"/>
      <c r="AA4103" s="103"/>
      <c r="AB4103" s="1"/>
    </row>
    <row r="4104" spans="15:30">
      <c r="O4104" s="1"/>
      <c r="P4104" s="1"/>
      <c r="Q4104" s="1"/>
      <c r="R4104" s="1"/>
      <c r="Z4104" s="103"/>
      <c r="AA4104" s="103"/>
      <c r="AB4104" s="1"/>
    </row>
    <row r="4105" spans="15:30">
      <c r="O4105" s="1"/>
      <c r="P4105" s="1"/>
      <c r="Q4105" s="1"/>
      <c r="R4105" s="1"/>
      <c r="Z4105" s="103"/>
      <c r="AA4105" s="103"/>
      <c r="AB4105" s="1"/>
    </row>
    <row r="4106" spans="15:30">
      <c r="O4106" s="1"/>
      <c r="P4106" s="1"/>
      <c r="Q4106" s="1"/>
      <c r="R4106" s="1"/>
      <c r="Z4106" s="103"/>
      <c r="AA4106" s="103"/>
      <c r="AB4106" s="1"/>
    </row>
    <row r="4107" spans="15:30">
      <c r="O4107" s="1"/>
      <c r="P4107" s="1"/>
      <c r="Q4107" s="1"/>
      <c r="R4107" s="1"/>
      <c r="Z4107" s="103"/>
      <c r="AA4107" s="103"/>
      <c r="AB4107" s="1"/>
    </row>
    <row r="4108" spans="15:30">
      <c r="O4108" s="1"/>
      <c r="P4108" s="1"/>
      <c r="Q4108" s="1"/>
      <c r="R4108" s="1"/>
      <c r="Z4108" s="103"/>
      <c r="AA4108" s="103"/>
      <c r="AB4108" s="1"/>
    </row>
    <row r="4109" spans="15:30">
      <c r="O4109" s="1"/>
      <c r="P4109" s="1"/>
      <c r="Q4109" s="1"/>
      <c r="R4109" s="1"/>
      <c r="Z4109" s="103"/>
      <c r="AA4109" s="103"/>
      <c r="AB4109" s="1"/>
    </row>
    <row r="4110" spans="15:30">
      <c r="O4110" s="1"/>
      <c r="P4110" s="1"/>
      <c r="Q4110" s="1"/>
      <c r="R4110" s="1"/>
      <c r="Z4110" s="103"/>
      <c r="AA4110" s="103"/>
      <c r="AB4110" s="1"/>
    </row>
    <row r="4111" spans="15:30">
      <c r="O4111" s="1"/>
      <c r="P4111" s="1"/>
      <c r="Q4111" s="1"/>
      <c r="R4111" s="1"/>
      <c r="Z4111" s="103"/>
      <c r="AA4111" s="103"/>
      <c r="AB4111" s="1"/>
    </row>
    <row r="4112" spans="15:30">
      <c r="O4112" s="1"/>
      <c r="P4112" s="1"/>
      <c r="Q4112" s="1"/>
      <c r="R4112" s="1"/>
      <c r="Z4112" s="103"/>
      <c r="AA4112" s="103"/>
      <c r="AB4112" s="1"/>
    </row>
    <row r="4113" spans="15:28">
      <c r="O4113" s="1"/>
      <c r="P4113" s="1"/>
      <c r="Q4113" s="1"/>
      <c r="R4113" s="1"/>
      <c r="Z4113" s="103"/>
      <c r="AA4113" s="103"/>
      <c r="AB4113" s="1"/>
    </row>
    <row r="4114" spans="15:28">
      <c r="O4114" s="1"/>
      <c r="P4114" s="1"/>
      <c r="Q4114" s="1"/>
      <c r="R4114" s="1"/>
      <c r="Z4114" s="103"/>
      <c r="AA4114" s="103"/>
      <c r="AB4114" s="1"/>
    </row>
    <row r="4115" spans="15:28">
      <c r="O4115" s="1"/>
      <c r="P4115" s="1"/>
      <c r="Q4115" s="1"/>
      <c r="R4115" s="1"/>
      <c r="Z4115" s="103"/>
      <c r="AA4115" s="103"/>
      <c r="AB4115" s="1"/>
    </row>
    <row r="4116" spans="15:28">
      <c r="O4116" s="1"/>
      <c r="P4116" s="1"/>
      <c r="Q4116" s="1"/>
      <c r="R4116" s="1"/>
      <c r="Z4116" s="103"/>
      <c r="AA4116" s="103"/>
      <c r="AB4116" s="1"/>
    </row>
    <row r="4117" spans="15:28">
      <c r="O4117" s="1"/>
      <c r="P4117" s="1"/>
      <c r="Q4117" s="1"/>
      <c r="R4117" s="1"/>
      <c r="Z4117" s="103"/>
      <c r="AA4117" s="103"/>
      <c r="AB4117" s="1"/>
    </row>
    <row r="4118" spans="15:28">
      <c r="O4118" s="1"/>
      <c r="P4118" s="1"/>
      <c r="Q4118" s="1"/>
      <c r="R4118" s="1"/>
      <c r="Z4118" s="103"/>
      <c r="AA4118" s="103"/>
      <c r="AB4118" s="1"/>
    </row>
    <row r="4119" spans="15:28">
      <c r="O4119" s="1"/>
      <c r="P4119" s="1"/>
      <c r="Q4119" s="1"/>
      <c r="R4119" s="1"/>
      <c r="Z4119" s="103"/>
      <c r="AA4119" s="103"/>
      <c r="AB4119" s="1"/>
    </row>
    <row r="4120" spans="15:28">
      <c r="O4120" s="1"/>
      <c r="P4120" s="1"/>
      <c r="Q4120" s="1"/>
      <c r="R4120" s="1"/>
      <c r="Z4120" s="103"/>
      <c r="AA4120" s="103"/>
      <c r="AB4120" s="1"/>
    </row>
    <row r="4121" spans="15:28">
      <c r="O4121" s="1"/>
      <c r="P4121" s="1"/>
      <c r="Q4121" s="1"/>
      <c r="R4121" s="1"/>
      <c r="Z4121" s="103"/>
      <c r="AA4121" s="103"/>
      <c r="AB4121" s="1"/>
    </row>
    <row r="4122" spans="15:28">
      <c r="O4122" s="1"/>
      <c r="P4122" s="1"/>
      <c r="Q4122" s="1"/>
      <c r="R4122" s="1"/>
      <c r="Z4122" s="103"/>
      <c r="AA4122" s="103"/>
      <c r="AB4122" s="1"/>
    </row>
    <row r="4123" spans="15:28">
      <c r="O4123" s="1"/>
      <c r="P4123" s="1"/>
      <c r="Q4123" s="1"/>
      <c r="R4123" s="1"/>
      <c r="Z4123" s="103"/>
      <c r="AA4123" s="103"/>
      <c r="AB4123" s="1"/>
    </row>
    <row r="4124" spans="15:28">
      <c r="O4124" s="1"/>
      <c r="P4124" s="1"/>
      <c r="Q4124" s="1"/>
      <c r="R4124" s="1"/>
      <c r="Z4124" s="103"/>
      <c r="AA4124" s="103"/>
      <c r="AB4124" s="1"/>
    </row>
    <row r="4125" spans="15:28">
      <c r="O4125" s="1"/>
      <c r="P4125" s="1"/>
      <c r="Q4125" s="1"/>
      <c r="R4125" s="1"/>
      <c r="Z4125" s="103"/>
      <c r="AA4125" s="103"/>
      <c r="AB4125" s="1"/>
    </row>
    <row r="4126" spans="15:28">
      <c r="O4126" s="1"/>
      <c r="P4126" s="1"/>
      <c r="Q4126" s="1"/>
      <c r="R4126" s="1"/>
      <c r="Z4126" s="103"/>
      <c r="AA4126" s="103"/>
      <c r="AB4126" s="1"/>
    </row>
    <row r="4127" spans="15:28">
      <c r="O4127" s="1"/>
      <c r="P4127" s="1"/>
      <c r="Q4127" s="1"/>
      <c r="R4127" s="1"/>
      <c r="Z4127" s="103"/>
      <c r="AA4127" s="103"/>
      <c r="AB4127" s="1"/>
    </row>
    <row r="4128" spans="15:28">
      <c r="O4128" s="1"/>
      <c r="P4128" s="1"/>
      <c r="Q4128" s="1"/>
      <c r="R4128" s="1"/>
      <c r="Z4128" s="103"/>
      <c r="AA4128" s="103"/>
      <c r="AB4128" s="1"/>
    </row>
    <row r="4129" spans="15:28">
      <c r="O4129" s="1"/>
      <c r="P4129" s="1"/>
      <c r="Q4129" s="1"/>
      <c r="R4129" s="1"/>
      <c r="Z4129" s="103"/>
      <c r="AA4129" s="103"/>
      <c r="AB4129" s="1"/>
    </row>
    <row r="4130" spans="15:28">
      <c r="O4130" s="1"/>
      <c r="P4130" s="1"/>
      <c r="Q4130" s="1"/>
      <c r="R4130" s="1"/>
      <c r="Z4130" s="103"/>
      <c r="AA4130" s="103"/>
      <c r="AB4130" s="1"/>
    </row>
    <row r="4131" spans="15:28">
      <c r="O4131" s="1"/>
      <c r="P4131" s="1"/>
      <c r="Q4131" s="1"/>
      <c r="R4131" s="1"/>
      <c r="Z4131" s="103"/>
      <c r="AA4131" s="103"/>
      <c r="AB4131" s="1"/>
    </row>
    <row r="4132" spans="15:28">
      <c r="O4132" s="1"/>
      <c r="P4132" s="1"/>
      <c r="Q4132" s="1"/>
      <c r="R4132" s="1"/>
      <c r="Z4132" s="103"/>
      <c r="AA4132" s="103"/>
      <c r="AB4132" s="1"/>
    </row>
    <row r="4133" spans="15:28">
      <c r="O4133" s="1"/>
      <c r="P4133" s="1"/>
      <c r="Q4133" s="1"/>
      <c r="R4133" s="1"/>
      <c r="Z4133" s="103"/>
      <c r="AA4133" s="103"/>
      <c r="AB4133" s="1"/>
    </row>
    <row r="4134" spans="15:28">
      <c r="O4134" s="1"/>
      <c r="P4134" s="1"/>
      <c r="Q4134" s="1"/>
      <c r="R4134" s="1"/>
      <c r="Z4134" s="103"/>
      <c r="AA4134" s="103"/>
      <c r="AB4134" s="1"/>
    </row>
    <row r="4135" spans="15:28">
      <c r="O4135" s="1"/>
      <c r="P4135" s="1"/>
      <c r="Q4135" s="1"/>
      <c r="R4135" s="1"/>
      <c r="Z4135" s="103"/>
      <c r="AA4135" s="103"/>
      <c r="AB4135" s="1"/>
    </row>
    <row r="4136" spans="15:28">
      <c r="O4136" s="1"/>
      <c r="P4136" s="1"/>
      <c r="Q4136" s="1"/>
      <c r="R4136" s="1"/>
      <c r="Z4136" s="103"/>
      <c r="AA4136" s="103"/>
      <c r="AB4136" s="1"/>
    </row>
    <row r="4137" spans="15:28">
      <c r="O4137" s="1"/>
      <c r="P4137" s="1"/>
      <c r="Q4137" s="1"/>
      <c r="R4137" s="1"/>
      <c r="Z4137" s="103"/>
      <c r="AA4137" s="103"/>
      <c r="AB4137" s="1"/>
    </row>
    <row r="4138" spans="15:28">
      <c r="O4138" s="1"/>
      <c r="P4138" s="1"/>
      <c r="Q4138" s="1"/>
      <c r="R4138" s="1"/>
      <c r="Z4138" s="103"/>
      <c r="AA4138" s="103"/>
      <c r="AB4138" s="1"/>
    </row>
    <row r="4139" spans="15:28">
      <c r="O4139" s="1"/>
      <c r="P4139" s="1"/>
      <c r="Q4139" s="1"/>
      <c r="R4139" s="1"/>
      <c r="Z4139" s="103"/>
      <c r="AA4139" s="103"/>
      <c r="AB4139" s="1"/>
    </row>
    <row r="4140" spans="15:28">
      <c r="O4140" s="1"/>
      <c r="P4140" s="1"/>
      <c r="Q4140" s="1"/>
      <c r="R4140" s="1"/>
      <c r="Z4140" s="103"/>
      <c r="AA4140" s="103"/>
      <c r="AB4140" s="1"/>
    </row>
    <row r="4141" spans="15:28">
      <c r="O4141" s="1"/>
      <c r="P4141" s="1"/>
      <c r="Q4141" s="1"/>
      <c r="R4141" s="1"/>
      <c r="Z4141" s="103"/>
      <c r="AA4141" s="103"/>
      <c r="AB4141" s="1"/>
    </row>
    <row r="4142" spans="15:28">
      <c r="O4142" s="1"/>
      <c r="P4142" s="1"/>
      <c r="Q4142" s="1"/>
      <c r="R4142" s="1"/>
      <c r="Z4142" s="103"/>
      <c r="AA4142" s="103"/>
      <c r="AB4142" s="1"/>
    </row>
    <row r="4143" spans="15:28">
      <c r="O4143" s="1"/>
      <c r="P4143" s="1"/>
      <c r="Q4143" s="1"/>
      <c r="R4143" s="1"/>
      <c r="Z4143" s="103"/>
      <c r="AA4143" s="103"/>
      <c r="AB4143" s="1"/>
    </row>
    <row r="4144" spans="15:28">
      <c r="O4144" s="1"/>
      <c r="P4144" s="1"/>
      <c r="Q4144" s="1"/>
      <c r="R4144" s="1"/>
      <c r="Z4144" s="103"/>
      <c r="AA4144" s="103"/>
      <c r="AB4144" s="1"/>
    </row>
    <row r="4145" spans="15:28">
      <c r="O4145" s="1"/>
      <c r="P4145" s="1"/>
      <c r="Q4145" s="1"/>
      <c r="R4145" s="1"/>
      <c r="Z4145" s="103"/>
      <c r="AA4145" s="103"/>
      <c r="AB4145" s="1"/>
    </row>
    <row r="4146" spans="15:28">
      <c r="O4146" s="1"/>
      <c r="P4146" s="1"/>
      <c r="Q4146" s="1"/>
      <c r="R4146" s="1"/>
      <c r="Z4146" s="103"/>
      <c r="AA4146" s="103"/>
      <c r="AB4146" s="1"/>
    </row>
    <row r="4147" spans="15:28">
      <c r="O4147" s="1"/>
      <c r="P4147" s="1"/>
      <c r="Q4147" s="1"/>
      <c r="R4147" s="1"/>
      <c r="Z4147" s="103"/>
      <c r="AA4147" s="103"/>
      <c r="AB4147" s="1"/>
    </row>
    <row r="4148" spans="15:28">
      <c r="O4148" s="1"/>
      <c r="P4148" s="1"/>
      <c r="Q4148" s="1"/>
      <c r="R4148" s="1"/>
      <c r="Z4148" s="103"/>
      <c r="AA4148" s="103"/>
      <c r="AB4148" s="1"/>
    </row>
    <row r="4149" spans="15:28">
      <c r="O4149" s="1"/>
      <c r="P4149" s="1"/>
      <c r="Q4149" s="1"/>
      <c r="R4149" s="1"/>
      <c r="Z4149" s="103"/>
      <c r="AA4149" s="103"/>
      <c r="AB4149" s="1"/>
    </row>
    <row r="4150" spans="15:28">
      <c r="O4150" s="1"/>
      <c r="P4150" s="1"/>
      <c r="Q4150" s="1"/>
      <c r="R4150" s="1"/>
      <c r="Z4150" s="103"/>
      <c r="AA4150" s="103"/>
      <c r="AB4150" s="1"/>
    </row>
    <row r="4151" spans="15:28">
      <c r="O4151" s="1"/>
      <c r="P4151" s="1"/>
      <c r="Q4151" s="1"/>
      <c r="R4151" s="1"/>
      <c r="Z4151" s="103"/>
      <c r="AA4151" s="103"/>
      <c r="AB4151" s="1"/>
    </row>
    <row r="4152" spans="15:28">
      <c r="O4152" s="1"/>
      <c r="P4152" s="1"/>
      <c r="Q4152" s="1"/>
      <c r="R4152" s="1"/>
      <c r="Z4152" s="103"/>
      <c r="AA4152" s="103"/>
      <c r="AB4152" s="1"/>
    </row>
    <row r="4153" spans="15:28">
      <c r="O4153" s="1"/>
      <c r="P4153" s="1"/>
      <c r="Q4153" s="1"/>
      <c r="R4153" s="1"/>
      <c r="Z4153" s="103"/>
      <c r="AA4153" s="103"/>
      <c r="AB4153" s="1"/>
    </row>
    <row r="4154" spans="15:28">
      <c r="O4154" s="1"/>
      <c r="P4154" s="1"/>
      <c r="Q4154" s="1"/>
      <c r="R4154" s="1"/>
      <c r="Z4154" s="103"/>
      <c r="AA4154" s="103"/>
      <c r="AB4154" s="1"/>
    </row>
    <row r="4155" spans="15:28">
      <c r="O4155" s="1"/>
      <c r="P4155" s="1"/>
      <c r="Q4155" s="1"/>
      <c r="R4155" s="1"/>
      <c r="Z4155" s="103"/>
      <c r="AA4155" s="103"/>
      <c r="AB4155" s="1"/>
    </row>
    <row r="4156" spans="15:28">
      <c r="O4156" s="1"/>
      <c r="P4156" s="1"/>
      <c r="Q4156" s="1"/>
      <c r="R4156" s="1"/>
      <c r="Z4156" s="103"/>
      <c r="AA4156" s="103"/>
      <c r="AB4156" s="1"/>
    </row>
    <row r="4157" spans="15:28">
      <c r="O4157" s="1"/>
      <c r="P4157" s="1"/>
      <c r="Q4157" s="1"/>
      <c r="R4157" s="1"/>
      <c r="Z4157" s="103"/>
      <c r="AA4157" s="103"/>
      <c r="AB4157" s="1"/>
    </row>
    <row r="4158" spans="15:28">
      <c r="O4158" s="1"/>
      <c r="P4158" s="1"/>
      <c r="Q4158" s="1"/>
      <c r="R4158" s="1"/>
      <c r="Z4158" s="103"/>
      <c r="AA4158" s="103"/>
      <c r="AB4158" s="1"/>
    </row>
    <row r="4159" spans="15:28">
      <c r="O4159" s="1"/>
      <c r="P4159" s="1"/>
      <c r="Q4159" s="1"/>
      <c r="R4159" s="1"/>
      <c r="Z4159" s="103"/>
      <c r="AA4159" s="103"/>
      <c r="AB4159" s="1"/>
    </row>
    <row r="4160" spans="15:28">
      <c r="O4160" s="1"/>
      <c r="P4160" s="1"/>
      <c r="Q4160" s="1"/>
      <c r="R4160" s="1"/>
      <c r="Z4160" s="103"/>
      <c r="AA4160" s="103"/>
      <c r="AB4160" s="1"/>
    </row>
    <row r="4161" spans="15:30">
      <c r="O4161" s="1"/>
      <c r="P4161" s="1"/>
      <c r="Q4161" s="1"/>
      <c r="R4161" s="1"/>
      <c r="Z4161" s="103"/>
      <c r="AA4161" s="103"/>
      <c r="AB4161" s="1"/>
    </row>
    <row r="4162" spans="15:30">
      <c r="O4162" s="1"/>
      <c r="P4162" s="1"/>
      <c r="Q4162" s="1"/>
      <c r="R4162" s="1"/>
      <c r="Z4162" s="103"/>
      <c r="AA4162" s="103"/>
      <c r="AB4162" s="1"/>
    </row>
    <row r="4163" spans="15:30">
      <c r="O4163" s="1"/>
      <c r="P4163" s="1"/>
      <c r="Q4163" s="1"/>
      <c r="R4163" s="1"/>
      <c r="Z4163" s="103"/>
      <c r="AA4163" s="103"/>
      <c r="AB4163" s="1"/>
    </row>
    <row r="4164" spans="15:30">
      <c r="O4164" s="1"/>
      <c r="P4164" s="1"/>
      <c r="Q4164" s="1"/>
      <c r="R4164" s="1"/>
      <c r="Z4164" s="103"/>
      <c r="AA4164" s="103"/>
      <c r="AB4164" s="1"/>
    </row>
    <row r="4165" spans="15:30">
      <c r="O4165" s="1"/>
      <c r="P4165" s="1"/>
      <c r="Q4165" s="1"/>
      <c r="R4165" s="1"/>
      <c r="Z4165" s="103"/>
      <c r="AA4165" s="103"/>
      <c r="AB4165" s="1"/>
      <c r="AD4165" s="102"/>
    </row>
    <row r="4166" spans="15:30">
      <c r="O4166" s="1"/>
      <c r="P4166" s="1"/>
      <c r="Q4166" s="1"/>
      <c r="R4166" s="1"/>
      <c r="Z4166" s="103"/>
      <c r="AA4166" s="103"/>
      <c r="AB4166" s="1"/>
    </row>
    <row r="4167" spans="15:30">
      <c r="O4167" s="1"/>
      <c r="P4167" s="1"/>
      <c r="Q4167" s="1"/>
      <c r="R4167" s="1"/>
      <c r="Z4167" s="103"/>
      <c r="AA4167" s="103"/>
      <c r="AB4167" s="1"/>
    </row>
    <row r="4168" spans="15:30">
      <c r="O4168" s="1"/>
      <c r="P4168" s="1"/>
      <c r="Q4168" s="1"/>
      <c r="R4168" s="1"/>
      <c r="Z4168" s="103"/>
      <c r="AA4168" s="103"/>
      <c r="AB4168" s="1"/>
    </row>
    <row r="4169" spans="15:30">
      <c r="O4169" s="1"/>
      <c r="P4169" s="1"/>
      <c r="Q4169" s="1"/>
      <c r="R4169" s="1"/>
      <c r="Z4169" s="103"/>
      <c r="AA4169" s="103"/>
      <c r="AB4169" s="1"/>
    </row>
    <row r="4170" spans="15:30">
      <c r="O4170" s="1"/>
      <c r="P4170" s="1"/>
      <c r="Q4170" s="1"/>
      <c r="R4170" s="1"/>
      <c r="Z4170" s="103"/>
      <c r="AA4170" s="103"/>
      <c r="AB4170" s="1"/>
    </row>
    <row r="4171" spans="15:30">
      <c r="O4171" s="1"/>
      <c r="P4171" s="1"/>
      <c r="Q4171" s="1"/>
      <c r="R4171" s="1"/>
      <c r="Z4171" s="103"/>
      <c r="AA4171" s="103"/>
      <c r="AB4171" s="1"/>
    </row>
    <row r="4172" spans="15:30">
      <c r="O4172" s="1"/>
      <c r="P4172" s="1"/>
      <c r="Q4172" s="1"/>
      <c r="R4172" s="1"/>
      <c r="Z4172" s="103"/>
      <c r="AA4172" s="103"/>
      <c r="AB4172" s="1"/>
    </row>
    <row r="4173" spans="15:30">
      <c r="O4173" s="1"/>
      <c r="P4173" s="1"/>
      <c r="Q4173" s="1"/>
      <c r="R4173" s="1"/>
      <c r="Z4173" s="103"/>
      <c r="AA4173" s="103"/>
      <c r="AB4173" s="1"/>
    </row>
    <row r="4174" spans="15:30">
      <c r="O4174" s="1"/>
      <c r="P4174" s="1"/>
      <c r="Q4174" s="1"/>
      <c r="R4174" s="1"/>
      <c r="Z4174" s="103"/>
      <c r="AA4174" s="103"/>
      <c r="AB4174" s="1"/>
    </row>
    <row r="4175" spans="15:30">
      <c r="O4175" s="1"/>
      <c r="P4175" s="1"/>
      <c r="Q4175" s="1"/>
      <c r="R4175" s="1"/>
      <c r="Z4175" s="103"/>
      <c r="AA4175" s="103"/>
      <c r="AB4175" s="1"/>
    </row>
    <row r="4176" spans="15:30">
      <c r="O4176" s="1"/>
      <c r="P4176" s="1"/>
      <c r="Q4176" s="1"/>
      <c r="R4176" s="1"/>
      <c r="Z4176" s="103"/>
      <c r="AA4176" s="103"/>
      <c r="AB4176" s="1"/>
    </row>
    <row r="4177" spans="15:30">
      <c r="O4177" s="1"/>
      <c r="P4177" s="1"/>
      <c r="Q4177" s="1"/>
      <c r="R4177" s="1"/>
      <c r="Z4177" s="103"/>
      <c r="AA4177" s="103"/>
      <c r="AB4177" s="1"/>
    </row>
    <row r="4178" spans="15:30">
      <c r="O4178" s="1"/>
      <c r="P4178" s="1"/>
      <c r="Q4178" s="1"/>
      <c r="R4178" s="1"/>
      <c r="Z4178" s="103"/>
      <c r="AA4178" s="103"/>
      <c r="AB4178" s="1"/>
    </row>
    <row r="4179" spans="15:30">
      <c r="O4179" s="1"/>
      <c r="P4179" s="1"/>
      <c r="Q4179" s="1"/>
      <c r="R4179" s="1"/>
      <c r="Z4179" s="103"/>
      <c r="AA4179" s="103"/>
      <c r="AB4179" s="1"/>
    </row>
    <row r="4180" spans="15:30">
      <c r="O4180" s="1"/>
      <c r="P4180" s="1"/>
      <c r="Q4180" s="1"/>
      <c r="R4180" s="1"/>
      <c r="Z4180" s="103"/>
      <c r="AA4180" s="103"/>
      <c r="AB4180" s="1"/>
    </row>
    <row r="4181" spans="15:30">
      <c r="O4181" s="1"/>
      <c r="P4181" s="1"/>
      <c r="Q4181" s="1"/>
      <c r="R4181" s="1"/>
      <c r="Z4181" s="103"/>
      <c r="AA4181" s="103"/>
      <c r="AB4181" s="1"/>
    </row>
    <row r="4182" spans="15:30">
      <c r="O4182" s="1"/>
      <c r="P4182" s="1"/>
      <c r="Q4182" s="1"/>
      <c r="R4182" s="1"/>
      <c r="Z4182" s="103"/>
      <c r="AA4182" s="103"/>
      <c r="AB4182" s="1"/>
      <c r="AD4182" s="102"/>
    </row>
    <row r="4183" spans="15:30">
      <c r="O4183" s="1"/>
      <c r="P4183" s="1"/>
      <c r="Q4183" s="1"/>
      <c r="R4183" s="1"/>
      <c r="Z4183" s="103"/>
      <c r="AA4183" s="103"/>
      <c r="AB4183" s="1"/>
      <c r="AD4183" s="102"/>
    </row>
    <row r="4184" spans="15:30">
      <c r="O4184" s="1"/>
      <c r="P4184" s="1"/>
      <c r="Q4184" s="1"/>
      <c r="R4184" s="1"/>
      <c r="Z4184" s="103"/>
      <c r="AA4184" s="103"/>
      <c r="AB4184" s="1"/>
    </row>
    <row r="4185" spans="15:30">
      <c r="O4185" s="1"/>
      <c r="P4185" s="1"/>
      <c r="Q4185" s="1"/>
      <c r="R4185" s="1"/>
      <c r="Z4185" s="103"/>
      <c r="AA4185" s="103"/>
      <c r="AB4185" s="1"/>
    </row>
    <row r="4186" spans="15:30">
      <c r="O4186" s="1"/>
      <c r="P4186" s="1"/>
      <c r="Q4186" s="1"/>
      <c r="R4186" s="1"/>
      <c r="Z4186" s="103"/>
      <c r="AA4186" s="103"/>
      <c r="AB4186" s="1"/>
    </row>
    <row r="4187" spans="15:30">
      <c r="O4187" s="1"/>
      <c r="P4187" s="1"/>
      <c r="Q4187" s="1"/>
      <c r="R4187" s="1"/>
      <c r="Z4187" s="103"/>
      <c r="AA4187" s="103"/>
      <c r="AB4187" s="1"/>
    </row>
    <row r="4188" spans="15:30">
      <c r="O4188" s="1"/>
      <c r="P4188" s="1"/>
      <c r="Q4188" s="1"/>
      <c r="R4188" s="1"/>
      <c r="Z4188" s="103"/>
      <c r="AA4188" s="103"/>
      <c r="AB4188" s="1"/>
    </row>
    <row r="4189" spans="15:30">
      <c r="O4189" s="1"/>
      <c r="P4189" s="1"/>
      <c r="Q4189" s="1"/>
      <c r="R4189" s="1"/>
      <c r="Z4189" s="103"/>
      <c r="AA4189" s="103"/>
      <c r="AB4189" s="1"/>
    </row>
    <row r="4190" spans="15:30">
      <c r="O4190" s="1"/>
      <c r="P4190" s="1"/>
      <c r="Q4190" s="1"/>
      <c r="R4190" s="1"/>
      <c r="Z4190" s="103"/>
      <c r="AA4190" s="103"/>
      <c r="AB4190" s="1"/>
      <c r="AD4190" s="102"/>
    </row>
    <row r="4191" spans="15:30">
      <c r="O4191" s="1"/>
      <c r="P4191" s="1"/>
      <c r="Q4191" s="1"/>
      <c r="R4191" s="1"/>
      <c r="Z4191" s="103"/>
      <c r="AA4191" s="103"/>
      <c r="AB4191" s="1"/>
    </row>
    <row r="4192" spans="15:30">
      <c r="O4192" s="1"/>
      <c r="P4192" s="1"/>
      <c r="Q4192" s="1"/>
      <c r="R4192" s="1"/>
      <c r="Z4192" s="103"/>
      <c r="AA4192" s="103"/>
      <c r="AB4192" s="1"/>
    </row>
    <row r="4193" spans="15:28">
      <c r="O4193" s="1"/>
      <c r="P4193" s="1"/>
      <c r="Q4193" s="1"/>
      <c r="R4193" s="1"/>
      <c r="Z4193" s="103"/>
      <c r="AA4193" s="103"/>
      <c r="AB4193" s="1"/>
    </row>
    <row r="4194" spans="15:28">
      <c r="O4194" s="1"/>
      <c r="P4194" s="1"/>
      <c r="Q4194" s="1"/>
      <c r="R4194" s="1"/>
      <c r="Z4194" s="103"/>
      <c r="AA4194" s="103"/>
      <c r="AB4194" s="1"/>
    </row>
    <row r="4195" spans="15:28">
      <c r="O4195" s="1"/>
      <c r="P4195" s="1"/>
      <c r="Q4195" s="1"/>
      <c r="R4195" s="1"/>
      <c r="Z4195" s="103"/>
      <c r="AA4195" s="103"/>
      <c r="AB4195" s="1"/>
    </row>
    <row r="4196" spans="15:28">
      <c r="O4196" s="1"/>
      <c r="P4196" s="1"/>
      <c r="Q4196" s="1"/>
      <c r="R4196" s="1"/>
      <c r="Z4196" s="103"/>
      <c r="AA4196" s="103"/>
      <c r="AB4196" s="1"/>
    </row>
    <row r="4197" spans="15:28">
      <c r="O4197" s="1"/>
      <c r="P4197" s="1"/>
      <c r="Q4197" s="1"/>
      <c r="R4197" s="1"/>
      <c r="Z4197" s="103"/>
      <c r="AA4197" s="103"/>
      <c r="AB4197" s="1"/>
    </row>
    <row r="4198" spans="15:28">
      <c r="O4198" s="1"/>
      <c r="P4198" s="1"/>
      <c r="Q4198" s="1"/>
      <c r="R4198" s="1"/>
      <c r="Z4198" s="103"/>
      <c r="AA4198" s="103"/>
      <c r="AB4198" s="1"/>
    </row>
    <row r="4199" spans="15:28">
      <c r="O4199" s="1"/>
      <c r="P4199" s="1"/>
      <c r="Q4199" s="1"/>
      <c r="R4199" s="1"/>
      <c r="Z4199" s="103"/>
      <c r="AA4199" s="103"/>
      <c r="AB4199" s="1"/>
    </row>
    <row r="4200" spans="15:28">
      <c r="O4200" s="1"/>
      <c r="P4200" s="1"/>
      <c r="Q4200" s="1"/>
      <c r="R4200" s="1"/>
      <c r="Z4200" s="103"/>
      <c r="AA4200" s="103"/>
      <c r="AB4200" s="1"/>
    </row>
    <row r="4201" spans="15:28">
      <c r="O4201" s="1"/>
      <c r="P4201" s="1"/>
      <c r="Q4201" s="1"/>
      <c r="R4201" s="1"/>
      <c r="Z4201" s="103"/>
      <c r="AA4201" s="103"/>
      <c r="AB4201" s="1"/>
    </row>
    <row r="4202" spans="15:28">
      <c r="O4202" s="1"/>
      <c r="P4202" s="1"/>
      <c r="Q4202" s="1"/>
      <c r="R4202" s="1"/>
      <c r="Z4202" s="103"/>
      <c r="AA4202" s="103"/>
      <c r="AB4202" s="1"/>
    </row>
    <row r="4203" spans="15:28">
      <c r="O4203" s="1"/>
      <c r="P4203" s="1"/>
      <c r="Q4203" s="1"/>
      <c r="R4203" s="1"/>
      <c r="Z4203" s="103"/>
      <c r="AA4203" s="103"/>
      <c r="AB4203" s="1"/>
    </row>
    <row r="4204" spans="15:28">
      <c r="O4204" s="1"/>
      <c r="P4204" s="1"/>
      <c r="Q4204" s="1"/>
      <c r="R4204" s="1"/>
      <c r="Z4204" s="103"/>
      <c r="AA4204" s="103"/>
      <c r="AB4204" s="1"/>
    </row>
    <row r="4205" spans="15:28">
      <c r="O4205" s="1"/>
      <c r="P4205" s="1"/>
      <c r="Q4205" s="1"/>
      <c r="R4205" s="1"/>
      <c r="Z4205" s="103"/>
      <c r="AA4205" s="103"/>
      <c r="AB4205" s="1"/>
    </row>
    <row r="4206" spans="15:28">
      <c r="O4206" s="1"/>
      <c r="P4206" s="1"/>
      <c r="Q4206" s="1"/>
      <c r="R4206" s="1"/>
      <c r="Z4206" s="103"/>
      <c r="AA4206" s="103"/>
      <c r="AB4206" s="1"/>
    </row>
    <row r="4207" spans="15:28">
      <c r="O4207" s="1"/>
      <c r="P4207" s="1"/>
      <c r="Q4207" s="1"/>
      <c r="R4207" s="1"/>
      <c r="Z4207" s="103"/>
      <c r="AA4207" s="103"/>
      <c r="AB4207" s="1"/>
    </row>
    <row r="4208" spans="15:28">
      <c r="O4208" s="1"/>
      <c r="P4208" s="1"/>
      <c r="Q4208" s="1"/>
      <c r="R4208" s="1"/>
      <c r="Z4208" s="103"/>
      <c r="AA4208" s="103"/>
      <c r="AB4208" s="1"/>
    </row>
    <row r="4209" spans="15:28">
      <c r="O4209" s="1"/>
      <c r="P4209" s="1"/>
      <c r="Q4209" s="1"/>
      <c r="R4209" s="1"/>
      <c r="Z4209" s="103"/>
      <c r="AA4209" s="103"/>
      <c r="AB4209" s="1"/>
    </row>
    <row r="4210" spans="15:28">
      <c r="O4210" s="1"/>
      <c r="P4210" s="1"/>
      <c r="Q4210" s="1"/>
      <c r="R4210" s="1"/>
      <c r="Z4210" s="103"/>
      <c r="AA4210" s="103"/>
      <c r="AB4210" s="1"/>
    </row>
    <row r="4211" spans="15:28">
      <c r="O4211" s="1"/>
      <c r="P4211" s="1"/>
      <c r="Q4211" s="1"/>
      <c r="R4211" s="1"/>
      <c r="Z4211" s="103"/>
      <c r="AA4211" s="103"/>
      <c r="AB4211" s="1"/>
    </row>
    <row r="4212" spans="15:28">
      <c r="O4212" s="1"/>
      <c r="P4212" s="1"/>
      <c r="Q4212" s="1"/>
      <c r="R4212" s="1"/>
      <c r="Z4212" s="103"/>
      <c r="AA4212" s="103"/>
      <c r="AB4212" s="1"/>
    </row>
    <row r="4213" spans="15:28">
      <c r="O4213" s="1"/>
      <c r="P4213" s="1"/>
      <c r="Q4213" s="1"/>
      <c r="R4213" s="1"/>
      <c r="Z4213" s="103"/>
      <c r="AA4213" s="103"/>
      <c r="AB4213" s="1"/>
    </row>
    <row r="4214" spans="15:28">
      <c r="O4214" s="1"/>
      <c r="P4214" s="1"/>
      <c r="Q4214" s="1"/>
      <c r="R4214" s="1"/>
      <c r="Z4214" s="103"/>
      <c r="AA4214" s="103"/>
      <c r="AB4214" s="1"/>
    </row>
    <row r="4215" spans="15:28">
      <c r="O4215" s="1"/>
      <c r="P4215" s="1"/>
      <c r="Q4215" s="1"/>
      <c r="R4215" s="1"/>
      <c r="Z4215" s="103"/>
      <c r="AA4215" s="103"/>
      <c r="AB4215" s="1"/>
    </row>
    <row r="4216" spans="15:28">
      <c r="O4216" s="1"/>
      <c r="P4216" s="1"/>
      <c r="Q4216" s="1"/>
      <c r="R4216" s="1"/>
      <c r="Z4216" s="103"/>
      <c r="AA4216" s="103"/>
      <c r="AB4216" s="1"/>
    </row>
    <row r="4217" spans="15:28">
      <c r="O4217" s="1"/>
      <c r="P4217" s="1"/>
      <c r="Q4217" s="1"/>
      <c r="R4217" s="1"/>
      <c r="Z4217" s="103"/>
      <c r="AA4217" s="103"/>
      <c r="AB4217" s="1"/>
    </row>
    <row r="4218" spans="15:28">
      <c r="O4218" s="1"/>
      <c r="P4218" s="1"/>
      <c r="Q4218" s="1"/>
      <c r="R4218" s="1"/>
      <c r="Z4218" s="103"/>
      <c r="AA4218" s="103"/>
      <c r="AB4218" s="1"/>
    </row>
    <row r="4219" spans="15:28">
      <c r="O4219" s="1"/>
      <c r="P4219" s="1"/>
      <c r="Q4219" s="1"/>
      <c r="R4219" s="1"/>
      <c r="Z4219" s="103"/>
      <c r="AA4219" s="103"/>
      <c r="AB4219" s="1"/>
    </row>
    <row r="4220" spans="15:28">
      <c r="O4220" s="1"/>
      <c r="P4220" s="1"/>
      <c r="Q4220" s="1"/>
      <c r="R4220" s="1"/>
      <c r="Z4220" s="103"/>
      <c r="AA4220" s="103"/>
      <c r="AB4220" s="1"/>
    </row>
    <row r="4221" spans="15:28">
      <c r="O4221" s="1"/>
      <c r="P4221" s="1"/>
      <c r="Q4221" s="1"/>
      <c r="R4221" s="1"/>
      <c r="Z4221" s="103"/>
      <c r="AA4221" s="103"/>
      <c r="AB4221" s="1"/>
    </row>
    <row r="4222" spans="15:28">
      <c r="O4222" s="1"/>
      <c r="P4222" s="1"/>
      <c r="Q4222" s="1"/>
      <c r="R4222" s="1"/>
      <c r="Z4222" s="103"/>
      <c r="AA4222" s="103"/>
      <c r="AB4222" s="1"/>
    </row>
    <row r="4223" spans="15:28">
      <c r="O4223" s="1"/>
      <c r="P4223" s="1"/>
      <c r="Q4223" s="1"/>
      <c r="R4223" s="1"/>
      <c r="Z4223" s="103"/>
      <c r="AA4223" s="103"/>
      <c r="AB4223" s="1"/>
    </row>
    <row r="4224" spans="15:28">
      <c r="O4224" s="1"/>
      <c r="P4224" s="1"/>
      <c r="Q4224" s="1"/>
      <c r="R4224" s="1"/>
      <c r="Z4224" s="103"/>
      <c r="AA4224" s="103"/>
      <c r="AB4224" s="1"/>
    </row>
    <row r="4225" spans="15:28">
      <c r="O4225" s="1"/>
      <c r="P4225" s="1"/>
      <c r="Q4225" s="1"/>
      <c r="R4225" s="1"/>
      <c r="Z4225" s="103"/>
      <c r="AA4225" s="103"/>
      <c r="AB4225" s="1"/>
    </row>
    <row r="4226" spans="15:28">
      <c r="O4226" s="1"/>
      <c r="P4226" s="1"/>
      <c r="Q4226" s="1"/>
      <c r="R4226" s="1"/>
      <c r="Z4226" s="103"/>
      <c r="AA4226" s="103"/>
      <c r="AB4226" s="1"/>
    </row>
    <row r="4227" spans="15:28">
      <c r="O4227" s="1"/>
      <c r="P4227" s="1"/>
      <c r="Q4227" s="1"/>
      <c r="R4227" s="1"/>
      <c r="Z4227" s="103"/>
      <c r="AA4227" s="103"/>
      <c r="AB4227" s="1"/>
    </row>
    <row r="4228" spans="15:28">
      <c r="O4228" s="1"/>
      <c r="P4228" s="1"/>
      <c r="Q4228" s="1"/>
      <c r="R4228" s="1"/>
      <c r="Z4228" s="103"/>
      <c r="AA4228" s="103"/>
      <c r="AB4228" s="1"/>
    </row>
    <row r="4229" spans="15:28">
      <c r="O4229" s="1"/>
      <c r="P4229" s="1"/>
      <c r="Q4229" s="1"/>
      <c r="R4229" s="1"/>
      <c r="Z4229" s="103"/>
      <c r="AA4229" s="103"/>
      <c r="AB4229" s="1"/>
    </row>
    <row r="4230" spans="15:28">
      <c r="O4230" s="1"/>
      <c r="P4230" s="1"/>
      <c r="Q4230" s="1"/>
      <c r="R4230" s="1"/>
      <c r="Z4230" s="103"/>
      <c r="AA4230" s="103"/>
      <c r="AB4230" s="1"/>
    </row>
    <row r="4231" spans="15:28">
      <c r="O4231" s="1"/>
      <c r="P4231" s="1"/>
      <c r="Q4231" s="1"/>
      <c r="R4231" s="1"/>
      <c r="Z4231" s="103"/>
      <c r="AA4231" s="103"/>
      <c r="AB4231" s="1"/>
    </row>
    <row r="4232" spans="15:28">
      <c r="O4232" s="1"/>
      <c r="P4232" s="1"/>
      <c r="Q4232" s="1"/>
      <c r="R4232" s="1"/>
      <c r="Z4232" s="103"/>
      <c r="AA4232" s="103"/>
      <c r="AB4232" s="1"/>
    </row>
    <row r="4233" spans="15:28">
      <c r="O4233" s="1"/>
      <c r="P4233" s="1"/>
      <c r="Q4233" s="1"/>
      <c r="R4233" s="1"/>
      <c r="Z4233" s="103"/>
      <c r="AA4233" s="103"/>
      <c r="AB4233" s="1"/>
    </row>
    <row r="4234" spans="15:28">
      <c r="O4234" s="1"/>
      <c r="P4234" s="1"/>
      <c r="Q4234" s="1"/>
      <c r="R4234" s="1"/>
      <c r="Z4234" s="103"/>
      <c r="AA4234" s="103"/>
      <c r="AB4234" s="1"/>
    </row>
    <row r="4235" spans="15:28">
      <c r="O4235" s="1"/>
      <c r="P4235" s="1"/>
      <c r="Q4235" s="1"/>
      <c r="R4235" s="1"/>
      <c r="Z4235" s="103"/>
      <c r="AA4235" s="103"/>
      <c r="AB4235" s="1"/>
    </row>
    <row r="4236" spans="15:28">
      <c r="O4236" s="1"/>
      <c r="P4236" s="1"/>
      <c r="Q4236" s="1"/>
      <c r="R4236" s="1"/>
      <c r="Z4236" s="103"/>
      <c r="AA4236" s="103"/>
      <c r="AB4236" s="1"/>
    </row>
    <row r="4237" spans="15:28">
      <c r="O4237" s="1"/>
      <c r="P4237" s="1"/>
      <c r="Q4237" s="1"/>
      <c r="R4237" s="1"/>
      <c r="Z4237" s="103"/>
      <c r="AA4237" s="103"/>
      <c r="AB4237" s="1"/>
    </row>
    <row r="4238" spans="15:28">
      <c r="O4238" s="1"/>
      <c r="P4238" s="1"/>
      <c r="Q4238" s="1"/>
      <c r="R4238" s="1"/>
      <c r="Z4238" s="103"/>
      <c r="AA4238" s="103"/>
      <c r="AB4238" s="1"/>
    </row>
    <row r="4239" spans="15:28">
      <c r="O4239" s="1"/>
      <c r="P4239" s="1"/>
      <c r="Q4239" s="1"/>
      <c r="R4239" s="1"/>
      <c r="Z4239" s="103"/>
      <c r="AA4239" s="103"/>
      <c r="AB4239" s="1"/>
    </row>
    <row r="4240" spans="15:28">
      <c r="O4240" s="1"/>
      <c r="P4240" s="1"/>
      <c r="Q4240" s="1"/>
      <c r="R4240" s="1"/>
      <c r="Z4240" s="103"/>
      <c r="AA4240" s="103"/>
      <c r="AB4240" s="1"/>
    </row>
    <row r="4241" spans="15:28">
      <c r="O4241" s="1"/>
      <c r="P4241" s="1"/>
      <c r="Q4241" s="1"/>
      <c r="R4241" s="1"/>
      <c r="Z4241" s="103"/>
      <c r="AA4241" s="103"/>
      <c r="AB4241" s="1"/>
    </row>
    <row r="4242" spans="15:28">
      <c r="O4242" s="1"/>
      <c r="P4242" s="1"/>
      <c r="Q4242" s="1"/>
      <c r="R4242" s="1"/>
      <c r="Z4242" s="103"/>
      <c r="AA4242" s="103"/>
      <c r="AB4242" s="1"/>
    </row>
    <row r="4243" spans="15:28">
      <c r="O4243" s="1"/>
      <c r="P4243" s="1"/>
      <c r="Q4243" s="1"/>
      <c r="R4243" s="1"/>
      <c r="Z4243" s="103"/>
      <c r="AA4243" s="103"/>
      <c r="AB4243" s="1"/>
    </row>
    <row r="4244" spans="15:28">
      <c r="O4244" s="1"/>
      <c r="P4244" s="1"/>
      <c r="Q4244" s="1"/>
      <c r="R4244" s="1"/>
      <c r="Z4244" s="103"/>
      <c r="AA4244" s="103"/>
      <c r="AB4244" s="1"/>
    </row>
    <row r="4245" spans="15:28">
      <c r="O4245" s="1"/>
      <c r="P4245" s="1"/>
      <c r="Q4245" s="1"/>
      <c r="R4245" s="1"/>
      <c r="Z4245" s="103"/>
      <c r="AA4245" s="103"/>
      <c r="AB4245" s="1"/>
    </row>
    <row r="4246" spans="15:28">
      <c r="O4246" s="1"/>
      <c r="P4246" s="1"/>
      <c r="Q4246" s="1"/>
      <c r="R4246" s="1"/>
      <c r="Z4246" s="103"/>
      <c r="AA4246" s="103"/>
      <c r="AB4246" s="1"/>
    </row>
    <row r="4247" spans="15:28">
      <c r="O4247" s="1"/>
      <c r="P4247" s="1"/>
      <c r="Q4247" s="1"/>
      <c r="R4247" s="1"/>
      <c r="Z4247" s="103"/>
      <c r="AA4247" s="103"/>
      <c r="AB4247" s="1"/>
    </row>
    <row r="4248" spans="15:28">
      <c r="O4248" s="1"/>
      <c r="P4248" s="1"/>
      <c r="Q4248" s="1"/>
      <c r="R4248" s="1"/>
      <c r="Z4248" s="103"/>
      <c r="AA4248" s="103"/>
      <c r="AB4248" s="1"/>
    </row>
    <row r="4249" spans="15:28">
      <c r="O4249" s="1"/>
      <c r="P4249" s="1"/>
      <c r="Q4249" s="1"/>
      <c r="R4249" s="1"/>
      <c r="Z4249" s="103"/>
      <c r="AA4249" s="103"/>
      <c r="AB4249" s="1"/>
    </row>
    <row r="4250" spans="15:28">
      <c r="O4250" s="1"/>
      <c r="P4250" s="1"/>
      <c r="Q4250" s="1"/>
      <c r="R4250" s="1"/>
      <c r="Z4250" s="103"/>
      <c r="AA4250" s="103"/>
      <c r="AB4250" s="1"/>
    </row>
    <row r="4251" spans="15:28">
      <c r="O4251" s="1"/>
      <c r="P4251" s="1"/>
      <c r="Q4251" s="1"/>
      <c r="R4251" s="1"/>
      <c r="Z4251" s="103"/>
      <c r="AA4251" s="103"/>
      <c r="AB4251" s="1"/>
    </row>
    <row r="4252" spans="15:28">
      <c r="O4252" s="1"/>
      <c r="P4252" s="1"/>
      <c r="Q4252" s="1"/>
      <c r="R4252" s="1"/>
      <c r="Z4252" s="103"/>
      <c r="AA4252" s="103"/>
      <c r="AB4252" s="1"/>
    </row>
    <row r="4253" spans="15:28">
      <c r="O4253" s="1"/>
      <c r="P4253" s="1"/>
      <c r="Q4253" s="1"/>
      <c r="R4253" s="1"/>
      <c r="Z4253" s="103"/>
      <c r="AA4253" s="103"/>
      <c r="AB4253" s="1"/>
    </row>
    <row r="4254" spans="15:28">
      <c r="O4254" s="1"/>
      <c r="P4254" s="1"/>
      <c r="Q4254" s="1"/>
      <c r="R4254" s="1"/>
      <c r="Z4254" s="103"/>
      <c r="AA4254" s="103"/>
      <c r="AB4254" s="1"/>
    </row>
    <row r="4255" spans="15:28">
      <c r="O4255" s="1"/>
      <c r="P4255" s="1"/>
      <c r="Q4255" s="1"/>
      <c r="R4255" s="1"/>
      <c r="Z4255" s="103"/>
      <c r="AA4255" s="103"/>
      <c r="AB4255" s="1"/>
    </row>
    <row r="4256" spans="15:28">
      <c r="O4256" s="1"/>
      <c r="P4256" s="1"/>
      <c r="Q4256" s="1"/>
      <c r="R4256" s="1"/>
      <c r="Z4256" s="103"/>
      <c r="AA4256" s="103"/>
      <c r="AB4256" s="1"/>
    </row>
    <row r="4257" spans="15:30">
      <c r="O4257" s="1"/>
      <c r="P4257" s="1"/>
      <c r="Q4257" s="1"/>
      <c r="R4257" s="1"/>
      <c r="Z4257" s="103"/>
      <c r="AA4257" s="103"/>
      <c r="AB4257" s="1"/>
      <c r="AD4257" s="102"/>
    </row>
    <row r="4258" spans="15:30">
      <c r="O4258" s="1"/>
      <c r="P4258" s="1"/>
      <c r="Q4258" s="1"/>
      <c r="R4258" s="1"/>
      <c r="Z4258" s="103"/>
      <c r="AA4258" s="103"/>
      <c r="AB4258" s="1"/>
    </row>
    <row r="4259" spans="15:30">
      <c r="O4259" s="1"/>
      <c r="P4259" s="1"/>
      <c r="Q4259" s="1"/>
      <c r="R4259" s="1"/>
      <c r="Z4259" s="103"/>
      <c r="AA4259" s="103"/>
      <c r="AB4259" s="1"/>
      <c r="AD4259" s="102"/>
    </row>
    <row r="4260" spans="15:30">
      <c r="O4260" s="1"/>
      <c r="P4260" s="1"/>
      <c r="Q4260" s="1"/>
      <c r="R4260" s="1"/>
      <c r="Z4260" s="103"/>
      <c r="AA4260" s="103"/>
      <c r="AB4260" s="1"/>
    </row>
    <row r="4261" spans="15:30">
      <c r="O4261" s="1"/>
      <c r="P4261" s="1"/>
      <c r="Q4261" s="1"/>
      <c r="R4261" s="1"/>
      <c r="Z4261" s="103"/>
      <c r="AA4261" s="103"/>
      <c r="AB4261" s="1"/>
    </row>
    <row r="4262" spans="15:30">
      <c r="O4262" s="1"/>
      <c r="P4262" s="1"/>
      <c r="Q4262" s="1"/>
      <c r="R4262" s="1"/>
      <c r="Z4262" s="103"/>
      <c r="AA4262" s="103"/>
      <c r="AB4262" s="1"/>
    </row>
    <row r="4263" spans="15:30">
      <c r="O4263" s="1"/>
      <c r="P4263" s="1"/>
      <c r="Q4263" s="1"/>
      <c r="R4263" s="1"/>
      <c r="Z4263" s="103"/>
      <c r="AA4263" s="103"/>
      <c r="AB4263" s="1"/>
    </row>
    <row r="4264" spans="15:30">
      <c r="O4264" s="1"/>
      <c r="P4264" s="1"/>
      <c r="Q4264" s="1"/>
      <c r="R4264" s="1"/>
      <c r="Z4264" s="103"/>
      <c r="AA4264" s="103"/>
      <c r="AB4264" s="1"/>
    </row>
    <row r="4265" spans="15:30">
      <c r="O4265" s="1"/>
      <c r="P4265" s="1"/>
      <c r="Q4265" s="1"/>
      <c r="R4265" s="1"/>
      <c r="Z4265" s="103"/>
      <c r="AA4265" s="103"/>
      <c r="AB4265" s="1"/>
    </row>
    <row r="4266" spans="15:30">
      <c r="O4266" s="1"/>
      <c r="P4266" s="1"/>
      <c r="Q4266" s="1"/>
      <c r="R4266" s="1"/>
      <c r="Z4266" s="103"/>
      <c r="AA4266" s="103"/>
      <c r="AB4266" s="1"/>
    </row>
    <row r="4267" spans="15:30">
      <c r="O4267" s="1"/>
      <c r="P4267" s="1"/>
      <c r="Q4267" s="1"/>
      <c r="R4267" s="1"/>
      <c r="Z4267" s="103"/>
      <c r="AA4267" s="103"/>
      <c r="AB4267" s="1"/>
    </row>
    <row r="4268" spans="15:30">
      <c r="O4268" s="1"/>
      <c r="P4268" s="1"/>
      <c r="Q4268" s="1"/>
      <c r="R4268" s="1"/>
      <c r="Z4268" s="103"/>
      <c r="AA4268" s="103"/>
      <c r="AB4268" s="1"/>
    </row>
    <row r="4269" spans="15:30">
      <c r="O4269" s="1"/>
      <c r="P4269" s="1"/>
      <c r="Q4269" s="1"/>
      <c r="R4269" s="1"/>
      <c r="Z4269" s="103"/>
      <c r="AA4269" s="103"/>
      <c r="AB4269" s="1"/>
    </row>
    <row r="4270" spans="15:30">
      <c r="O4270" s="1"/>
      <c r="P4270" s="1"/>
      <c r="Q4270" s="1"/>
      <c r="R4270" s="1"/>
      <c r="Z4270" s="103"/>
      <c r="AA4270" s="103"/>
      <c r="AB4270" s="1"/>
    </row>
    <row r="4271" spans="15:30">
      <c r="O4271" s="1"/>
      <c r="P4271" s="1"/>
      <c r="Q4271" s="1"/>
      <c r="R4271" s="1"/>
      <c r="Z4271" s="103"/>
      <c r="AA4271" s="103"/>
      <c r="AB4271" s="1"/>
    </row>
    <row r="4272" spans="15:30">
      <c r="O4272" s="1"/>
      <c r="P4272" s="1"/>
      <c r="Q4272" s="1"/>
      <c r="R4272" s="1"/>
      <c r="Z4272" s="103"/>
      <c r="AA4272" s="103"/>
      <c r="AB4272" s="1"/>
    </row>
    <row r="4273" spans="15:30">
      <c r="O4273" s="1"/>
      <c r="P4273" s="1"/>
      <c r="Q4273" s="1"/>
      <c r="R4273" s="1"/>
      <c r="Z4273" s="103"/>
      <c r="AA4273" s="103"/>
      <c r="AB4273" s="1"/>
    </row>
    <row r="4274" spans="15:30">
      <c r="O4274" s="1"/>
      <c r="P4274" s="1"/>
      <c r="Q4274" s="1"/>
      <c r="R4274" s="1"/>
      <c r="Z4274" s="103"/>
      <c r="AA4274" s="103"/>
      <c r="AB4274" s="1"/>
    </row>
    <row r="4275" spans="15:30">
      <c r="O4275" s="1"/>
      <c r="P4275" s="1"/>
      <c r="Q4275" s="1"/>
      <c r="R4275" s="1"/>
      <c r="Z4275" s="103"/>
      <c r="AA4275" s="103"/>
      <c r="AB4275" s="1"/>
    </row>
    <row r="4276" spans="15:30">
      <c r="O4276" s="1"/>
      <c r="P4276" s="1"/>
      <c r="Q4276" s="1"/>
      <c r="R4276" s="1"/>
      <c r="Z4276" s="103"/>
      <c r="AA4276" s="103"/>
      <c r="AB4276" s="1"/>
    </row>
    <row r="4277" spans="15:30">
      <c r="O4277" s="1"/>
      <c r="P4277" s="1"/>
      <c r="Q4277" s="1"/>
      <c r="R4277" s="1"/>
      <c r="Z4277" s="103"/>
      <c r="AA4277" s="103"/>
      <c r="AB4277" s="1"/>
      <c r="AD4277" s="102"/>
    </row>
    <row r="4278" spans="15:30">
      <c r="O4278" s="1"/>
      <c r="P4278" s="1"/>
      <c r="Q4278" s="1"/>
      <c r="R4278" s="1"/>
      <c r="Z4278" s="103"/>
      <c r="AA4278" s="103"/>
      <c r="AB4278" s="1"/>
    </row>
    <row r="4279" spans="15:30">
      <c r="O4279" s="1"/>
      <c r="P4279" s="1"/>
      <c r="Q4279" s="1"/>
      <c r="R4279" s="1"/>
      <c r="Z4279" s="103"/>
      <c r="AA4279" s="103"/>
      <c r="AB4279" s="1"/>
    </row>
    <row r="4280" spans="15:30">
      <c r="O4280" s="1"/>
      <c r="P4280" s="1"/>
      <c r="Q4280" s="1"/>
      <c r="R4280" s="1"/>
      <c r="Z4280" s="103"/>
      <c r="AA4280" s="103"/>
      <c r="AB4280" s="1"/>
    </row>
    <row r="4281" spans="15:30">
      <c r="O4281" s="1"/>
      <c r="P4281" s="1"/>
      <c r="Q4281" s="1"/>
      <c r="R4281" s="1"/>
      <c r="Z4281" s="103"/>
      <c r="AA4281" s="103"/>
      <c r="AB4281" s="1"/>
    </row>
    <row r="4282" spans="15:30">
      <c r="O4282" s="1"/>
      <c r="P4282" s="1"/>
      <c r="Q4282" s="1"/>
      <c r="R4282" s="1"/>
      <c r="Z4282" s="103"/>
      <c r="AA4282" s="103"/>
      <c r="AB4282" s="1"/>
    </row>
    <row r="4283" spans="15:30">
      <c r="O4283" s="1"/>
      <c r="P4283" s="1"/>
      <c r="Q4283" s="1"/>
      <c r="R4283" s="1"/>
      <c r="Z4283" s="103"/>
      <c r="AA4283" s="103"/>
      <c r="AB4283" s="1"/>
    </row>
    <row r="4284" spans="15:30">
      <c r="O4284" s="1"/>
      <c r="P4284" s="1"/>
      <c r="Q4284" s="1"/>
      <c r="R4284" s="1"/>
      <c r="Z4284" s="103"/>
      <c r="AA4284" s="103"/>
      <c r="AB4284" s="1"/>
      <c r="AD4284" s="102"/>
    </row>
    <row r="4285" spans="15:30">
      <c r="O4285" s="1"/>
      <c r="P4285" s="1"/>
      <c r="Q4285" s="1"/>
      <c r="R4285" s="1"/>
      <c r="Z4285" s="103"/>
      <c r="AA4285" s="103"/>
      <c r="AB4285" s="1"/>
    </row>
    <row r="4286" spans="15:30">
      <c r="O4286" s="1"/>
      <c r="P4286" s="1"/>
      <c r="Q4286" s="1"/>
      <c r="R4286" s="1"/>
      <c r="Z4286" s="103"/>
      <c r="AA4286" s="103"/>
      <c r="AB4286" s="1"/>
    </row>
    <row r="4287" spans="15:30">
      <c r="O4287" s="1"/>
      <c r="P4287" s="1"/>
      <c r="Q4287" s="1"/>
      <c r="R4287" s="1"/>
      <c r="Z4287" s="103"/>
      <c r="AA4287" s="103"/>
      <c r="AB4287" s="1"/>
    </row>
    <row r="4288" spans="15:30">
      <c r="O4288" s="1"/>
      <c r="P4288" s="1"/>
      <c r="Q4288" s="1"/>
      <c r="R4288" s="1"/>
      <c r="Z4288" s="103"/>
      <c r="AA4288" s="103"/>
      <c r="AB4288" s="1"/>
    </row>
    <row r="4289" spans="15:30">
      <c r="O4289" s="1"/>
      <c r="P4289" s="1"/>
      <c r="Q4289" s="1"/>
      <c r="R4289" s="1"/>
      <c r="Z4289" s="103"/>
      <c r="AA4289" s="103"/>
      <c r="AB4289" s="1"/>
    </row>
    <row r="4290" spans="15:30">
      <c r="O4290" s="1"/>
      <c r="P4290" s="1"/>
      <c r="Q4290" s="1"/>
      <c r="R4290" s="1"/>
      <c r="Z4290" s="103"/>
      <c r="AA4290" s="103"/>
      <c r="AB4290" s="1"/>
      <c r="AD4290" s="102"/>
    </row>
    <row r="4291" spans="15:30">
      <c r="O4291" s="1"/>
      <c r="P4291" s="1"/>
      <c r="Q4291" s="1"/>
      <c r="R4291" s="1"/>
      <c r="Z4291" s="103"/>
      <c r="AA4291" s="103"/>
      <c r="AB4291" s="1"/>
    </row>
    <row r="4292" spans="15:30">
      <c r="O4292" s="1"/>
      <c r="P4292" s="1"/>
      <c r="Q4292" s="1"/>
      <c r="R4292" s="1"/>
      <c r="Z4292" s="103"/>
      <c r="AA4292" s="103"/>
      <c r="AB4292" s="1"/>
    </row>
    <row r="4293" spans="15:30">
      <c r="O4293" s="1"/>
      <c r="P4293" s="1"/>
      <c r="Q4293" s="1"/>
      <c r="R4293" s="1"/>
      <c r="Z4293" s="103"/>
      <c r="AA4293" s="103"/>
      <c r="AB4293" s="1"/>
    </row>
    <row r="4294" spans="15:30">
      <c r="O4294" s="1"/>
      <c r="P4294" s="1"/>
      <c r="Q4294" s="1"/>
      <c r="R4294" s="1"/>
      <c r="Z4294" s="103"/>
      <c r="AA4294" s="103"/>
      <c r="AB4294" s="1"/>
    </row>
    <row r="4295" spans="15:30">
      <c r="O4295" s="1"/>
      <c r="P4295" s="1"/>
      <c r="Q4295" s="1"/>
      <c r="R4295" s="1"/>
      <c r="Z4295" s="103"/>
      <c r="AA4295" s="103"/>
      <c r="AB4295" s="1"/>
    </row>
    <row r="4296" spans="15:30">
      <c r="O4296" s="1"/>
      <c r="P4296" s="1"/>
      <c r="Q4296" s="1"/>
      <c r="R4296" s="1"/>
      <c r="Z4296" s="103"/>
      <c r="AA4296" s="103"/>
      <c r="AB4296" s="1"/>
    </row>
    <row r="4297" spans="15:30">
      <c r="O4297" s="1"/>
      <c r="P4297" s="1"/>
      <c r="Q4297" s="1"/>
      <c r="R4297" s="1"/>
      <c r="Z4297" s="103"/>
      <c r="AA4297" s="103"/>
      <c r="AB4297" s="1"/>
    </row>
    <row r="4298" spans="15:30">
      <c r="O4298" s="1"/>
      <c r="P4298" s="1"/>
      <c r="Q4298" s="1"/>
      <c r="R4298" s="1"/>
      <c r="Z4298" s="103"/>
      <c r="AA4298" s="103"/>
      <c r="AB4298" s="1"/>
    </row>
    <row r="4299" spans="15:30">
      <c r="O4299" s="1"/>
      <c r="P4299" s="1"/>
      <c r="Q4299" s="1"/>
      <c r="R4299" s="1"/>
      <c r="Z4299" s="103"/>
      <c r="AA4299" s="103"/>
      <c r="AB4299" s="1"/>
    </row>
    <row r="4300" spans="15:30">
      <c r="O4300" s="1"/>
      <c r="P4300" s="1"/>
      <c r="Q4300" s="1"/>
      <c r="R4300" s="1"/>
      <c r="Z4300" s="103"/>
      <c r="AA4300" s="103"/>
      <c r="AB4300" s="1"/>
    </row>
    <row r="4301" spans="15:30">
      <c r="O4301" s="1"/>
      <c r="P4301" s="1"/>
      <c r="Q4301" s="1"/>
      <c r="R4301" s="1"/>
      <c r="Z4301" s="103"/>
      <c r="AA4301" s="103"/>
      <c r="AB4301" s="1"/>
    </row>
    <row r="4302" spans="15:30">
      <c r="O4302" s="1"/>
      <c r="P4302" s="1"/>
      <c r="Q4302" s="1"/>
      <c r="R4302" s="1"/>
      <c r="Z4302" s="103"/>
      <c r="AA4302" s="103"/>
      <c r="AB4302" s="1"/>
    </row>
    <row r="4303" spans="15:30">
      <c r="O4303" s="1"/>
      <c r="P4303" s="1"/>
      <c r="Q4303" s="1"/>
      <c r="R4303" s="1"/>
      <c r="Z4303" s="103"/>
      <c r="AA4303" s="103"/>
      <c r="AB4303" s="1"/>
    </row>
    <row r="4304" spans="15:30">
      <c r="O4304" s="1"/>
      <c r="P4304" s="1"/>
      <c r="Q4304" s="1"/>
      <c r="R4304" s="1"/>
      <c r="Z4304" s="103"/>
      <c r="AA4304" s="103"/>
      <c r="AB4304" s="1"/>
    </row>
    <row r="4305" spans="15:30">
      <c r="O4305" s="1"/>
      <c r="P4305" s="1"/>
      <c r="Q4305" s="1"/>
      <c r="R4305" s="1"/>
      <c r="Z4305" s="103"/>
      <c r="AA4305" s="103"/>
      <c r="AB4305" s="1"/>
    </row>
    <row r="4306" spans="15:30">
      <c r="O4306" s="1"/>
      <c r="P4306" s="1"/>
      <c r="Q4306" s="1"/>
      <c r="R4306" s="1"/>
      <c r="Z4306" s="103"/>
      <c r="AA4306" s="103"/>
      <c r="AB4306" s="1"/>
    </row>
    <row r="4307" spans="15:30">
      <c r="O4307" s="1"/>
      <c r="P4307" s="1"/>
      <c r="Q4307" s="1"/>
      <c r="R4307" s="1"/>
      <c r="Z4307" s="103"/>
      <c r="AA4307" s="103"/>
      <c r="AB4307" s="1"/>
    </row>
    <row r="4308" spans="15:30">
      <c r="O4308" s="1"/>
      <c r="P4308" s="1"/>
      <c r="Q4308" s="1"/>
      <c r="R4308" s="1"/>
      <c r="Z4308" s="103"/>
      <c r="AA4308" s="103"/>
      <c r="AB4308" s="1"/>
    </row>
    <row r="4309" spans="15:30">
      <c r="O4309" s="1"/>
      <c r="P4309" s="1"/>
      <c r="Q4309" s="1"/>
      <c r="R4309" s="1"/>
      <c r="Z4309" s="103"/>
      <c r="AA4309" s="103"/>
      <c r="AB4309" s="1"/>
      <c r="AD4309" s="102"/>
    </row>
    <row r="4310" spans="15:30">
      <c r="O4310" s="1"/>
      <c r="P4310" s="1"/>
      <c r="Q4310" s="1"/>
      <c r="R4310" s="1"/>
      <c r="Z4310" s="103"/>
      <c r="AA4310" s="103"/>
      <c r="AB4310" s="1"/>
    </row>
    <row r="4311" spans="15:30">
      <c r="O4311" s="1"/>
      <c r="P4311" s="1"/>
      <c r="Q4311" s="1"/>
      <c r="R4311" s="1"/>
      <c r="Z4311" s="103"/>
      <c r="AA4311" s="103"/>
      <c r="AB4311" s="1"/>
    </row>
    <row r="4312" spans="15:30">
      <c r="O4312" s="1"/>
      <c r="P4312" s="1"/>
      <c r="Q4312" s="1"/>
      <c r="R4312" s="1"/>
      <c r="Z4312" s="103"/>
      <c r="AA4312" s="103"/>
      <c r="AB4312" s="1"/>
    </row>
    <row r="4313" spans="15:30">
      <c r="O4313" s="1"/>
      <c r="P4313" s="1"/>
      <c r="Q4313" s="1"/>
      <c r="R4313" s="1"/>
      <c r="Z4313" s="103"/>
      <c r="AA4313" s="103"/>
      <c r="AB4313" s="1"/>
    </row>
    <row r="4314" spans="15:30">
      <c r="O4314" s="1"/>
      <c r="P4314" s="1"/>
      <c r="Q4314" s="1"/>
      <c r="R4314" s="1"/>
      <c r="Z4314" s="103"/>
      <c r="AA4314" s="103"/>
      <c r="AB4314" s="1"/>
    </row>
    <row r="4315" spans="15:30">
      <c r="O4315" s="1"/>
      <c r="P4315" s="1"/>
      <c r="Q4315" s="1"/>
      <c r="R4315" s="1"/>
      <c r="Z4315" s="103"/>
      <c r="AA4315" s="103"/>
      <c r="AB4315" s="1"/>
    </row>
    <row r="4316" spans="15:30">
      <c r="O4316" s="1"/>
      <c r="P4316" s="1"/>
      <c r="Q4316" s="1"/>
      <c r="R4316" s="1"/>
      <c r="Z4316" s="103"/>
      <c r="AA4316" s="103"/>
      <c r="AB4316" s="1"/>
    </row>
    <row r="4317" spans="15:30">
      <c r="O4317" s="1"/>
      <c r="P4317" s="1"/>
      <c r="Q4317" s="1"/>
      <c r="R4317" s="1"/>
      <c r="Z4317" s="103"/>
      <c r="AA4317" s="103"/>
      <c r="AB4317" s="1"/>
    </row>
    <row r="4318" spans="15:30">
      <c r="O4318" s="1"/>
      <c r="P4318" s="1"/>
      <c r="Q4318" s="1"/>
      <c r="R4318" s="1"/>
      <c r="Z4318" s="103"/>
      <c r="AA4318" s="103"/>
      <c r="AB4318" s="1"/>
    </row>
    <row r="4319" spans="15:30">
      <c r="O4319" s="1"/>
      <c r="P4319" s="1"/>
      <c r="Q4319" s="1"/>
      <c r="R4319" s="1"/>
      <c r="Z4319" s="103"/>
      <c r="AA4319" s="103"/>
      <c r="AB4319" s="1"/>
    </row>
    <row r="4320" spans="15:30">
      <c r="O4320" s="1"/>
      <c r="P4320" s="1"/>
      <c r="Q4320" s="1"/>
      <c r="R4320" s="1"/>
      <c r="Z4320" s="103"/>
      <c r="AA4320" s="103"/>
      <c r="AB4320" s="1"/>
    </row>
    <row r="4321" spans="15:28">
      <c r="O4321" s="1"/>
      <c r="P4321" s="1"/>
      <c r="Q4321" s="1"/>
      <c r="R4321" s="1"/>
      <c r="Z4321" s="103"/>
      <c r="AA4321" s="103"/>
      <c r="AB4321" s="1"/>
    </row>
    <row r="4322" spans="15:28">
      <c r="O4322" s="1"/>
      <c r="P4322" s="1"/>
      <c r="Q4322" s="1"/>
      <c r="R4322" s="1"/>
      <c r="Z4322" s="103"/>
      <c r="AA4322" s="103"/>
      <c r="AB4322" s="1"/>
    </row>
    <row r="4323" spans="15:28">
      <c r="O4323" s="1"/>
      <c r="P4323" s="1"/>
      <c r="Q4323" s="1"/>
      <c r="R4323" s="1"/>
      <c r="Z4323" s="103"/>
      <c r="AA4323" s="103"/>
      <c r="AB4323" s="1"/>
    </row>
    <row r="4324" spans="15:28">
      <c r="O4324" s="1"/>
      <c r="P4324" s="1"/>
      <c r="Q4324" s="1"/>
      <c r="R4324" s="1"/>
      <c r="Z4324" s="103"/>
      <c r="AA4324" s="103"/>
      <c r="AB4324" s="1"/>
    </row>
    <row r="4325" spans="15:28">
      <c r="O4325" s="1"/>
      <c r="P4325" s="1"/>
      <c r="Q4325" s="1"/>
      <c r="R4325" s="1"/>
      <c r="Z4325" s="103"/>
      <c r="AA4325" s="103"/>
      <c r="AB4325" s="1"/>
    </row>
    <row r="4326" spans="15:28">
      <c r="O4326" s="1"/>
      <c r="P4326" s="1"/>
      <c r="Q4326" s="1"/>
      <c r="R4326" s="1"/>
      <c r="Z4326" s="103"/>
      <c r="AA4326" s="103"/>
      <c r="AB4326" s="1"/>
    </row>
    <row r="4327" spans="15:28">
      <c r="O4327" s="1"/>
      <c r="P4327" s="1"/>
      <c r="Q4327" s="1"/>
      <c r="R4327" s="1"/>
      <c r="Z4327" s="103"/>
      <c r="AA4327" s="103"/>
      <c r="AB4327" s="1"/>
    </row>
    <row r="4328" spans="15:28">
      <c r="O4328" s="1"/>
      <c r="P4328" s="1"/>
      <c r="Q4328" s="1"/>
      <c r="R4328" s="1"/>
      <c r="Z4328" s="103"/>
      <c r="AA4328" s="103"/>
      <c r="AB4328" s="1"/>
    </row>
    <row r="4329" spans="15:28">
      <c r="O4329" s="1"/>
      <c r="P4329" s="1"/>
      <c r="Q4329" s="1"/>
      <c r="R4329" s="1"/>
      <c r="Z4329" s="103"/>
      <c r="AA4329" s="103"/>
      <c r="AB4329" s="1"/>
    </row>
    <row r="4330" spans="15:28">
      <c r="O4330" s="1"/>
      <c r="P4330" s="1"/>
      <c r="Q4330" s="1"/>
      <c r="R4330" s="1"/>
      <c r="Z4330" s="103"/>
      <c r="AA4330" s="103"/>
      <c r="AB4330" s="1"/>
    </row>
    <row r="4331" spans="15:28">
      <c r="O4331" s="1"/>
      <c r="P4331" s="1"/>
      <c r="Q4331" s="1"/>
      <c r="R4331" s="1"/>
      <c r="Z4331" s="103"/>
      <c r="AA4331" s="103"/>
      <c r="AB4331" s="1"/>
    </row>
    <row r="4332" spans="15:28">
      <c r="O4332" s="1"/>
      <c r="P4332" s="1"/>
      <c r="Q4332" s="1"/>
      <c r="R4332" s="1"/>
      <c r="Z4332" s="103"/>
      <c r="AA4332" s="103"/>
      <c r="AB4332" s="1"/>
    </row>
    <row r="4333" spans="15:28">
      <c r="O4333" s="1"/>
      <c r="P4333" s="1"/>
      <c r="Q4333" s="1"/>
      <c r="R4333" s="1"/>
      <c r="Z4333" s="103"/>
      <c r="AA4333" s="103"/>
      <c r="AB4333" s="1"/>
    </row>
    <row r="4334" spans="15:28">
      <c r="O4334" s="1"/>
      <c r="P4334" s="1"/>
      <c r="Q4334" s="1"/>
      <c r="R4334" s="1"/>
      <c r="Z4334" s="103"/>
      <c r="AA4334" s="103"/>
      <c r="AB4334" s="1"/>
    </row>
    <row r="4335" spans="15:28">
      <c r="O4335" s="1"/>
      <c r="P4335" s="1"/>
      <c r="Q4335" s="1"/>
      <c r="R4335" s="1"/>
      <c r="Z4335" s="103"/>
      <c r="AA4335" s="103"/>
      <c r="AB4335" s="1"/>
    </row>
    <row r="4336" spans="15:28">
      <c r="O4336" s="1"/>
      <c r="P4336" s="1"/>
      <c r="Q4336" s="1"/>
      <c r="R4336" s="1"/>
      <c r="Z4336" s="103"/>
      <c r="AA4336" s="103"/>
      <c r="AB4336" s="1"/>
    </row>
    <row r="4337" spans="15:28">
      <c r="O4337" s="1"/>
      <c r="P4337" s="1"/>
      <c r="Q4337" s="1"/>
      <c r="R4337" s="1"/>
      <c r="Z4337" s="103"/>
      <c r="AA4337" s="103"/>
      <c r="AB4337" s="1"/>
    </row>
    <row r="4338" spans="15:28">
      <c r="O4338" s="1"/>
      <c r="P4338" s="1"/>
      <c r="Q4338" s="1"/>
      <c r="R4338" s="1"/>
      <c r="Z4338" s="103"/>
      <c r="AA4338" s="103"/>
      <c r="AB4338" s="1"/>
    </row>
    <row r="4339" spans="15:28">
      <c r="O4339" s="1"/>
      <c r="P4339" s="1"/>
      <c r="Q4339" s="1"/>
      <c r="R4339" s="1"/>
      <c r="Z4339" s="103"/>
      <c r="AA4339" s="103"/>
      <c r="AB4339" s="1"/>
    </row>
    <row r="4340" spans="15:28">
      <c r="O4340" s="1"/>
      <c r="P4340" s="1"/>
      <c r="Q4340" s="1"/>
      <c r="R4340" s="1"/>
      <c r="Z4340" s="103"/>
      <c r="AA4340" s="103"/>
      <c r="AB4340" s="1"/>
    </row>
    <row r="4341" spans="15:28">
      <c r="O4341" s="1"/>
      <c r="P4341" s="1"/>
      <c r="Q4341" s="1"/>
      <c r="R4341" s="1"/>
      <c r="Z4341" s="103"/>
      <c r="AA4341" s="103"/>
      <c r="AB4341" s="1"/>
    </row>
    <row r="4342" spans="15:28">
      <c r="O4342" s="1"/>
      <c r="P4342" s="1"/>
      <c r="Q4342" s="1"/>
      <c r="R4342" s="1"/>
      <c r="Z4342" s="103"/>
      <c r="AA4342" s="103"/>
      <c r="AB4342" s="1"/>
    </row>
    <row r="4343" spans="15:28">
      <c r="O4343" s="1"/>
      <c r="P4343" s="1"/>
      <c r="Q4343" s="1"/>
      <c r="R4343" s="1"/>
      <c r="Z4343" s="103"/>
      <c r="AA4343" s="103"/>
      <c r="AB4343" s="1"/>
    </row>
    <row r="4344" spans="15:28">
      <c r="O4344" s="1"/>
      <c r="P4344" s="1"/>
      <c r="Q4344" s="1"/>
      <c r="R4344" s="1"/>
      <c r="Z4344" s="103"/>
      <c r="AA4344" s="103"/>
      <c r="AB4344" s="1"/>
    </row>
    <row r="4345" spans="15:28">
      <c r="O4345" s="1"/>
      <c r="P4345" s="1"/>
      <c r="Q4345" s="1"/>
      <c r="R4345" s="1"/>
      <c r="Z4345" s="103"/>
      <c r="AA4345" s="103"/>
      <c r="AB4345" s="1"/>
    </row>
    <row r="4346" spans="15:28">
      <c r="O4346" s="1"/>
      <c r="P4346" s="1"/>
      <c r="Q4346" s="1"/>
      <c r="R4346" s="1"/>
      <c r="Z4346" s="103"/>
      <c r="AA4346" s="103"/>
      <c r="AB4346" s="1"/>
    </row>
    <row r="4347" spans="15:28">
      <c r="O4347" s="1"/>
      <c r="P4347" s="1"/>
      <c r="Q4347" s="1"/>
      <c r="R4347" s="1"/>
      <c r="Z4347" s="103"/>
      <c r="AA4347" s="103"/>
      <c r="AB4347" s="1"/>
    </row>
    <row r="4348" spans="15:28">
      <c r="O4348" s="1"/>
      <c r="P4348" s="1"/>
      <c r="Q4348" s="1"/>
      <c r="R4348" s="1"/>
      <c r="Z4348" s="103"/>
      <c r="AA4348" s="103"/>
      <c r="AB4348" s="1"/>
    </row>
    <row r="4349" spans="15:28">
      <c r="O4349" s="1"/>
      <c r="P4349" s="1"/>
      <c r="Q4349" s="1"/>
      <c r="R4349" s="1"/>
      <c r="Z4349" s="103"/>
      <c r="AA4349" s="103"/>
      <c r="AB4349" s="1"/>
    </row>
    <row r="4350" spans="15:28">
      <c r="O4350" s="1"/>
      <c r="P4350" s="1"/>
      <c r="Q4350" s="1"/>
      <c r="R4350" s="1"/>
      <c r="Z4350" s="103"/>
      <c r="AA4350" s="103"/>
      <c r="AB4350" s="1"/>
    </row>
    <row r="4351" spans="15:28">
      <c r="O4351" s="1"/>
      <c r="P4351" s="1"/>
      <c r="Q4351" s="1"/>
      <c r="R4351" s="1"/>
      <c r="Z4351" s="103"/>
      <c r="AA4351" s="103"/>
      <c r="AB4351" s="1"/>
    </row>
    <row r="4352" spans="15:28">
      <c r="O4352" s="1"/>
      <c r="P4352" s="1"/>
      <c r="Q4352" s="1"/>
      <c r="R4352" s="1"/>
      <c r="Z4352" s="103"/>
      <c r="AA4352" s="103"/>
      <c r="AB4352" s="1"/>
    </row>
    <row r="4353" spans="15:28">
      <c r="O4353" s="1"/>
      <c r="P4353" s="1"/>
      <c r="Q4353" s="1"/>
      <c r="R4353" s="1"/>
      <c r="Z4353" s="103"/>
      <c r="AA4353" s="103"/>
      <c r="AB4353" s="1"/>
    </row>
    <row r="4354" spans="15:28">
      <c r="O4354" s="1"/>
      <c r="P4354" s="1"/>
      <c r="Q4354" s="1"/>
      <c r="R4354" s="1"/>
      <c r="Z4354" s="103"/>
      <c r="AA4354" s="103"/>
      <c r="AB4354" s="1"/>
    </row>
    <row r="4355" spans="15:28">
      <c r="O4355" s="1"/>
      <c r="P4355" s="1"/>
      <c r="Q4355" s="1"/>
      <c r="R4355" s="1"/>
      <c r="Z4355" s="103"/>
      <c r="AA4355" s="103"/>
      <c r="AB4355" s="1"/>
    </row>
    <row r="4356" spans="15:28">
      <c r="O4356" s="1"/>
      <c r="P4356" s="1"/>
      <c r="Q4356" s="1"/>
      <c r="R4356" s="1"/>
      <c r="Z4356" s="103"/>
      <c r="AA4356" s="103"/>
      <c r="AB4356" s="1"/>
    </row>
    <row r="4357" spans="15:28">
      <c r="O4357" s="1"/>
      <c r="P4357" s="1"/>
      <c r="Q4357" s="1"/>
      <c r="R4357" s="1"/>
      <c r="Z4357" s="103"/>
      <c r="AA4357" s="103"/>
      <c r="AB4357" s="1"/>
    </row>
    <row r="4358" spans="15:28">
      <c r="O4358" s="1"/>
      <c r="P4358" s="1"/>
      <c r="Q4358" s="1"/>
      <c r="R4358" s="1"/>
      <c r="Z4358" s="103"/>
      <c r="AA4358" s="103"/>
      <c r="AB4358" s="1"/>
    </row>
    <row r="4359" spans="15:28">
      <c r="O4359" s="1"/>
      <c r="P4359" s="1"/>
      <c r="Q4359" s="1"/>
      <c r="R4359" s="1"/>
      <c r="Z4359" s="103"/>
      <c r="AA4359" s="103"/>
      <c r="AB4359" s="1"/>
    </row>
    <row r="4360" spans="15:28">
      <c r="O4360" s="1"/>
      <c r="P4360" s="1"/>
      <c r="Q4360" s="1"/>
      <c r="R4360" s="1"/>
      <c r="Z4360" s="103"/>
      <c r="AA4360" s="103"/>
      <c r="AB4360" s="1"/>
    </row>
    <row r="4361" spans="15:28">
      <c r="O4361" s="1"/>
      <c r="P4361" s="1"/>
      <c r="Q4361" s="1"/>
      <c r="R4361" s="1"/>
      <c r="Z4361" s="103"/>
      <c r="AA4361" s="103"/>
      <c r="AB4361" s="1"/>
    </row>
    <row r="4362" spans="15:28">
      <c r="O4362" s="1"/>
      <c r="P4362" s="1"/>
      <c r="Q4362" s="1"/>
      <c r="R4362" s="1"/>
      <c r="Z4362" s="103"/>
      <c r="AA4362" s="103"/>
      <c r="AB4362" s="1"/>
    </row>
    <row r="4363" spans="15:28">
      <c r="O4363" s="1"/>
      <c r="P4363" s="1"/>
      <c r="Q4363" s="1"/>
      <c r="R4363" s="1"/>
      <c r="Z4363" s="103"/>
      <c r="AA4363" s="103"/>
      <c r="AB4363" s="1"/>
    </row>
    <row r="4364" spans="15:28">
      <c r="O4364" s="1"/>
      <c r="P4364" s="1"/>
      <c r="Q4364" s="1"/>
      <c r="R4364" s="1"/>
      <c r="Z4364" s="103"/>
      <c r="AA4364" s="103"/>
      <c r="AB4364" s="1"/>
    </row>
    <row r="4365" spans="15:28">
      <c r="O4365" s="1"/>
      <c r="P4365" s="1"/>
      <c r="Q4365" s="1"/>
      <c r="R4365" s="1"/>
      <c r="Z4365" s="103"/>
      <c r="AA4365" s="103"/>
      <c r="AB4365" s="1"/>
    </row>
    <row r="4366" spans="15:28">
      <c r="O4366" s="1"/>
      <c r="P4366" s="1"/>
      <c r="Q4366" s="1"/>
      <c r="R4366" s="1"/>
      <c r="Z4366" s="103"/>
      <c r="AA4366" s="103"/>
      <c r="AB4366" s="1"/>
    </row>
    <row r="4367" spans="15:28">
      <c r="O4367" s="1"/>
      <c r="P4367" s="1"/>
      <c r="Q4367" s="1"/>
      <c r="R4367" s="1"/>
      <c r="Z4367" s="103"/>
      <c r="AA4367" s="103"/>
      <c r="AB4367" s="1"/>
    </row>
    <row r="4368" spans="15:28">
      <c r="O4368" s="1"/>
      <c r="P4368" s="1"/>
      <c r="Q4368" s="1"/>
      <c r="R4368" s="1"/>
      <c r="Z4368" s="103"/>
      <c r="AA4368" s="103"/>
      <c r="AB4368" s="1"/>
    </row>
    <row r="4369" spans="15:28">
      <c r="O4369" s="1"/>
      <c r="P4369" s="1"/>
      <c r="Q4369" s="1"/>
      <c r="R4369" s="1"/>
      <c r="Z4369" s="103"/>
      <c r="AA4369" s="103"/>
      <c r="AB4369" s="1"/>
    </row>
    <row r="4370" spans="15:28">
      <c r="O4370" s="1"/>
      <c r="P4370" s="1"/>
      <c r="Q4370" s="1"/>
      <c r="R4370" s="1"/>
      <c r="Z4370" s="103"/>
      <c r="AA4370" s="103"/>
      <c r="AB4370" s="1"/>
    </row>
    <row r="4371" spans="15:28">
      <c r="O4371" s="1"/>
      <c r="P4371" s="1"/>
      <c r="Q4371" s="1"/>
      <c r="R4371" s="1"/>
      <c r="Z4371" s="103"/>
      <c r="AA4371" s="103"/>
      <c r="AB4371" s="1"/>
    </row>
    <row r="4372" spans="15:28">
      <c r="O4372" s="1"/>
      <c r="P4372" s="1"/>
      <c r="Q4372" s="1"/>
      <c r="R4372" s="1"/>
      <c r="Z4372" s="103"/>
      <c r="AA4372" s="103"/>
      <c r="AB4372" s="1"/>
    </row>
    <row r="4373" spans="15:28">
      <c r="O4373" s="1"/>
      <c r="P4373" s="1"/>
      <c r="Q4373" s="1"/>
      <c r="R4373" s="1"/>
      <c r="Z4373" s="103"/>
      <c r="AA4373" s="103"/>
      <c r="AB4373" s="1"/>
    </row>
    <row r="4374" spans="15:28">
      <c r="O4374" s="1"/>
      <c r="P4374" s="1"/>
      <c r="Q4374" s="1"/>
      <c r="R4374" s="1"/>
      <c r="Z4374" s="103"/>
      <c r="AA4374" s="103"/>
      <c r="AB4374" s="1"/>
    </row>
    <row r="4375" spans="15:28">
      <c r="O4375" s="1"/>
      <c r="P4375" s="1"/>
      <c r="Q4375" s="1"/>
      <c r="R4375" s="1"/>
      <c r="Z4375" s="103"/>
      <c r="AA4375" s="103"/>
      <c r="AB4375" s="1"/>
    </row>
    <row r="4376" spans="15:28">
      <c r="O4376" s="1"/>
      <c r="P4376" s="1"/>
      <c r="Q4376" s="1"/>
      <c r="R4376" s="1"/>
      <c r="Z4376" s="103"/>
      <c r="AA4376" s="103"/>
      <c r="AB4376" s="1"/>
    </row>
    <row r="4377" spans="15:28">
      <c r="O4377" s="1"/>
      <c r="P4377" s="1"/>
      <c r="Q4377" s="1"/>
      <c r="R4377" s="1"/>
      <c r="Z4377" s="103"/>
      <c r="AA4377" s="103"/>
      <c r="AB4377" s="1"/>
    </row>
    <row r="4378" spans="15:28">
      <c r="O4378" s="1"/>
      <c r="P4378" s="1"/>
      <c r="Q4378" s="1"/>
      <c r="R4378" s="1"/>
      <c r="Z4378" s="103"/>
      <c r="AA4378" s="103"/>
      <c r="AB4378" s="1"/>
    </row>
    <row r="4379" spans="15:28">
      <c r="O4379" s="1"/>
      <c r="P4379" s="1"/>
      <c r="Q4379" s="1"/>
      <c r="R4379" s="1"/>
      <c r="Z4379" s="103"/>
      <c r="AA4379" s="103"/>
      <c r="AB4379" s="1"/>
    </row>
    <row r="4380" spans="15:28">
      <c r="O4380" s="1"/>
      <c r="P4380" s="1"/>
      <c r="Q4380" s="1"/>
      <c r="R4380" s="1"/>
      <c r="Z4380" s="103"/>
      <c r="AA4380" s="103"/>
      <c r="AB4380" s="1"/>
    </row>
    <row r="4381" spans="15:28">
      <c r="O4381" s="1"/>
      <c r="P4381" s="1"/>
      <c r="Q4381" s="1"/>
      <c r="R4381" s="1"/>
      <c r="Z4381" s="103"/>
      <c r="AA4381" s="103"/>
      <c r="AB4381" s="1"/>
    </row>
    <row r="4382" spans="15:28">
      <c r="O4382" s="1"/>
      <c r="P4382" s="1"/>
      <c r="Q4382" s="1"/>
      <c r="R4382" s="1"/>
      <c r="Z4382" s="103"/>
      <c r="AA4382" s="103"/>
      <c r="AB4382" s="1"/>
    </row>
    <row r="4383" spans="15:28">
      <c r="O4383" s="1"/>
      <c r="P4383" s="1"/>
      <c r="Q4383" s="1"/>
      <c r="R4383" s="1"/>
      <c r="Z4383" s="103"/>
      <c r="AA4383" s="103"/>
      <c r="AB4383" s="1"/>
    </row>
    <row r="4384" spans="15:28">
      <c r="O4384" s="1"/>
      <c r="P4384" s="1"/>
      <c r="Q4384" s="1"/>
      <c r="R4384" s="1"/>
      <c r="Z4384" s="103"/>
      <c r="AA4384" s="103"/>
      <c r="AB4384" s="1"/>
    </row>
    <row r="4385" spans="15:30">
      <c r="O4385" s="1"/>
      <c r="P4385" s="1"/>
      <c r="Q4385" s="1"/>
      <c r="R4385" s="1"/>
      <c r="Z4385" s="103"/>
      <c r="AA4385" s="103"/>
      <c r="AB4385" s="1"/>
    </row>
    <row r="4386" spans="15:30">
      <c r="O4386" s="1"/>
      <c r="P4386" s="1"/>
      <c r="Q4386" s="1"/>
      <c r="R4386" s="1"/>
      <c r="Z4386" s="103"/>
      <c r="AA4386" s="103"/>
      <c r="AB4386" s="1"/>
    </row>
    <row r="4387" spans="15:30">
      <c r="O4387" s="1"/>
      <c r="P4387" s="1"/>
      <c r="Q4387" s="1"/>
      <c r="R4387" s="1"/>
      <c r="Z4387" s="103"/>
      <c r="AA4387" s="103"/>
      <c r="AB4387" s="1"/>
    </row>
    <row r="4388" spans="15:30">
      <c r="O4388" s="1"/>
      <c r="P4388" s="1"/>
      <c r="Q4388" s="1"/>
      <c r="R4388" s="1"/>
      <c r="Z4388" s="103"/>
      <c r="AA4388" s="103"/>
      <c r="AB4388" s="1"/>
    </row>
    <row r="4389" spans="15:30">
      <c r="O4389" s="1"/>
      <c r="P4389" s="1"/>
      <c r="Q4389" s="1"/>
      <c r="R4389" s="1"/>
      <c r="Z4389" s="103"/>
      <c r="AA4389" s="103"/>
      <c r="AB4389" s="1"/>
    </row>
    <row r="4390" spans="15:30">
      <c r="O4390" s="1"/>
      <c r="P4390" s="1"/>
      <c r="Q4390" s="1"/>
      <c r="R4390" s="1"/>
      <c r="Z4390" s="103"/>
      <c r="AA4390" s="103"/>
      <c r="AB4390" s="1"/>
    </row>
    <row r="4391" spans="15:30">
      <c r="O4391" s="1"/>
      <c r="P4391" s="1"/>
      <c r="Q4391" s="1"/>
      <c r="R4391" s="1"/>
      <c r="Z4391" s="103"/>
      <c r="AA4391" s="103"/>
      <c r="AB4391" s="1"/>
    </row>
    <row r="4392" spans="15:30">
      <c r="O4392" s="1"/>
      <c r="P4392" s="1"/>
      <c r="Q4392" s="1"/>
      <c r="R4392" s="1"/>
      <c r="Z4392" s="103"/>
      <c r="AA4392" s="103"/>
      <c r="AB4392" s="1"/>
    </row>
    <row r="4393" spans="15:30">
      <c r="O4393" s="1"/>
      <c r="P4393" s="1"/>
      <c r="Q4393" s="1"/>
      <c r="R4393" s="1"/>
      <c r="Z4393" s="103"/>
      <c r="AA4393" s="103"/>
      <c r="AB4393" s="1"/>
    </row>
    <row r="4394" spans="15:30">
      <c r="O4394" s="1"/>
      <c r="P4394" s="1"/>
      <c r="Q4394" s="1"/>
      <c r="R4394" s="1"/>
      <c r="Z4394" s="103"/>
      <c r="AA4394" s="103"/>
      <c r="AB4394" s="1"/>
    </row>
    <row r="4395" spans="15:30">
      <c r="O4395" s="1"/>
      <c r="P4395" s="1"/>
      <c r="Q4395" s="1"/>
      <c r="R4395" s="1"/>
      <c r="Z4395" s="103"/>
      <c r="AA4395" s="103"/>
      <c r="AB4395" s="1"/>
      <c r="AD4395" s="102"/>
    </row>
    <row r="4396" spans="15:30">
      <c r="O4396" s="1"/>
      <c r="P4396" s="1"/>
      <c r="Q4396" s="1"/>
      <c r="R4396" s="1"/>
      <c r="Z4396" s="103"/>
      <c r="AA4396" s="103"/>
      <c r="AB4396" s="1"/>
    </row>
    <row r="4397" spans="15:30">
      <c r="O4397" s="1"/>
      <c r="P4397" s="1"/>
      <c r="Q4397" s="1"/>
      <c r="R4397" s="1"/>
      <c r="Z4397" s="103"/>
      <c r="AA4397" s="103"/>
      <c r="AB4397" s="1"/>
    </row>
    <row r="4398" spans="15:30">
      <c r="O4398" s="1"/>
      <c r="P4398" s="1"/>
      <c r="Q4398" s="1"/>
      <c r="R4398" s="1"/>
      <c r="Z4398" s="103"/>
      <c r="AA4398" s="103"/>
      <c r="AB4398" s="1"/>
    </row>
    <row r="4399" spans="15:30">
      <c r="O4399" s="1"/>
      <c r="P4399" s="1"/>
      <c r="Q4399" s="1"/>
      <c r="R4399" s="1"/>
      <c r="Z4399" s="103"/>
      <c r="AA4399" s="103"/>
      <c r="AB4399" s="1"/>
    </row>
    <row r="4400" spans="15:30">
      <c r="O4400" s="1"/>
      <c r="P4400" s="1"/>
      <c r="Q4400" s="1"/>
      <c r="R4400" s="1"/>
      <c r="Z4400" s="103"/>
      <c r="AA4400" s="103"/>
      <c r="AB4400" s="1"/>
    </row>
    <row r="4401" spans="15:30">
      <c r="O4401" s="1"/>
      <c r="P4401" s="1"/>
      <c r="Q4401" s="1"/>
      <c r="R4401" s="1"/>
      <c r="Z4401" s="103"/>
      <c r="AA4401" s="103"/>
      <c r="AB4401" s="1"/>
    </row>
    <row r="4402" spans="15:30">
      <c r="O4402" s="1"/>
      <c r="P4402" s="1"/>
      <c r="Q4402" s="1"/>
      <c r="R4402" s="1"/>
      <c r="Z4402" s="103"/>
      <c r="AA4402" s="103"/>
      <c r="AB4402" s="1"/>
    </row>
    <row r="4403" spans="15:30">
      <c r="O4403" s="1"/>
      <c r="P4403" s="1"/>
      <c r="Q4403" s="1"/>
      <c r="R4403" s="1"/>
      <c r="Z4403" s="103"/>
      <c r="AA4403" s="103"/>
      <c r="AB4403" s="1"/>
    </row>
    <row r="4404" spans="15:30">
      <c r="O4404" s="1"/>
      <c r="P4404" s="1"/>
      <c r="Q4404" s="1"/>
      <c r="R4404" s="1"/>
      <c r="Z4404" s="103"/>
      <c r="AA4404" s="103"/>
      <c r="AB4404" s="1"/>
    </row>
    <row r="4405" spans="15:30">
      <c r="O4405" s="1"/>
      <c r="P4405" s="1"/>
      <c r="Q4405" s="1"/>
      <c r="R4405" s="1"/>
      <c r="Z4405" s="103"/>
      <c r="AA4405" s="103"/>
      <c r="AB4405" s="1"/>
    </row>
    <row r="4406" spans="15:30">
      <c r="O4406" s="1"/>
      <c r="P4406" s="1"/>
      <c r="Q4406" s="1"/>
      <c r="R4406" s="1"/>
      <c r="Z4406" s="103"/>
      <c r="AA4406" s="103"/>
      <c r="AB4406" s="1"/>
    </row>
    <row r="4407" spans="15:30">
      <c r="O4407" s="1"/>
      <c r="P4407" s="1"/>
      <c r="Q4407" s="1"/>
      <c r="R4407" s="1"/>
      <c r="Z4407" s="103"/>
      <c r="AA4407" s="103"/>
      <c r="AB4407" s="1"/>
    </row>
    <row r="4408" spans="15:30">
      <c r="O4408" s="1"/>
      <c r="P4408" s="1"/>
      <c r="Q4408" s="1"/>
      <c r="R4408" s="1"/>
      <c r="Z4408" s="103"/>
      <c r="AA4408" s="103"/>
      <c r="AB4408" s="1"/>
    </row>
    <row r="4409" spans="15:30">
      <c r="O4409" s="1"/>
      <c r="P4409" s="1"/>
      <c r="Q4409" s="1"/>
      <c r="R4409" s="1"/>
      <c r="Z4409" s="103"/>
      <c r="AA4409" s="103"/>
      <c r="AB4409" s="1"/>
    </row>
    <row r="4410" spans="15:30">
      <c r="O4410" s="1"/>
      <c r="P4410" s="1"/>
      <c r="Q4410" s="1"/>
      <c r="R4410" s="1"/>
      <c r="Z4410" s="103"/>
      <c r="AA4410" s="103"/>
      <c r="AB4410" s="1"/>
    </row>
    <row r="4411" spans="15:30">
      <c r="O4411" s="1"/>
      <c r="P4411" s="1"/>
      <c r="Q4411" s="1"/>
      <c r="R4411" s="1"/>
      <c r="Z4411" s="103"/>
      <c r="AA4411" s="103"/>
      <c r="AB4411" s="1"/>
    </row>
    <row r="4412" spans="15:30">
      <c r="O4412" s="1"/>
      <c r="P4412" s="1"/>
      <c r="Q4412" s="1"/>
      <c r="R4412" s="1"/>
      <c r="Z4412" s="103"/>
      <c r="AA4412" s="103"/>
      <c r="AB4412" s="1"/>
      <c r="AD4412" s="102"/>
    </row>
    <row r="4413" spans="15:30">
      <c r="O4413" s="1"/>
      <c r="P4413" s="1"/>
      <c r="Q4413" s="1"/>
      <c r="R4413" s="1"/>
      <c r="Z4413" s="103"/>
      <c r="AA4413" s="103"/>
      <c r="AB4413" s="1"/>
    </row>
    <row r="4414" spans="15:30">
      <c r="O4414" s="1"/>
      <c r="P4414" s="1"/>
      <c r="Q4414" s="1"/>
      <c r="R4414" s="1"/>
      <c r="Z4414" s="103"/>
      <c r="AA4414" s="103"/>
      <c r="AB4414" s="1"/>
    </row>
    <row r="4415" spans="15:30">
      <c r="O4415" s="1"/>
      <c r="P4415" s="1"/>
      <c r="Q4415" s="1"/>
      <c r="R4415" s="1"/>
      <c r="Z4415" s="103"/>
      <c r="AA4415" s="103"/>
      <c r="AB4415" s="1"/>
    </row>
    <row r="4416" spans="15:30">
      <c r="O4416" s="1"/>
      <c r="P4416" s="1"/>
      <c r="Q4416" s="1"/>
      <c r="R4416" s="1"/>
      <c r="Z4416" s="103"/>
      <c r="AA4416" s="103"/>
      <c r="AB4416" s="1"/>
    </row>
    <row r="4417" spans="15:28">
      <c r="O4417" s="1"/>
      <c r="P4417" s="1"/>
      <c r="Q4417" s="1"/>
      <c r="R4417" s="1"/>
      <c r="Z4417" s="103"/>
      <c r="AA4417" s="103"/>
      <c r="AB4417" s="1"/>
    </row>
    <row r="4418" spans="15:28">
      <c r="O4418" s="1"/>
      <c r="P4418" s="1"/>
      <c r="Q4418" s="1"/>
      <c r="R4418" s="1"/>
      <c r="Z4418" s="103"/>
      <c r="AA4418" s="103"/>
      <c r="AB4418" s="1"/>
    </row>
    <row r="4419" spans="15:28">
      <c r="O4419" s="1"/>
      <c r="P4419" s="1"/>
      <c r="Q4419" s="1"/>
      <c r="R4419" s="1"/>
      <c r="Z4419" s="103"/>
      <c r="AA4419" s="103"/>
      <c r="AB4419" s="1"/>
    </row>
    <row r="4420" spans="15:28">
      <c r="O4420" s="1"/>
      <c r="P4420" s="1"/>
      <c r="Q4420" s="1"/>
      <c r="R4420" s="1"/>
      <c r="Z4420" s="103"/>
      <c r="AA4420" s="103"/>
      <c r="AB4420" s="1"/>
    </row>
    <row r="4421" spans="15:28">
      <c r="O4421" s="1"/>
      <c r="P4421" s="1"/>
      <c r="Q4421" s="1"/>
      <c r="R4421" s="1"/>
      <c r="Z4421" s="103"/>
      <c r="AA4421" s="103"/>
      <c r="AB4421" s="1"/>
    </row>
    <row r="4422" spans="15:28">
      <c r="O4422" s="1"/>
      <c r="P4422" s="1"/>
      <c r="Q4422" s="1"/>
      <c r="R4422" s="1"/>
      <c r="Z4422" s="103"/>
      <c r="AA4422" s="103"/>
      <c r="AB4422" s="1"/>
    </row>
    <row r="4423" spans="15:28">
      <c r="O4423" s="1"/>
      <c r="P4423" s="1"/>
      <c r="Q4423" s="1"/>
      <c r="R4423" s="1"/>
      <c r="Z4423" s="103"/>
      <c r="AA4423" s="103"/>
      <c r="AB4423" s="1"/>
    </row>
    <row r="4424" spans="15:28">
      <c r="O4424" s="1"/>
      <c r="P4424" s="1"/>
      <c r="Q4424" s="1"/>
      <c r="R4424" s="1"/>
      <c r="Z4424" s="103"/>
      <c r="AA4424" s="103"/>
      <c r="AB4424" s="1"/>
    </row>
    <row r="4425" spans="15:28">
      <c r="O4425" s="1"/>
      <c r="P4425" s="1"/>
      <c r="Q4425" s="1"/>
      <c r="R4425" s="1"/>
      <c r="Z4425" s="103"/>
      <c r="AA4425" s="103"/>
      <c r="AB4425" s="1"/>
    </row>
    <row r="4426" spans="15:28">
      <c r="O4426" s="1"/>
      <c r="P4426" s="1"/>
      <c r="Q4426" s="1"/>
      <c r="R4426" s="1"/>
      <c r="Z4426" s="103"/>
      <c r="AA4426" s="103"/>
      <c r="AB4426" s="1"/>
    </row>
    <row r="4427" spans="15:28">
      <c r="O4427" s="1"/>
      <c r="P4427" s="1"/>
      <c r="Q4427" s="1"/>
      <c r="R4427" s="1"/>
      <c r="Z4427" s="103"/>
      <c r="AA4427" s="103"/>
      <c r="AB4427" s="1"/>
    </row>
    <row r="4428" spans="15:28">
      <c r="O4428" s="1"/>
      <c r="P4428" s="1"/>
      <c r="Q4428" s="1"/>
      <c r="R4428" s="1"/>
      <c r="Z4428" s="103"/>
      <c r="AA4428" s="103"/>
      <c r="AB4428" s="1"/>
    </row>
    <row r="4429" spans="15:28">
      <c r="O4429" s="1"/>
      <c r="P4429" s="1"/>
      <c r="Q4429" s="1"/>
      <c r="R4429" s="1"/>
      <c r="Z4429" s="103"/>
      <c r="AA4429" s="103"/>
      <c r="AB4429" s="1"/>
    </row>
    <row r="4430" spans="15:28">
      <c r="O4430" s="1"/>
      <c r="P4430" s="1"/>
      <c r="Q4430" s="1"/>
      <c r="R4430" s="1"/>
      <c r="Z4430" s="103"/>
      <c r="AA4430" s="103"/>
      <c r="AB4430" s="1"/>
    </row>
    <row r="4431" spans="15:28">
      <c r="O4431" s="1"/>
      <c r="P4431" s="1"/>
      <c r="Q4431" s="1"/>
      <c r="R4431" s="1"/>
      <c r="Z4431" s="103"/>
      <c r="AA4431" s="103"/>
      <c r="AB4431" s="1"/>
    </row>
    <row r="4432" spans="15:28">
      <c r="O4432" s="1"/>
      <c r="P4432" s="1"/>
      <c r="Q4432" s="1"/>
      <c r="R4432" s="1"/>
      <c r="Z4432" s="103"/>
      <c r="AA4432" s="103"/>
      <c r="AB4432" s="1"/>
    </row>
    <row r="4433" spans="15:30">
      <c r="O4433" s="1"/>
      <c r="P4433" s="1"/>
      <c r="Q4433" s="1"/>
      <c r="R4433" s="1"/>
      <c r="Z4433" s="103"/>
      <c r="AA4433" s="103"/>
      <c r="AB4433" s="1"/>
    </row>
    <row r="4434" spans="15:30">
      <c r="O4434" s="1"/>
      <c r="P4434" s="1"/>
      <c r="Q4434" s="1"/>
      <c r="R4434" s="1"/>
      <c r="Z4434" s="103"/>
      <c r="AA4434" s="103"/>
      <c r="AB4434" s="1"/>
    </row>
    <row r="4435" spans="15:30">
      <c r="O4435" s="1"/>
      <c r="P4435" s="1"/>
      <c r="Q4435" s="1"/>
      <c r="R4435" s="1"/>
      <c r="Z4435" s="103"/>
      <c r="AA4435" s="103"/>
      <c r="AB4435" s="1"/>
    </row>
    <row r="4436" spans="15:30">
      <c r="O4436" s="1"/>
      <c r="P4436" s="1"/>
      <c r="Q4436" s="1"/>
      <c r="R4436" s="1"/>
      <c r="Z4436" s="103"/>
      <c r="AA4436" s="103"/>
      <c r="AB4436" s="1"/>
    </row>
    <row r="4437" spans="15:30">
      <c r="O4437" s="1"/>
      <c r="P4437" s="1"/>
      <c r="Q4437" s="1"/>
      <c r="R4437" s="1"/>
      <c r="Z4437" s="103"/>
      <c r="AA4437" s="103"/>
      <c r="AB4437" s="1"/>
    </row>
    <row r="4438" spans="15:30">
      <c r="O4438" s="1"/>
      <c r="P4438" s="1"/>
      <c r="Q4438" s="1"/>
      <c r="R4438" s="1"/>
      <c r="Z4438" s="103"/>
      <c r="AA4438" s="103"/>
      <c r="AB4438" s="1"/>
    </row>
    <row r="4439" spans="15:30">
      <c r="O4439" s="1"/>
      <c r="P4439" s="1"/>
      <c r="Q4439" s="1"/>
      <c r="R4439" s="1"/>
      <c r="Z4439" s="103"/>
      <c r="AA4439" s="103"/>
      <c r="AB4439" s="1"/>
    </row>
    <row r="4440" spans="15:30">
      <c r="O4440" s="1"/>
      <c r="P4440" s="1"/>
      <c r="Q4440" s="1"/>
      <c r="R4440" s="1"/>
      <c r="Z4440" s="103"/>
      <c r="AA4440" s="103"/>
      <c r="AB4440" s="1"/>
    </row>
    <row r="4441" spans="15:30">
      <c r="O4441" s="1"/>
      <c r="P4441" s="1"/>
      <c r="Q4441" s="1"/>
      <c r="R4441" s="1"/>
      <c r="Z4441" s="103"/>
      <c r="AA4441" s="103"/>
      <c r="AB4441" s="1"/>
      <c r="AD4441" s="102"/>
    </row>
    <row r="4442" spans="15:30">
      <c r="O4442" s="1"/>
      <c r="P4442" s="1"/>
      <c r="Q4442" s="1"/>
      <c r="R4442" s="1"/>
      <c r="Z4442" s="103"/>
      <c r="AA4442" s="103"/>
      <c r="AB4442" s="1"/>
    </row>
    <row r="4443" spans="15:30">
      <c r="O4443" s="1"/>
      <c r="P4443" s="1"/>
      <c r="Q4443" s="1"/>
      <c r="R4443" s="1"/>
      <c r="Z4443" s="103"/>
      <c r="AA4443" s="103"/>
      <c r="AB4443" s="1"/>
    </row>
    <row r="4444" spans="15:30">
      <c r="O4444" s="1"/>
      <c r="P4444" s="1"/>
      <c r="Q4444" s="1"/>
      <c r="R4444" s="1"/>
      <c r="Z4444" s="103"/>
      <c r="AA4444" s="103"/>
      <c r="AB4444" s="1"/>
    </row>
    <row r="4445" spans="15:30">
      <c r="O4445" s="1"/>
      <c r="P4445" s="1"/>
      <c r="Q4445" s="1"/>
      <c r="R4445" s="1"/>
      <c r="Z4445" s="103"/>
      <c r="AA4445" s="103"/>
      <c r="AB4445" s="1"/>
    </row>
    <row r="4446" spans="15:30">
      <c r="O4446" s="1"/>
      <c r="P4446" s="1"/>
      <c r="Q4446" s="1"/>
      <c r="R4446" s="1"/>
      <c r="Z4446" s="103"/>
      <c r="AA4446" s="103"/>
      <c r="AB4446" s="1"/>
    </row>
    <row r="4447" spans="15:30">
      <c r="O4447" s="1"/>
      <c r="P4447" s="1"/>
      <c r="Q4447" s="1"/>
      <c r="R4447" s="1"/>
      <c r="Z4447" s="103"/>
      <c r="AA4447" s="103"/>
      <c r="AB4447" s="1"/>
    </row>
    <row r="4448" spans="15:30">
      <c r="O4448" s="1"/>
      <c r="P4448" s="1"/>
      <c r="Q4448" s="1"/>
      <c r="R4448" s="1"/>
      <c r="Z4448" s="103"/>
      <c r="AA4448" s="103"/>
      <c r="AB4448" s="1"/>
    </row>
    <row r="4449" spans="15:30">
      <c r="O4449" s="1"/>
      <c r="P4449" s="1"/>
      <c r="Q4449" s="1"/>
      <c r="R4449" s="1"/>
      <c r="Z4449" s="103"/>
      <c r="AA4449" s="103"/>
      <c r="AB4449" s="1"/>
    </row>
    <row r="4450" spans="15:30">
      <c r="O4450" s="1"/>
      <c r="P4450" s="1"/>
      <c r="Q4450" s="1"/>
      <c r="R4450" s="1"/>
      <c r="Z4450" s="103"/>
      <c r="AA4450" s="103"/>
      <c r="AB4450" s="1"/>
    </row>
    <row r="4451" spans="15:30">
      <c r="O4451" s="1"/>
      <c r="P4451" s="1"/>
      <c r="Q4451" s="1"/>
      <c r="R4451" s="1"/>
      <c r="Z4451" s="103"/>
      <c r="AA4451" s="103"/>
      <c r="AB4451" s="1"/>
    </row>
    <row r="4452" spans="15:30">
      <c r="O4452" s="1"/>
      <c r="P4452" s="1"/>
      <c r="Q4452" s="1"/>
      <c r="R4452" s="1"/>
      <c r="Z4452" s="103"/>
      <c r="AA4452" s="103"/>
      <c r="AB4452" s="1"/>
    </row>
    <row r="4453" spans="15:30">
      <c r="O4453" s="1"/>
      <c r="P4453" s="1"/>
      <c r="Q4453" s="1"/>
      <c r="R4453" s="1"/>
      <c r="Z4453" s="103"/>
      <c r="AA4453" s="103"/>
      <c r="AB4453" s="1"/>
    </row>
    <row r="4454" spans="15:30">
      <c r="O4454" s="1"/>
      <c r="P4454" s="1"/>
      <c r="Q4454" s="1"/>
      <c r="R4454" s="1"/>
      <c r="Z4454" s="103"/>
      <c r="AA4454" s="103"/>
      <c r="AB4454" s="1"/>
    </row>
    <row r="4455" spans="15:30">
      <c r="O4455" s="1"/>
      <c r="P4455" s="1"/>
      <c r="Q4455" s="1"/>
      <c r="R4455" s="1"/>
      <c r="Z4455" s="103"/>
      <c r="AA4455" s="103"/>
      <c r="AB4455" s="1"/>
    </row>
    <row r="4456" spans="15:30">
      <c r="O4456" s="1"/>
      <c r="P4456" s="1"/>
      <c r="Q4456" s="1"/>
      <c r="R4456" s="1"/>
      <c r="Z4456" s="103"/>
      <c r="AA4456" s="103"/>
      <c r="AB4456" s="1"/>
    </row>
    <row r="4457" spans="15:30">
      <c r="O4457" s="1"/>
      <c r="P4457" s="1"/>
      <c r="Q4457" s="1"/>
      <c r="R4457" s="1"/>
      <c r="Z4457" s="103"/>
      <c r="AA4457" s="103"/>
      <c r="AB4457" s="1"/>
    </row>
    <row r="4458" spans="15:30">
      <c r="O4458" s="1"/>
      <c r="P4458" s="1"/>
      <c r="Q4458" s="1"/>
      <c r="R4458" s="1"/>
      <c r="Z4458" s="103"/>
      <c r="AA4458" s="103"/>
      <c r="AB4458" s="1"/>
    </row>
    <row r="4459" spans="15:30">
      <c r="O4459" s="1"/>
      <c r="P4459" s="1"/>
      <c r="Q4459" s="1"/>
      <c r="R4459" s="1"/>
      <c r="Z4459" s="103"/>
      <c r="AA4459" s="103"/>
      <c r="AB4459" s="1"/>
    </row>
    <row r="4460" spans="15:30">
      <c r="O4460" s="1"/>
      <c r="P4460" s="1"/>
      <c r="Q4460" s="1"/>
      <c r="R4460" s="1"/>
      <c r="Z4460" s="103"/>
      <c r="AA4460" s="103"/>
      <c r="AB4460" s="1"/>
    </row>
    <row r="4461" spans="15:30">
      <c r="O4461" s="1"/>
      <c r="P4461" s="1"/>
      <c r="Q4461" s="1"/>
      <c r="R4461" s="1"/>
      <c r="Z4461" s="103"/>
      <c r="AA4461" s="103"/>
      <c r="AB4461" s="1"/>
    </row>
    <row r="4462" spans="15:30">
      <c r="O4462" s="1"/>
      <c r="P4462" s="1"/>
      <c r="Q4462" s="1"/>
      <c r="R4462" s="1"/>
      <c r="Z4462" s="103"/>
      <c r="AA4462" s="103"/>
      <c r="AB4462" s="1"/>
    </row>
    <row r="4463" spans="15:30">
      <c r="O4463" s="1"/>
      <c r="P4463" s="1"/>
      <c r="Q4463" s="1"/>
      <c r="R4463" s="1"/>
      <c r="Z4463" s="103"/>
      <c r="AA4463" s="103"/>
      <c r="AB4463" s="1"/>
    </row>
    <row r="4464" spans="15:30">
      <c r="O4464" s="1"/>
      <c r="P4464" s="1"/>
      <c r="Q4464" s="1"/>
      <c r="R4464" s="1"/>
      <c r="Z4464" s="103"/>
      <c r="AA4464" s="103"/>
      <c r="AB4464" s="1"/>
      <c r="AD4464" s="102"/>
    </row>
    <row r="4465" spans="15:30">
      <c r="O4465" s="1"/>
      <c r="P4465" s="1"/>
      <c r="Q4465" s="1"/>
      <c r="R4465" s="1"/>
      <c r="Z4465" s="103"/>
      <c r="AA4465" s="103"/>
      <c r="AB4465" s="1"/>
    </row>
    <row r="4466" spans="15:30">
      <c r="O4466" s="1"/>
      <c r="P4466" s="1"/>
      <c r="Q4466" s="1"/>
      <c r="R4466" s="1"/>
      <c r="Z4466" s="103"/>
      <c r="AA4466" s="103"/>
      <c r="AB4466" s="1"/>
    </row>
    <row r="4467" spans="15:30">
      <c r="O4467" s="1"/>
      <c r="P4467" s="1"/>
      <c r="Q4467" s="1"/>
      <c r="R4467" s="1"/>
      <c r="Z4467" s="103"/>
      <c r="AA4467" s="103"/>
      <c r="AB4467" s="1"/>
    </row>
    <row r="4468" spans="15:30">
      <c r="O4468" s="1"/>
      <c r="P4468" s="1"/>
      <c r="Q4468" s="1"/>
      <c r="R4468" s="1"/>
      <c r="Z4468" s="103"/>
      <c r="AA4468" s="103"/>
      <c r="AB4468" s="1"/>
    </row>
    <row r="4469" spans="15:30">
      <c r="O4469" s="1"/>
      <c r="P4469" s="1"/>
      <c r="Q4469" s="1"/>
      <c r="R4469" s="1"/>
      <c r="Z4469" s="103"/>
      <c r="AA4469" s="103"/>
      <c r="AB4469" s="1"/>
    </row>
    <row r="4470" spans="15:30">
      <c r="O4470" s="1"/>
      <c r="P4470" s="1"/>
      <c r="Q4470" s="1"/>
      <c r="R4470" s="1"/>
      <c r="Z4470" s="103"/>
      <c r="AA4470" s="103"/>
      <c r="AB4470" s="1"/>
    </row>
    <row r="4471" spans="15:30">
      <c r="O4471" s="1"/>
      <c r="P4471" s="1"/>
      <c r="Q4471" s="1"/>
      <c r="R4471" s="1"/>
      <c r="Z4471" s="103"/>
      <c r="AA4471" s="103"/>
      <c r="AB4471" s="1"/>
    </row>
    <row r="4472" spans="15:30">
      <c r="O4472" s="1"/>
      <c r="P4472" s="1"/>
      <c r="Q4472" s="1"/>
      <c r="R4472" s="1"/>
      <c r="Z4472" s="103"/>
      <c r="AA4472" s="103"/>
      <c r="AB4472" s="1"/>
    </row>
    <row r="4473" spans="15:30">
      <c r="O4473" s="1"/>
      <c r="P4473" s="1"/>
      <c r="Q4473" s="1"/>
      <c r="R4473" s="1"/>
      <c r="Z4473" s="103"/>
      <c r="AA4473" s="103"/>
      <c r="AB4473" s="1"/>
    </row>
    <row r="4474" spans="15:30">
      <c r="O4474" s="1"/>
      <c r="P4474" s="1"/>
      <c r="Q4474" s="1"/>
      <c r="R4474" s="1"/>
      <c r="Z4474" s="103"/>
      <c r="AA4474" s="103"/>
      <c r="AB4474" s="1"/>
      <c r="AD4474" s="102"/>
    </row>
    <row r="4475" spans="15:30">
      <c r="O4475" s="1"/>
      <c r="P4475" s="1"/>
      <c r="Q4475" s="1"/>
      <c r="R4475" s="1"/>
      <c r="Z4475" s="103"/>
      <c r="AA4475" s="103"/>
      <c r="AB4475" s="1"/>
    </row>
    <row r="4476" spans="15:30">
      <c r="O4476" s="1"/>
      <c r="P4476" s="1"/>
      <c r="Q4476" s="1"/>
      <c r="R4476" s="1"/>
      <c r="Z4476" s="103"/>
      <c r="AA4476" s="103"/>
      <c r="AB4476" s="1"/>
    </row>
    <row r="4477" spans="15:30">
      <c r="O4477" s="1"/>
      <c r="P4477" s="1"/>
      <c r="Q4477" s="1"/>
      <c r="R4477" s="1"/>
      <c r="Z4477" s="103"/>
      <c r="AA4477" s="103"/>
      <c r="AB4477" s="1"/>
      <c r="AD4477" s="102"/>
    </row>
    <row r="4478" spans="15:30">
      <c r="O4478" s="1"/>
      <c r="P4478" s="1"/>
      <c r="Q4478" s="1"/>
      <c r="R4478" s="1"/>
      <c r="Z4478" s="103"/>
      <c r="AA4478" s="103"/>
      <c r="AB4478" s="1"/>
    </row>
    <row r="4479" spans="15:30">
      <c r="O4479" s="1"/>
      <c r="P4479" s="1"/>
      <c r="Q4479" s="1"/>
      <c r="R4479" s="1"/>
      <c r="Z4479" s="103"/>
      <c r="AA4479" s="103"/>
      <c r="AB4479" s="1"/>
    </row>
    <row r="4480" spans="15:30">
      <c r="O4480" s="1"/>
      <c r="P4480" s="1"/>
      <c r="Q4480" s="1"/>
      <c r="R4480" s="1"/>
      <c r="Z4480" s="103"/>
      <c r="AA4480" s="103"/>
      <c r="AB4480" s="1"/>
    </row>
    <row r="4481" spans="15:28">
      <c r="O4481" s="1"/>
      <c r="P4481" s="1"/>
      <c r="Q4481" s="1"/>
      <c r="R4481" s="1"/>
      <c r="Z4481" s="103"/>
      <c r="AA4481" s="103"/>
      <c r="AB4481" s="1"/>
    </row>
    <row r="4482" spans="15:28">
      <c r="O4482" s="1"/>
      <c r="P4482" s="1"/>
      <c r="Q4482" s="1"/>
      <c r="R4482" s="1"/>
      <c r="Z4482" s="103"/>
      <c r="AA4482" s="103"/>
      <c r="AB4482" s="1"/>
    </row>
    <row r="4483" spans="15:28">
      <c r="O4483" s="1"/>
      <c r="P4483" s="1"/>
      <c r="Q4483" s="1"/>
      <c r="R4483" s="1"/>
      <c r="Z4483" s="103"/>
      <c r="AA4483" s="103"/>
      <c r="AB4483" s="1"/>
    </row>
    <row r="4484" spans="15:28">
      <c r="O4484" s="1"/>
      <c r="P4484" s="1"/>
      <c r="Q4484" s="1"/>
      <c r="R4484" s="1"/>
      <c r="Z4484" s="103"/>
      <c r="AA4484" s="103"/>
      <c r="AB4484" s="1"/>
    </row>
    <row r="4485" spans="15:28">
      <c r="O4485" s="1"/>
      <c r="P4485" s="1"/>
      <c r="Q4485" s="1"/>
      <c r="R4485" s="1"/>
      <c r="Z4485" s="103"/>
      <c r="AA4485" s="103"/>
      <c r="AB4485" s="1"/>
    </row>
    <row r="4486" spans="15:28">
      <c r="O4486" s="1"/>
      <c r="P4486" s="1"/>
      <c r="Q4486" s="1"/>
      <c r="R4486" s="1"/>
      <c r="Z4486" s="103"/>
      <c r="AA4486" s="103"/>
      <c r="AB4486" s="1"/>
    </row>
    <row r="4487" spans="15:28">
      <c r="O4487" s="1"/>
      <c r="P4487" s="1"/>
      <c r="Q4487" s="1"/>
      <c r="R4487" s="1"/>
      <c r="Z4487" s="103"/>
      <c r="AA4487" s="103"/>
      <c r="AB4487" s="1"/>
    </row>
    <row r="4488" spans="15:28">
      <c r="O4488" s="1"/>
      <c r="P4488" s="1"/>
      <c r="Q4488" s="1"/>
      <c r="R4488" s="1"/>
      <c r="Z4488" s="103"/>
      <c r="AA4488" s="103"/>
      <c r="AB4488" s="1"/>
    </row>
    <row r="4489" spans="15:28">
      <c r="O4489" s="1"/>
      <c r="P4489" s="1"/>
      <c r="Q4489" s="1"/>
      <c r="R4489" s="1"/>
      <c r="Z4489" s="103"/>
      <c r="AA4489" s="103"/>
      <c r="AB4489" s="1"/>
    </row>
    <row r="4490" spans="15:28">
      <c r="O4490" s="1"/>
      <c r="P4490" s="1"/>
      <c r="Q4490" s="1"/>
      <c r="R4490" s="1"/>
      <c r="Z4490" s="103"/>
      <c r="AA4490" s="103"/>
      <c r="AB4490" s="1"/>
    </row>
    <row r="4491" spans="15:28">
      <c r="O4491" s="1"/>
      <c r="P4491" s="1"/>
      <c r="Q4491" s="1"/>
      <c r="R4491" s="1"/>
      <c r="Z4491" s="103"/>
      <c r="AA4491" s="103"/>
      <c r="AB4491" s="1"/>
    </row>
    <row r="4492" spans="15:28">
      <c r="O4492" s="1"/>
      <c r="P4492" s="1"/>
      <c r="Q4492" s="1"/>
      <c r="R4492" s="1"/>
      <c r="Z4492" s="103"/>
      <c r="AA4492" s="103"/>
      <c r="AB4492" s="1"/>
    </row>
    <row r="4493" spans="15:28">
      <c r="O4493" s="1"/>
      <c r="P4493" s="1"/>
      <c r="Q4493" s="1"/>
      <c r="R4493" s="1"/>
      <c r="Z4493" s="103"/>
      <c r="AA4493" s="103"/>
      <c r="AB4493" s="1"/>
    </row>
    <row r="4494" spans="15:28">
      <c r="O4494" s="1"/>
      <c r="P4494" s="1"/>
      <c r="Q4494" s="1"/>
      <c r="R4494" s="1"/>
      <c r="Z4494" s="103"/>
      <c r="AA4494" s="103"/>
      <c r="AB4494" s="1"/>
    </row>
    <row r="4495" spans="15:28">
      <c r="O4495" s="1"/>
      <c r="P4495" s="1"/>
      <c r="Q4495" s="1"/>
      <c r="R4495" s="1"/>
      <c r="Z4495" s="103"/>
      <c r="AA4495" s="103"/>
      <c r="AB4495" s="1"/>
    </row>
    <row r="4496" spans="15:28">
      <c r="O4496" s="1"/>
      <c r="P4496" s="1"/>
      <c r="Q4496" s="1"/>
      <c r="R4496" s="1"/>
      <c r="Z4496" s="103"/>
      <c r="AA4496" s="103"/>
      <c r="AB4496" s="1"/>
    </row>
    <row r="4497" spans="15:30">
      <c r="O4497" s="1"/>
      <c r="P4497" s="1"/>
      <c r="Q4497" s="1"/>
      <c r="R4497" s="1"/>
      <c r="Z4497" s="103"/>
      <c r="AA4497" s="103"/>
      <c r="AB4497" s="1"/>
    </row>
    <row r="4498" spans="15:30">
      <c r="O4498" s="1"/>
      <c r="P4498" s="1"/>
      <c r="Q4498" s="1"/>
      <c r="R4498" s="1"/>
      <c r="Z4498" s="103"/>
      <c r="AA4498" s="103"/>
      <c r="AB4498" s="1"/>
    </row>
    <row r="4499" spans="15:30">
      <c r="O4499" s="1"/>
      <c r="P4499" s="1"/>
      <c r="Q4499" s="1"/>
      <c r="R4499" s="1"/>
      <c r="Z4499" s="103"/>
      <c r="AA4499" s="103"/>
      <c r="AB4499" s="1"/>
    </row>
    <row r="4500" spans="15:30">
      <c r="O4500" s="1"/>
      <c r="P4500" s="1"/>
      <c r="Q4500" s="1"/>
      <c r="R4500" s="1"/>
      <c r="Z4500" s="103"/>
      <c r="AA4500" s="103"/>
      <c r="AB4500" s="1"/>
    </row>
    <row r="4501" spans="15:30">
      <c r="O4501" s="1"/>
      <c r="P4501" s="1"/>
      <c r="Q4501" s="1"/>
      <c r="R4501" s="1"/>
      <c r="Z4501" s="103"/>
      <c r="AA4501" s="103"/>
      <c r="AB4501" s="1"/>
    </row>
    <row r="4502" spans="15:30">
      <c r="O4502" s="1"/>
      <c r="P4502" s="1"/>
      <c r="Q4502" s="1"/>
      <c r="R4502" s="1"/>
      <c r="Z4502" s="103"/>
      <c r="AA4502" s="103"/>
      <c r="AB4502" s="1"/>
    </row>
    <row r="4503" spans="15:30">
      <c r="O4503" s="1"/>
      <c r="P4503" s="1"/>
      <c r="Q4503" s="1"/>
      <c r="R4503" s="1"/>
      <c r="Z4503" s="103"/>
      <c r="AA4503" s="103"/>
      <c r="AB4503" s="1"/>
    </row>
    <row r="4504" spans="15:30">
      <c r="O4504" s="1"/>
      <c r="P4504" s="1"/>
      <c r="Q4504" s="1"/>
      <c r="R4504" s="1"/>
      <c r="Z4504" s="103"/>
      <c r="AA4504" s="103"/>
      <c r="AB4504" s="1"/>
    </row>
    <row r="4505" spans="15:30">
      <c r="O4505" s="1"/>
      <c r="P4505" s="1"/>
      <c r="Q4505" s="1"/>
      <c r="R4505" s="1"/>
      <c r="Z4505" s="103"/>
      <c r="AA4505" s="103"/>
      <c r="AB4505" s="1"/>
    </row>
    <row r="4506" spans="15:30">
      <c r="O4506" s="1"/>
      <c r="P4506" s="1"/>
      <c r="Q4506" s="1"/>
      <c r="R4506" s="1"/>
      <c r="Z4506" s="103"/>
      <c r="AA4506" s="103"/>
      <c r="AB4506" s="1"/>
    </row>
    <row r="4507" spans="15:30">
      <c r="O4507" s="1"/>
      <c r="P4507" s="1"/>
      <c r="Q4507" s="1"/>
      <c r="R4507" s="1"/>
      <c r="Z4507" s="103"/>
      <c r="AA4507" s="103"/>
      <c r="AB4507" s="1"/>
    </row>
    <row r="4508" spans="15:30">
      <c r="O4508" s="1"/>
      <c r="P4508" s="1"/>
      <c r="Q4508" s="1"/>
      <c r="R4508" s="1"/>
      <c r="Z4508" s="103"/>
      <c r="AA4508" s="103"/>
      <c r="AB4508" s="1"/>
      <c r="AD4508" s="102"/>
    </row>
    <row r="4509" spans="15:30">
      <c r="O4509" s="1"/>
      <c r="P4509" s="1"/>
      <c r="Q4509" s="1"/>
      <c r="R4509" s="1"/>
      <c r="Z4509" s="103"/>
      <c r="AA4509" s="103"/>
      <c r="AB4509" s="1"/>
    </row>
    <row r="4510" spans="15:30">
      <c r="O4510" s="1"/>
      <c r="P4510" s="1"/>
      <c r="Q4510" s="1"/>
      <c r="R4510" s="1"/>
      <c r="Z4510" s="103"/>
      <c r="AA4510" s="103"/>
      <c r="AB4510" s="1"/>
    </row>
    <row r="4511" spans="15:30">
      <c r="O4511" s="1"/>
      <c r="P4511" s="1"/>
      <c r="Q4511" s="1"/>
      <c r="R4511" s="1"/>
      <c r="Z4511" s="103"/>
      <c r="AA4511" s="103"/>
      <c r="AB4511" s="1"/>
    </row>
    <row r="4512" spans="15:30">
      <c r="O4512" s="1"/>
      <c r="P4512" s="1"/>
      <c r="Q4512" s="1"/>
      <c r="R4512" s="1"/>
      <c r="Z4512" s="103"/>
      <c r="AA4512" s="103"/>
      <c r="AB4512" s="1"/>
    </row>
    <row r="4513" spans="15:28">
      <c r="O4513" s="1"/>
      <c r="P4513" s="1"/>
      <c r="Q4513" s="1"/>
      <c r="R4513" s="1"/>
      <c r="Z4513" s="103"/>
      <c r="AA4513" s="103"/>
      <c r="AB4513" s="1"/>
    </row>
    <row r="4514" spans="15:28">
      <c r="O4514" s="1"/>
      <c r="P4514" s="1"/>
      <c r="Q4514" s="1"/>
      <c r="R4514" s="1"/>
      <c r="Z4514" s="103"/>
      <c r="AA4514" s="103"/>
      <c r="AB4514" s="1"/>
    </row>
    <row r="4515" spans="15:28">
      <c r="O4515" s="1"/>
      <c r="P4515" s="1"/>
      <c r="Q4515" s="1"/>
      <c r="R4515" s="1"/>
      <c r="Z4515" s="103"/>
      <c r="AA4515" s="103"/>
      <c r="AB4515" s="1"/>
    </row>
    <row r="4516" spans="15:28">
      <c r="O4516" s="1"/>
      <c r="P4516" s="1"/>
      <c r="Q4516" s="1"/>
      <c r="R4516" s="1"/>
      <c r="Z4516" s="103"/>
      <c r="AA4516" s="103"/>
      <c r="AB4516" s="1"/>
    </row>
    <row r="4517" spans="15:28">
      <c r="O4517" s="1"/>
      <c r="P4517" s="1"/>
      <c r="Q4517" s="1"/>
      <c r="R4517" s="1"/>
      <c r="Z4517" s="103"/>
      <c r="AA4517" s="103"/>
      <c r="AB4517" s="1"/>
    </row>
    <row r="4518" spans="15:28">
      <c r="O4518" s="1"/>
      <c r="P4518" s="1"/>
      <c r="Q4518" s="1"/>
      <c r="R4518" s="1"/>
      <c r="Z4518" s="103"/>
      <c r="AA4518" s="103"/>
      <c r="AB4518" s="1"/>
    </row>
    <row r="4519" spans="15:28">
      <c r="O4519" s="1"/>
      <c r="P4519" s="1"/>
      <c r="Q4519" s="1"/>
      <c r="R4519" s="1"/>
      <c r="Z4519" s="103"/>
      <c r="AA4519" s="103"/>
      <c r="AB4519" s="1"/>
    </row>
    <row r="4520" spans="15:28">
      <c r="O4520" s="1"/>
      <c r="P4520" s="1"/>
      <c r="Q4520" s="1"/>
      <c r="R4520" s="1"/>
      <c r="Z4520" s="103"/>
      <c r="AA4520" s="103"/>
      <c r="AB4520" s="1"/>
    </row>
    <row r="4521" spans="15:28">
      <c r="O4521" s="1"/>
      <c r="P4521" s="1"/>
      <c r="Q4521" s="1"/>
      <c r="R4521" s="1"/>
      <c r="Z4521" s="103"/>
      <c r="AA4521" s="103"/>
      <c r="AB4521" s="1"/>
    </row>
    <row r="4522" spans="15:28">
      <c r="O4522" s="1"/>
      <c r="P4522" s="1"/>
      <c r="Q4522" s="1"/>
      <c r="R4522" s="1"/>
      <c r="Z4522" s="103"/>
      <c r="AA4522" s="103"/>
      <c r="AB4522" s="1"/>
    </row>
    <row r="4523" spans="15:28">
      <c r="O4523" s="1"/>
      <c r="P4523" s="1"/>
      <c r="Q4523" s="1"/>
      <c r="R4523" s="1"/>
      <c r="Z4523" s="103"/>
      <c r="AA4523" s="103"/>
      <c r="AB4523" s="1"/>
    </row>
    <row r="4524" spans="15:28">
      <c r="O4524" s="1"/>
      <c r="P4524" s="1"/>
      <c r="Q4524" s="1"/>
      <c r="R4524" s="1"/>
      <c r="Z4524" s="103"/>
      <c r="AA4524" s="103"/>
      <c r="AB4524" s="1"/>
    </row>
    <row r="4525" spans="15:28">
      <c r="O4525" s="1"/>
      <c r="P4525" s="1"/>
      <c r="Q4525" s="1"/>
      <c r="R4525" s="1"/>
      <c r="Z4525" s="103"/>
      <c r="AA4525" s="103"/>
      <c r="AB4525" s="1"/>
    </row>
    <row r="4526" spans="15:28">
      <c r="O4526" s="1"/>
      <c r="P4526" s="1"/>
      <c r="Q4526" s="1"/>
      <c r="R4526" s="1"/>
      <c r="Z4526" s="103"/>
      <c r="AA4526" s="103"/>
      <c r="AB4526" s="1"/>
    </row>
    <row r="4527" spans="15:28">
      <c r="O4527" s="1"/>
      <c r="P4527" s="1"/>
      <c r="Q4527" s="1"/>
      <c r="R4527" s="1"/>
      <c r="Z4527" s="103"/>
      <c r="AA4527" s="103"/>
      <c r="AB4527" s="1"/>
    </row>
    <row r="4528" spans="15:28">
      <c r="O4528" s="1"/>
      <c r="P4528" s="1"/>
      <c r="Q4528" s="1"/>
      <c r="R4528" s="1"/>
      <c r="Z4528" s="103"/>
      <c r="AA4528" s="103"/>
      <c r="AB4528" s="1"/>
    </row>
    <row r="4529" spans="15:30">
      <c r="O4529" s="1"/>
      <c r="P4529" s="1"/>
      <c r="Q4529" s="1"/>
      <c r="R4529" s="1"/>
      <c r="Z4529" s="103"/>
      <c r="AA4529" s="103"/>
      <c r="AB4529" s="1"/>
    </row>
    <row r="4530" spans="15:30">
      <c r="O4530" s="1"/>
      <c r="P4530" s="1"/>
      <c r="Q4530" s="1"/>
      <c r="R4530" s="1"/>
      <c r="Z4530" s="103"/>
      <c r="AA4530" s="103"/>
      <c r="AB4530" s="1"/>
    </row>
    <row r="4531" spans="15:30">
      <c r="O4531" s="1"/>
      <c r="P4531" s="1"/>
      <c r="Q4531" s="1"/>
      <c r="R4531" s="1"/>
      <c r="Z4531" s="103"/>
      <c r="AA4531" s="103"/>
      <c r="AB4531" s="1"/>
    </row>
    <row r="4532" spans="15:30">
      <c r="O4532" s="1"/>
      <c r="P4532" s="1"/>
      <c r="Q4532" s="1"/>
      <c r="R4532" s="1"/>
      <c r="Z4532" s="103"/>
      <c r="AA4532" s="103"/>
      <c r="AB4532" s="1"/>
    </row>
    <row r="4533" spans="15:30">
      <c r="O4533" s="1"/>
      <c r="P4533" s="1"/>
      <c r="Q4533" s="1"/>
      <c r="R4533" s="1"/>
      <c r="Z4533" s="103"/>
      <c r="AA4533" s="103"/>
      <c r="AB4533" s="1"/>
    </row>
    <row r="4534" spans="15:30">
      <c r="O4534" s="1"/>
      <c r="P4534" s="1"/>
      <c r="Q4534" s="1"/>
      <c r="R4534" s="1"/>
      <c r="Z4534" s="103"/>
      <c r="AA4534" s="103"/>
      <c r="AB4534" s="1"/>
    </row>
    <row r="4535" spans="15:30">
      <c r="O4535" s="1"/>
      <c r="P4535" s="1"/>
      <c r="Q4535" s="1"/>
      <c r="R4535" s="1"/>
      <c r="Z4535" s="103"/>
      <c r="AA4535" s="103"/>
      <c r="AB4535" s="1"/>
    </row>
    <row r="4536" spans="15:30">
      <c r="O4536" s="1"/>
      <c r="P4536" s="1"/>
      <c r="Q4536" s="1"/>
      <c r="R4536" s="1"/>
      <c r="Z4536" s="103"/>
      <c r="AA4536" s="103"/>
      <c r="AB4536" s="1"/>
    </row>
    <row r="4537" spans="15:30">
      <c r="O4537" s="1"/>
      <c r="P4537" s="1"/>
      <c r="Q4537" s="1"/>
      <c r="R4537" s="1"/>
      <c r="Z4537" s="103"/>
      <c r="AA4537" s="103"/>
      <c r="AB4537" s="1"/>
    </row>
    <row r="4538" spans="15:30">
      <c r="O4538" s="1"/>
      <c r="P4538" s="1"/>
      <c r="Q4538" s="1"/>
      <c r="R4538" s="1"/>
      <c r="Z4538" s="103"/>
      <c r="AA4538" s="103"/>
      <c r="AB4538" s="1"/>
      <c r="AD4538" s="102"/>
    </row>
    <row r="4539" spans="15:30">
      <c r="O4539" s="1"/>
      <c r="P4539" s="1"/>
      <c r="Q4539" s="1"/>
      <c r="R4539" s="1"/>
      <c r="Z4539" s="103"/>
      <c r="AA4539" s="103"/>
      <c r="AB4539" s="1"/>
    </row>
    <row r="4540" spans="15:30">
      <c r="O4540" s="1"/>
      <c r="P4540" s="1"/>
      <c r="Q4540" s="1"/>
      <c r="R4540" s="1"/>
      <c r="Z4540" s="103"/>
      <c r="AA4540" s="103"/>
      <c r="AB4540" s="1"/>
      <c r="AD4540" s="102"/>
    </row>
    <row r="4541" spans="15:30">
      <c r="O4541" s="1"/>
      <c r="P4541" s="1"/>
      <c r="Q4541" s="1"/>
      <c r="R4541" s="1"/>
      <c r="Z4541" s="103"/>
      <c r="AA4541" s="103"/>
      <c r="AB4541" s="1"/>
    </row>
    <row r="4542" spans="15:30">
      <c r="O4542" s="1"/>
      <c r="P4542" s="1"/>
      <c r="Q4542" s="1"/>
      <c r="R4542" s="1"/>
      <c r="Z4542" s="103"/>
      <c r="AA4542" s="103"/>
      <c r="AB4542" s="1"/>
    </row>
    <row r="4543" spans="15:30">
      <c r="O4543" s="1"/>
      <c r="P4543" s="1"/>
      <c r="Q4543" s="1"/>
      <c r="R4543" s="1"/>
      <c r="Z4543" s="103"/>
      <c r="AA4543" s="103"/>
      <c r="AB4543" s="1"/>
    </row>
    <row r="4544" spans="15:30">
      <c r="O4544" s="1"/>
      <c r="P4544" s="1"/>
      <c r="Q4544" s="1"/>
      <c r="R4544" s="1"/>
      <c r="Z4544" s="103"/>
      <c r="AA4544" s="103"/>
      <c r="AB4544" s="1"/>
    </row>
    <row r="4545" spans="15:28">
      <c r="O4545" s="1"/>
      <c r="P4545" s="1"/>
      <c r="Q4545" s="1"/>
      <c r="R4545" s="1"/>
      <c r="Z4545" s="103"/>
      <c r="AA4545" s="103"/>
      <c r="AB4545" s="1"/>
    </row>
    <row r="4546" spans="15:28">
      <c r="O4546" s="1"/>
      <c r="P4546" s="1"/>
      <c r="Q4546" s="1"/>
      <c r="R4546" s="1"/>
      <c r="Z4546" s="103"/>
      <c r="AA4546" s="103"/>
      <c r="AB4546" s="1"/>
    </row>
    <row r="4547" spans="15:28">
      <c r="O4547" s="1"/>
      <c r="P4547" s="1"/>
      <c r="Q4547" s="1"/>
      <c r="R4547" s="1"/>
      <c r="Z4547" s="103"/>
      <c r="AA4547" s="103"/>
      <c r="AB4547" s="1"/>
    </row>
    <row r="4548" spans="15:28">
      <c r="O4548" s="1"/>
      <c r="P4548" s="1"/>
      <c r="Q4548" s="1"/>
      <c r="R4548" s="1"/>
      <c r="Z4548" s="103"/>
      <c r="AA4548" s="103"/>
      <c r="AB4548" s="1"/>
    </row>
    <row r="4549" spans="15:28">
      <c r="O4549" s="1"/>
      <c r="P4549" s="1"/>
      <c r="Q4549" s="1"/>
      <c r="R4549" s="1"/>
      <c r="Z4549" s="103"/>
      <c r="AA4549" s="103"/>
      <c r="AB4549" s="1"/>
    </row>
    <row r="4550" spans="15:28">
      <c r="O4550" s="1"/>
      <c r="P4550" s="1"/>
      <c r="Q4550" s="1"/>
      <c r="R4550" s="1"/>
      <c r="Z4550" s="103"/>
      <c r="AA4550" s="103"/>
      <c r="AB4550" s="1"/>
    </row>
    <row r="4551" spans="15:28">
      <c r="O4551" s="1"/>
      <c r="P4551" s="1"/>
      <c r="Q4551" s="1"/>
      <c r="R4551" s="1"/>
      <c r="Z4551" s="103"/>
      <c r="AA4551" s="103"/>
      <c r="AB4551" s="1"/>
    </row>
    <row r="4552" spans="15:28">
      <c r="O4552" s="1"/>
      <c r="P4552" s="1"/>
      <c r="Q4552" s="1"/>
      <c r="R4552" s="1"/>
      <c r="Z4552" s="103"/>
      <c r="AA4552" s="103"/>
      <c r="AB4552" s="1"/>
    </row>
    <row r="4553" spans="15:28">
      <c r="O4553" s="1"/>
      <c r="P4553" s="1"/>
      <c r="Q4553" s="1"/>
      <c r="R4553" s="1"/>
      <c r="Z4553" s="103"/>
      <c r="AA4553" s="103"/>
      <c r="AB4553" s="1"/>
    </row>
    <row r="4554" spans="15:28">
      <c r="O4554" s="1"/>
      <c r="P4554" s="1"/>
      <c r="Q4554" s="1"/>
      <c r="R4554" s="1"/>
      <c r="Z4554" s="103"/>
      <c r="AA4554" s="103"/>
      <c r="AB4554" s="1"/>
    </row>
    <row r="4555" spans="15:28">
      <c r="O4555" s="1"/>
      <c r="P4555" s="1"/>
      <c r="Q4555" s="1"/>
      <c r="R4555" s="1"/>
      <c r="Z4555" s="103"/>
      <c r="AA4555" s="103"/>
      <c r="AB4555" s="1"/>
    </row>
    <row r="4556" spans="15:28">
      <c r="O4556" s="1"/>
      <c r="P4556" s="1"/>
      <c r="Q4556" s="1"/>
      <c r="R4556" s="1"/>
      <c r="Z4556" s="103"/>
      <c r="AA4556" s="103"/>
      <c r="AB4556" s="1"/>
    </row>
    <row r="4557" spans="15:28">
      <c r="O4557" s="1"/>
      <c r="P4557" s="1"/>
      <c r="Q4557" s="1"/>
      <c r="R4557" s="1"/>
      <c r="Z4557" s="103"/>
      <c r="AA4557" s="103"/>
      <c r="AB4557" s="1"/>
    </row>
    <row r="4558" spans="15:28">
      <c r="O4558" s="1"/>
      <c r="P4558" s="1"/>
      <c r="Q4558" s="1"/>
      <c r="R4558" s="1"/>
      <c r="Z4558" s="103"/>
      <c r="AA4558" s="103"/>
      <c r="AB4558" s="1"/>
    </row>
    <row r="4559" spans="15:28">
      <c r="O4559" s="1"/>
      <c r="P4559" s="1"/>
      <c r="Q4559" s="1"/>
      <c r="R4559" s="1"/>
      <c r="Z4559" s="103"/>
      <c r="AA4559" s="103"/>
      <c r="AB4559" s="1"/>
    </row>
    <row r="4560" spans="15:28">
      <c r="O4560" s="1"/>
      <c r="P4560" s="1"/>
      <c r="Q4560" s="1"/>
      <c r="R4560" s="1"/>
      <c r="Z4560" s="103"/>
      <c r="AA4560" s="103"/>
      <c r="AB4560" s="1"/>
    </row>
    <row r="4561" spans="15:30">
      <c r="O4561" s="1"/>
      <c r="P4561" s="1"/>
      <c r="Q4561" s="1"/>
      <c r="R4561" s="1"/>
      <c r="Z4561" s="103"/>
      <c r="AA4561" s="103"/>
      <c r="AB4561" s="1"/>
    </row>
    <row r="4562" spans="15:30">
      <c r="O4562" s="1"/>
      <c r="P4562" s="1"/>
      <c r="Q4562" s="1"/>
      <c r="R4562" s="1"/>
      <c r="Z4562" s="103"/>
      <c r="AA4562" s="103"/>
      <c r="AB4562" s="1"/>
      <c r="AD4562" s="102"/>
    </row>
    <row r="4563" spans="15:30">
      <c r="O4563" s="1"/>
      <c r="P4563" s="1"/>
      <c r="Q4563" s="1"/>
      <c r="R4563" s="1"/>
      <c r="Z4563" s="103"/>
      <c r="AA4563" s="103"/>
      <c r="AB4563" s="1"/>
    </row>
    <row r="4564" spans="15:30">
      <c r="O4564" s="1"/>
      <c r="P4564" s="1"/>
      <c r="Q4564" s="1"/>
      <c r="R4564" s="1"/>
      <c r="Z4564" s="103"/>
      <c r="AA4564" s="103"/>
      <c r="AB4564" s="1"/>
    </row>
    <row r="4565" spans="15:30">
      <c r="O4565" s="1"/>
      <c r="P4565" s="1"/>
      <c r="Q4565" s="1"/>
      <c r="R4565" s="1"/>
      <c r="Z4565" s="103"/>
      <c r="AA4565" s="103"/>
      <c r="AB4565" s="1"/>
    </row>
    <row r="4566" spans="15:30">
      <c r="O4566" s="1"/>
      <c r="P4566" s="1"/>
      <c r="Q4566" s="1"/>
      <c r="R4566" s="1"/>
      <c r="Z4566" s="103"/>
      <c r="AA4566" s="103"/>
      <c r="AB4566" s="1"/>
    </row>
    <row r="4567" spans="15:30">
      <c r="O4567" s="1"/>
      <c r="P4567" s="1"/>
      <c r="Q4567" s="1"/>
      <c r="R4567" s="1"/>
      <c r="Z4567" s="103"/>
      <c r="AA4567" s="103"/>
      <c r="AB4567" s="1"/>
    </row>
    <row r="4568" spans="15:30">
      <c r="O4568" s="1"/>
      <c r="P4568" s="1"/>
      <c r="Q4568" s="1"/>
      <c r="R4568" s="1"/>
      <c r="Z4568" s="103"/>
      <c r="AA4568" s="103"/>
      <c r="AB4568" s="1"/>
    </row>
    <row r="4569" spans="15:30">
      <c r="O4569" s="1"/>
      <c r="P4569" s="1"/>
      <c r="Q4569" s="1"/>
      <c r="R4569" s="1"/>
      <c r="Z4569" s="103"/>
      <c r="AA4569" s="103"/>
      <c r="AB4569" s="1"/>
    </row>
    <row r="4570" spans="15:30">
      <c r="O4570" s="1"/>
      <c r="P4570" s="1"/>
      <c r="Q4570" s="1"/>
      <c r="R4570" s="1"/>
      <c r="Z4570" s="103"/>
      <c r="AA4570" s="103"/>
      <c r="AB4570" s="1"/>
    </row>
    <row r="4571" spans="15:30">
      <c r="O4571" s="1"/>
      <c r="P4571" s="1"/>
      <c r="Q4571" s="1"/>
      <c r="R4571" s="1"/>
      <c r="Z4571" s="103"/>
      <c r="AA4571" s="103"/>
      <c r="AB4571" s="1"/>
    </row>
    <row r="4572" spans="15:30">
      <c r="O4572" s="1"/>
      <c r="P4572" s="1"/>
      <c r="Q4572" s="1"/>
      <c r="R4572" s="1"/>
      <c r="Z4572" s="103"/>
      <c r="AA4572" s="103"/>
      <c r="AB4572" s="1"/>
      <c r="AD4572" s="102"/>
    </row>
    <row r="4573" spans="15:30">
      <c r="O4573" s="1"/>
      <c r="P4573" s="1"/>
      <c r="Q4573" s="1"/>
      <c r="R4573" s="1"/>
      <c r="Z4573" s="103"/>
      <c r="AA4573" s="103"/>
      <c r="AB4573" s="1"/>
    </row>
    <row r="4574" spans="15:30">
      <c r="O4574" s="1"/>
      <c r="P4574" s="1"/>
      <c r="Q4574" s="1"/>
      <c r="R4574" s="1"/>
      <c r="Z4574" s="103"/>
      <c r="AA4574" s="103"/>
      <c r="AB4574" s="1"/>
    </row>
    <row r="4575" spans="15:30">
      <c r="O4575" s="1"/>
      <c r="P4575" s="1"/>
      <c r="Q4575" s="1"/>
      <c r="R4575" s="1"/>
      <c r="Z4575" s="103"/>
      <c r="AA4575" s="103"/>
      <c r="AB4575" s="1"/>
    </row>
    <row r="4576" spans="15:30">
      <c r="O4576" s="1"/>
      <c r="P4576" s="1"/>
      <c r="Q4576" s="1"/>
      <c r="R4576" s="1"/>
      <c r="Z4576" s="103"/>
      <c r="AA4576" s="103"/>
      <c r="AB4576" s="1"/>
    </row>
    <row r="4577" spans="15:28">
      <c r="O4577" s="1"/>
      <c r="P4577" s="1"/>
      <c r="Q4577" s="1"/>
      <c r="R4577" s="1"/>
      <c r="Z4577" s="103"/>
      <c r="AA4577" s="103"/>
      <c r="AB4577" s="1"/>
    </row>
    <row r="4578" spans="15:28">
      <c r="O4578" s="1"/>
      <c r="P4578" s="1"/>
      <c r="Q4578" s="1"/>
      <c r="R4578" s="1"/>
      <c r="Z4578" s="103"/>
      <c r="AA4578" s="103"/>
      <c r="AB4578" s="1"/>
    </row>
    <row r="4579" spans="15:28">
      <c r="O4579" s="1"/>
      <c r="P4579" s="1"/>
      <c r="Q4579" s="1"/>
      <c r="R4579" s="1"/>
      <c r="Z4579" s="103"/>
      <c r="AA4579" s="103"/>
      <c r="AB4579" s="1"/>
    </row>
    <row r="4580" spans="15:28">
      <c r="O4580" s="1"/>
      <c r="P4580" s="1"/>
      <c r="Q4580" s="1"/>
      <c r="R4580" s="1"/>
      <c r="Z4580" s="103"/>
      <c r="AA4580" s="103"/>
      <c r="AB4580" s="1"/>
    </row>
    <row r="4581" spans="15:28">
      <c r="O4581" s="1"/>
      <c r="P4581" s="1"/>
      <c r="Q4581" s="1"/>
      <c r="R4581" s="1"/>
      <c r="Z4581" s="103"/>
      <c r="AA4581" s="103"/>
      <c r="AB4581" s="1"/>
    </row>
    <row r="4582" spans="15:28">
      <c r="O4582" s="1"/>
      <c r="P4582" s="1"/>
      <c r="Q4582" s="1"/>
      <c r="R4582" s="1"/>
      <c r="Z4582" s="103"/>
      <c r="AA4582" s="103"/>
      <c r="AB4582" s="1"/>
    </row>
    <row r="4583" spans="15:28">
      <c r="O4583" s="1"/>
      <c r="P4583" s="1"/>
      <c r="Q4583" s="1"/>
      <c r="R4583" s="1"/>
      <c r="Z4583" s="103"/>
      <c r="AA4583" s="103"/>
      <c r="AB4583" s="1"/>
    </row>
    <row r="4584" spans="15:28">
      <c r="O4584" s="1"/>
      <c r="P4584" s="1"/>
      <c r="Q4584" s="1"/>
      <c r="R4584" s="1"/>
      <c r="Z4584" s="103"/>
      <c r="AA4584" s="103"/>
      <c r="AB4584" s="1"/>
    </row>
    <row r="4585" spans="15:28">
      <c r="O4585" s="1"/>
      <c r="P4585" s="1"/>
      <c r="Q4585" s="1"/>
      <c r="R4585" s="1"/>
      <c r="Z4585" s="103"/>
      <c r="AA4585" s="103"/>
      <c r="AB4585" s="1"/>
    </row>
    <row r="4586" spans="15:28">
      <c r="O4586" s="1"/>
      <c r="P4586" s="1"/>
      <c r="Q4586" s="1"/>
      <c r="R4586" s="1"/>
      <c r="Z4586" s="103"/>
      <c r="AA4586" s="103"/>
      <c r="AB4586" s="1"/>
    </row>
    <row r="4587" spans="15:28">
      <c r="O4587" s="1"/>
      <c r="P4587" s="1"/>
      <c r="Q4587" s="1"/>
      <c r="R4587" s="1"/>
      <c r="Z4587" s="103"/>
      <c r="AA4587" s="103"/>
      <c r="AB4587" s="1"/>
    </row>
    <row r="4588" spans="15:28">
      <c r="O4588" s="1"/>
      <c r="P4588" s="1"/>
      <c r="Q4588" s="1"/>
      <c r="R4588" s="1"/>
      <c r="Z4588" s="103"/>
      <c r="AA4588" s="103"/>
      <c r="AB4588" s="1"/>
    </row>
    <row r="4589" spans="15:28">
      <c r="O4589" s="1"/>
      <c r="P4589" s="1"/>
      <c r="Q4589" s="1"/>
      <c r="R4589" s="1"/>
      <c r="Z4589" s="103"/>
      <c r="AA4589" s="103"/>
      <c r="AB4589" s="1"/>
    </row>
    <row r="4590" spans="15:28">
      <c r="O4590" s="1"/>
      <c r="P4590" s="1"/>
      <c r="Q4590" s="1"/>
      <c r="R4590" s="1"/>
      <c r="Z4590" s="103"/>
      <c r="AA4590" s="103"/>
      <c r="AB4590" s="1"/>
    </row>
    <row r="4591" spans="15:28">
      <c r="O4591" s="1"/>
      <c r="P4591" s="1"/>
      <c r="Q4591" s="1"/>
      <c r="R4591" s="1"/>
      <c r="Z4591" s="103"/>
      <c r="AA4591" s="103"/>
      <c r="AB4591" s="1"/>
    </row>
    <row r="4592" spans="15:28">
      <c r="O4592" s="1"/>
      <c r="P4592" s="1"/>
      <c r="Q4592" s="1"/>
      <c r="R4592" s="1"/>
      <c r="Z4592" s="103"/>
      <c r="AA4592" s="103"/>
      <c r="AB4592" s="1"/>
    </row>
    <row r="4593" spans="15:28">
      <c r="O4593" s="1"/>
      <c r="P4593" s="1"/>
      <c r="Q4593" s="1"/>
      <c r="R4593" s="1"/>
      <c r="Z4593" s="103"/>
      <c r="AA4593" s="103"/>
      <c r="AB4593" s="1"/>
    </row>
    <row r="4594" spans="15:28">
      <c r="O4594" s="1"/>
      <c r="P4594" s="1"/>
      <c r="Q4594" s="1"/>
      <c r="R4594" s="1"/>
      <c r="Z4594" s="103"/>
      <c r="AA4594" s="103"/>
      <c r="AB4594" s="1"/>
    </row>
    <row r="4595" spans="15:28">
      <c r="O4595" s="1"/>
      <c r="P4595" s="1"/>
      <c r="Q4595" s="1"/>
      <c r="R4595" s="1"/>
      <c r="Z4595" s="103"/>
      <c r="AA4595" s="103"/>
      <c r="AB4595" s="1"/>
    </row>
    <row r="4596" spans="15:28">
      <c r="O4596" s="1"/>
      <c r="P4596" s="1"/>
      <c r="Q4596" s="1"/>
      <c r="R4596" s="1"/>
      <c r="Z4596" s="103"/>
      <c r="AA4596" s="103"/>
      <c r="AB4596" s="1"/>
    </row>
    <row r="4597" spans="15:28">
      <c r="O4597" s="1"/>
      <c r="P4597" s="1"/>
      <c r="Q4597" s="1"/>
      <c r="R4597" s="1"/>
      <c r="Z4597" s="103"/>
      <c r="AA4597" s="103"/>
      <c r="AB4597" s="1"/>
    </row>
    <row r="4598" spans="15:28">
      <c r="O4598" s="1"/>
      <c r="P4598" s="1"/>
      <c r="Q4598" s="1"/>
      <c r="R4598" s="1"/>
      <c r="Z4598" s="103"/>
      <c r="AA4598" s="103"/>
      <c r="AB4598" s="1"/>
    </row>
    <row r="4599" spans="15:28">
      <c r="O4599" s="1"/>
      <c r="P4599" s="1"/>
      <c r="Q4599" s="1"/>
      <c r="R4599" s="1"/>
      <c r="Z4599" s="103"/>
      <c r="AA4599" s="103"/>
      <c r="AB4599" s="1"/>
    </row>
    <row r="4600" spans="15:28">
      <c r="O4600" s="1"/>
      <c r="P4600" s="1"/>
      <c r="Q4600" s="1"/>
      <c r="R4600" s="1"/>
      <c r="Z4600" s="103"/>
      <c r="AA4600" s="103"/>
      <c r="AB4600" s="1"/>
    </row>
    <row r="4601" spans="15:28">
      <c r="O4601" s="1"/>
      <c r="P4601" s="1"/>
      <c r="Q4601" s="1"/>
      <c r="R4601" s="1"/>
      <c r="Z4601" s="103"/>
      <c r="AA4601" s="103"/>
      <c r="AB4601" s="1"/>
    </row>
    <row r="4602" spans="15:28">
      <c r="O4602" s="1"/>
      <c r="P4602" s="1"/>
      <c r="Q4602" s="1"/>
      <c r="R4602" s="1"/>
      <c r="Z4602" s="103"/>
      <c r="AA4602" s="103"/>
      <c r="AB4602" s="1"/>
    </row>
    <row r="4603" spans="15:28">
      <c r="O4603" s="1"/>
      <c r="P4603" s="1"/>
      <c r="Q4603" s="1"/>
      <c r="R4603" s="1"/>
      <c r="Z4603" s="103"/>
      <c r="AA4603" s="103"/>
      <c r="AB4603" s="1"/>
    </row>
    <row r="4604" spans="15:28">
      <c r="O4604" s="1"/>
      <c r="P4604" s="1"/>
      <c r="Q4604" s="1"/>
      <c r="R4604" s="1"/>
      <c r="Z4604" s="103"/>
      <c r="AA4604" s="103"/>
      <c r="AB4604" s="1"/>
    </row>
    <row r="4605" spans="15:28">
      <c r="O4605" s="1"/>
      <c r="P4605" s="1"/>
      <c r="Q4605" s="1"/>
      <c r="R4605" s="1"/>
      <c r="Z4605" s="103"/>
      <c r="AA4605" s="103"/>
      <c r="AB4605" s="1"/>
    </row>
    <row r="4606" spans="15:28">
      <c r="O4606" s="1"/>
      <c r="P4606" s="1"/>
      <c r="Q4606" s="1"/>
      <c r="R4606" s="1"/>
      <c r="Z4606" s="103"/>
      <c r="AA4606" s="103"/>
      <c r="AB4606" s="1"/>
    </row>
    <row r="4607" spans="15:28">
      <c r="O4607" s="1"/>
      <c r="P4607" s="1"/>
      <c r="Q4607" s="1"/>
      <c r="R4607" s="1"/>
      <c r="Z4607" s="103"/>
      <c r="AA4607" s="103"/>
      <c r="AB4607" s="1"/>
    </row>
    <row r="4608" spans="15:28">
      <c r="O4608" s="1"/>
      <c r="P4608" s="1"/>
      <c r="Q4608" s="1"/>
      <c r="R4608" s="1"/>
      <c r="Z4608" s="103"/>
      <c r="AA4608" s="103"/>
      <c r="AB4608" s="1"/>
    </row>
    <row r="4609" spans="15:30">
      <c r="O4609" s="1"/>
      <c r="P4609" s="1"/>
      <c r="Q4609" s="1"/>
      <c r="R4609" s="1"/>
      <c r="Z4609" s="103"/>
      <c r="AA4609" s="103"/>
      <c r="AB4609" s="1"/>
    </row>
    <row r="4610" spans="15:30">
      <c r="O4610" s="1"/>
      <c r="P4610" s="1"/>
      <c r="Q4610" s="1"/>
      <c r="R4610" s="1"/>
      <c r="Z4610" s="103"/>
      <c r="AA4610" s="103"/>
      <c r="AB4610" s="1"/>
      <c r="AD4610" s="102"/>
    </row>
    <row r="4611" spans="15:30">
      <c r="O4611" s="1"/>
      <c r="P4611" s="1"/>
      <c r="Q4611" s="1"/>
      <c r="R4611" s="1"/>
      <c r="Z4611" s="103"/>
      <c r="AA4611" s="103"/>
      <c r="AB4611" s="1"/>
    </row>
    <row r="4612" spans="15:30">
      <c r="O4612" s="1"/>
      <c r="P4612" s="1"/>
      <c r="Q4612" s="1"/>
      <c r="R4612" s="1"/>
      <c r="Z4612" s="103"/>
      <c r="AA4612" s="103"/>
      <c r="AB4612" s="1"/>
    </row>
    <row r="4613" spans="15:30">
      <c r="O4613" s="1"/>
      <c r="P4613" s="1"/>
      <c r="Q4613" s="1"/>
      <c r="R4613" s="1"/>
      <c r="Z4613" s="103"/>
      <c r="AA4613" s="103"/>
      <c r="AB4613" s="1"/>
      <c r="AD4613" s="102"/>
    </row>
    <row r="4614" spans="15:30">
      <c r="O4614" s="1"/>
      <c r="P4614" s="1"/>
      <c r="Q4614" s="1"/>
      <c r="R4614" s="1"/>
      <c r="Z4614" s="103"/>
      <c r="AA4614" s="103"/>
      <c r="AB4614" s="1"/>
    </row>
    <row r="4615" spans="15:30">
      <c r="O4615" s="1"/>
      <c r="P4615" s="1"/>
      <c r="Q4615" s="1"/>
      <c r="R4615" s="1"/>
      <c r="Z4615" s="103"/>
      <c r="AA4615" s="103"/>
      <c r="AB4615" s="1"/>
    </row>
    <row r="4616" spans="15:30">
      <c r="O4616" s="1"/>
      <c r="P4616" s="1"/>
      <c r="Q4616" s="1"/>
      <c r="R4616" s="1"/>
      <c r="Z4616" s="103"/>
      <c r="AA4616" s="103"/>
      <c r="AB4616" s="1"/>
    </row>
    <row r="4617" spans="15:30">
      <c r="O4617" s="1"/>
      <c r="P4617" s="1"/>
      <c r="Q4617" s="1"/>
      <c r="R4617" s="1"/>
      <c r="Z4617" s="103"/>
      <c r="AA4617" s="103"/>
      <c r="AB4617" s="1"/>
    </row>
    <row r="4618" spans="15:30">
      <c r="O4618" s="1"/>
      <c r="P4618" s="1"/>
      <c r="Q4618" s="1"/>
      <c r="R4618" s="1"/>
      <c r="Z4618" s="103"/>
      <c r="AA4618" s="103"/>
      <c r="AB4618" s="1"/>
    </row>
    <row r="4619" spans="15:30">
      <c r="O4619" s="1"/>
      <c r="P4619" s="1"/>
      <c r="Q4619" s="1"/>
      <c r="R4619" s="1"/>
      <c r="Z4619" s="103"/>
      <c r="AA4619" s="103"/>
      <c r="AB4619" s="1"/>
    </row>
    <row r="4620" spans="15:30">
      <c r="O4620" s="1"/>
      <c r="P4620" s="1"/>
      <c r="Q4620" s="1"/>
      <c r="R4620" s="1"/>
      <c r="Z4620" s="103"/>
      <c r="AA4620" s="103"/>
      <c r="AB4620" s="1"/>
    </row>
    <row r="4621" spans="15:30">
      <c r="O4621" s="1"/>
      <c r="P4621" s="1"/>
      <c r="Q4621" s="1"/>
      <c r="R4621" s="1"/>
      <c r="Z4621" s="103"/>
      <c r="AA4621" s="103"/>
      <c r="AB4621" s="1"/>
    </row>
    <row r="4622" spans="15:30">
      <c r="O4622" s="1"/>
      <c r="P4622" s="1"/>
      <c r="Q4622" s="1"/>
      <c r="R4622" s="1"/>
      <c r="Z4622" s="103"/>
      <c r="AA4622" s="103"/>
      <c r="AB4622" s="1"/>
    </row>
    <row r="4623" spans="15:30">
      <c r="O4623" s="1"/>
      <c r="P4623" s="1"/>
      <c r="Q4623" s="1"/>
      <c r="R4623" s="1"/>
      <c r="Z4623" s="103"/>
      <c r="AA4623" s="103"/>
      <c r="AB4623" s="1"/>
    </row>
    <row r="4624" spans="15:30">
      <c r="O4624" s="1"/>
      <c r="P4624" s="1"/>
      <c r="Q4624" s="1"/>
      <c r="R4624" s="1"/>
      <c r="Z4624" s="103"/>
      <c r="AA4624" s="103"/>
      <c r="AB4624" s="1"/>
    </row>
    <row r="4625" spans="15:28">
      <c r="O4625" s="1"/>
      <c r="P4625" s="1"/>
      <c r="Q4625" s="1"/>
      <c r="R4625" s="1"/>
      <c r="Z4625" s="103"/>
      <c r="AA4625" s="103"/>
      <c r="AB4625" s="1"/>
    </row>
    <row r="4626" spans="15:28">
      <c r="O4626" s="1"/>
      <c r="P4626" s="1"/>
      <c r="Q4626" s="1"/>
      <c r="R4626" s="1"/>
      <c r="Z4626" s="103"/>
      <c r="AA4626" s="103"/>
      <c r="AB4626" s="1"/>
    </row>
    <row r="4627" spans="15:28">
      <c r="O4627" s="1"/>
      <c r="P4627" s="1"/>
      <c r="Q4627" s="1"/>
      <c r="R4627" s="1"/>
      <c r="Z4627" s="103"/>
      <c r="AA4627" s="103"/>
      <c r="AB4627" s="1"/>
    </row>
    <row r="4628" spans="15:28">
      <c r="O4628" s="1"/>
      <c r="P4628" s="1"/>
      <c r="Q4628" s="1"/>
      <c r="R4628" s="1"/>
      <c r="Z4628" s="103"/>
      <c r="AA4628" s="103"/>
      <c r="AB4628" s="1"/>
    </row>
    <row r="4629" spans="15:28">
      <c r="O4629" s="1"/>
      <c r="P4629" s="1"/>
      <c r="Q4629" s="1"/>
      <c r="R4629" s="1"/>
      <c r="Z4629" s="103"/>
      <c r="AA4629" s="103"/>
      <c r="AB4629" s="1"/>
    </row>
    <row r="4630" spans="15:28">
      <c r="O4630" s="1"/>
      <c r="P4630" s="1"/>
      <c r="Q4630" s="1"/>
      <c r="R4630" s="1"/>
      <c r="Z4630" s="103"/>
      <c r="AA4630" s="103"/>
      <c r="AB4630" s="1"/>
    </row>
    <row r="4631" spans="15:28">
      <c r="O4631" s="1"/>
      <c r="P4631" s="1"/>
      <c r="Q4631" s="1"/>
      <c r="R4631" s="1"/>
      <c r="Z4631" s="103"/>
      <c r="AA4631" s="103"/>
      <c r="AB4631" s="1"/>
    </row>
    <row r="4632" spans="15:28">
      <c r="O4632" s="1"/>
      <c r="P4632" s="1"/>
      <c r="Q4632" s="1"/>
      <c r="R4632" s="1"/>
      <c r="Z4632" s="103"/>
      <c r="AA4632" s="103"/>
      <c r="AB4632" s="1"/>
    </row>
    <row r="4633" spans="15:28">
      <c r="O4633" s="1"/>
      <c r="P4633" s="1"/>
      <c r="Q4633" s="1"/>
      <c r="R4633" s="1"/>
      <c r="Z4633" s="103"/>
      <c r="AA4633" s="103"/>
      <c r="AB4633" s="1"/>
    </row>
    <row r="4634" spans="15:28">
      <c r="O4634" s="1"/>
      <c r="P4634" s="1"/>
      <c r="Q4634" s="1"/>
      <c r="R4634" s="1"/>
      <c r="Z4634" s="103"/>
      <c r="AA4634" s="103"/>
      <c r="AB4634" s="1"/>
    </row>
    <row r="4635" spans="15:28">
      <c r="O4635" s="1"/>
      <c r="P4635" s="1"/>
      <c r="Q4635" s="1"/>
      <c r="R4635" s="1"/>
      <c r="Z4635" s="103"/>
      <c r="AA4635" s="103"/>
      <c r="AB4635" s="1"/>
    </row>
    <row r="4636" spans="15:28">
      <c r="O4636" s="1"/>
      <c r="P4636" s="1"/>
      <c r="Q4636" s="1"/>
      <c r="R4636" s="1"/>
      <c r="Z4636" s="103"/>
      <c r="AA4636" s="103"/>
      <c r="AB4636" s="1"/>
    </row>
    <row r="4637" spans="15:28">
      <c r="O4637" s="1"/>
      <c r="P4637" s="1"/>
      <c r="Q4637" s="1"/>
      <c r="R4637" s="1"/>
      <c r="Z4637" s="103"/>
      <c r="AA4637" s="103"/>
      <c r="AB4637" s="1"/>
    </row>
    <row r="4638" spans="15:28">
      <c r="O4638" s="1"/>
      <c r="P4638" s="1"/>
      <c r="Q4638" s="1"/>
      <c r="R4638" s="1"/>
      <c r="Z4638" s="103"/>
      <c r="AA4638" s="103"/>
      <c r="AB4638" s="1"/>
    </row>
    <row r="4639" spans="15:28">
      <c r="O4639" s="1"/>
      <c r="P4639" s="1"/>
      <c r="Q4639" s="1"/>
      <c r="R4639" s="1"/>
      <c r="Z4639" s="103"/>
      <c r="AA4639" s="103"/>
      <c r="AB4639" s="1"/>
    </row>
    <row r="4640" spans="15:28">
      <c r="O4640" s="1"/>
      <c r="P4640" s="1"/>
      <c r="Q4640" s="1"/>
      <c r="R4640" s="1"/>
      <c r="Z4640" s="103"/>
      <c r="AA4640" s="103"/>
      <c r="AB4640" s="1"/>
    </row>
    <row r="4641" spans="15:28">
      <c r="O4641" s="1"/>
      <c r="P4641" s="1"/>
      <c r="Q4641" s="1"/>
      <c r="R4641" s="1"/>
      <c r="Z4641" s="103"/>
      <c r="AA4641" s="103"/>
      <c r="AB4641" s="1"/>
    </row>
    <row r="4642" spans="15:28">
      <c r="O4642" s="1"/>
      <c r="P4642" s="1"/>
      <c r="Q4642" s="1"/>
      <c r="R4642" s="1"/>
      <c r="Z4642" s="103"/>
      <c r="AA4642" s="103"/>
      <c r="AB4642" s="1"/>
    </row>
    <row r="4643" spans="15:28">
      <c r="O4643" s="1"/>
      <c r="P4643" s="1"/>
      <c r="Q4643" s="1"/>
      <c r="R4643" s="1"/>
      <c r="Z4643" s="103"/>
      <c r="AA4643" s="103"/>
      <c r="AB4643" s="1"/>
    </row>
    <row r="4644" spans="15:28">
      <c r="O4644" s="1"/>
      <c r="P4644" s="1"/>
      <c r="Q4644" s="1"/>
      <c r="R4644" s="1"/>
      <c r="Z4644" s="103"/>
      <c r="AA4644" s="103"/>
      <c r="AB4644" s="1"/>
    </row>
    <row r="4645" spans="15:28">
      <c r="O4645" s="1"/>
      <c r="P4645" s="1"/>
      <c r="Q4645" s="1"/>
      <c r="R4645" s="1"/>
      <c r="Z4645" s="103"/>
      <c r="AA4645" s="103"/>
      <c r="AB4645" s="1"/>
    </row>
    <row r="4646" spans="15:28">
      <c r="O4646" s="1"/>
      <c r="P4646" s="1"/>
      <c r="Q4646" s="1"/>
      <c r="R4646" s="1"/>
      <c r="Z4646" s="103"/>
      <c r="AA4646" s="103"/>
      <c r="AB4646" s="1"/>
    </row>
    <row r="4647" spans="15:28">
      <c r="O4647" s="1"/>
      <c r="P4647" s="1"/>
      <c r="Q4647" s="1"/>
      <c r="R4647" s="1"/>
      <c r="Z4647" s="103"/>
      <c r="AA4647" s="103"/>
      <c r="AB4647" s="1"/>
    </row>
    <row r="4648" spans="15:28">
      <c r="O4648" s="1"/>
      <c r="P4648" s="1"/>
      <c r="Q4648" s="1"/>
      <c r="R4648" s="1"/>
      <c r="Z4648" s="103"/>
      <c r="AA4648" s="103"/>
      <c r="AB4648" s="1"/>
    </row>
    <row r="4649" spans="15:28">
      <c r="O4649" s="1"/>
      <c r="P4649" s="1"/>
      <c r="Q4649" s="1"/>
      <c r="R4649" s="1"/>
      <c r="Z4649" s="103"/>
      <c r="AA4649" s="103"/>
      <c r="AB4649" s="1"/>
    </row>
    <row r="4650" spans="15:28">
      <c r="O4650" s="1"/>
      <c r="P4650" s="1"/>
      <c r="Q4650" s="1"/>
      <c r="R4650" s="1"/>
      <c r="Z4650" s="103"/>
      <c r="AA4650" s="103"/>
      <c r="AB4650" s="1"/>
    </row>
    <row r="4651" spans="15:28">
      <c r="O4651" s="1"/>
      <c r="P4651" s="1"/>
      <c r="Q4651" s="1"/>
      <c r="R4651" s="1"/>
      <c r="Z4651" s="103"/>
      <c r="AA4651" s="103"/>
      <c r="AB4651" s="1"/>
    </row>
    <row r="4652" spans="15:28">
      <c r="O4652" s="1"/>
      <c r="P4652" s="1"/>
      <c r="Q4652" s="1"/>
      <c r="R4652" s="1"/>
      <c r="Z4652" s="103"/>
      <c r="AA4652" s="103"/>
      <c r="AB4652" s="1"/>
    </row>
    <row r="4653" spans="15:28">
      <c r="O4653" s="1"/>
      <c r="P4653" s="1"/>
      <c r="Q4653" s="1"/>
      <c r="R4653" s="1"/>
      <c r="Z4653" s="103"/>
      <c r="AA4653" s="103"/>
      <c r="AB4653" s="1"/>
    </row>
    <row r="4654" spans="15:28">
      <c r="O4654" s="1"/>
      <c r="P4654" s="1"/>
      <c r="Q4654" s="1"/>
      <c r="R4654" s="1"/>
      <c r="Z4654" s="103"/>
      <c r="AA4654" s="103"/>
      <c r="AB4654" s="1"/>
    </row>
    <row r="4655" spans="15:28">
      <c r="O4655" s="1"/>
      <c r="P4655" s="1"/>
      <c r="Q4655" s="1"/>
      <c r="R4655" s="1"/>
      <c r="Z4655" s="103"/>
      <c r="AA4655" s="103"/>
      <c r="AB4655" s="1"/>
    </row>
    <row r="4656" spans="15:28">
      <c r="O4656" s="1"/>
      <c r="P4656" s="1"/>
      <c r="Q4656" s="1"/>
      <c r="R4656" s="1"/>
      <c r="Z4656" s="103"/>
      <c r="AA4656" s="103"/>
      <c r="AB4656" s="1"/>
    </row>
    <row r="4657" spans="15:28">
      <c r="O4657" s="1"/>
      <c r="P4657" s="1"/>
      <c r="Q4657" s="1"/>
      <c r="R4657" s="1"/>
      <c r="Z4657" s="103"/>
      <c r="AA4657" s="103"/>
      <c r="AB4657" s="1"/>
    </row>
    <row r="4658" spans="15:28">
      <c r="O4658" s="1"/>
      <c r="P4658" s="1"/>
      <c r="Q4658" s="1"/>
      <c r="R4658" s="1"/>
      <c r="Z4658" s="103"/>
      <c r="AA4658" s="103"/>
      <c r="AB4658" s="1"/>
    </row>
    <row r="4659" spans="15:28">
      <c r="O4659" s="1"/>
      <c r="P4659" s="1"/>
      <c r="Q4659" s="1"/>
      <c r="R4659" s="1"/>
      <c r="Z4659" s="103"/>
      <c r="AA4659" s="103"/>
      <c r="AB4659" s="1"/>
    </row>
    <row r="4660" spans="15:28">
      <c r="O4660" s="1"/>
      <c r="P4660" s="1"/>
      <c r="Q4660" s="1"/>
      <c r="R4660" s="1"/>
      <c r="Z4660" s="103"/>
      <c r="AA4660" s="103"/>
      <c r="AB4660" s="1"/>
    </row>
    <row r="4661" spans="15:28">
      <c r="O4661" s="1"/>
      <c r="P4661" s="1"/>
      <c r="Q4661" s="1"/>
      <c r="R4661" s="1"/>
      <c r="Z4661" s="103"/>
      <c r="AA4661" s="103"/>
      <c r="AB4661" s="1"/>
    </row>
    <row r="4662" spans="15:28">
      <c r="O4662" s="1"/>
      <c r="P4662" s="1"/>
      <c r="Q4662" s="1"/>
      <c r="R4662" s="1"/>
      <c r="Z4662" s="103"/>
      <c r="AA4662" s="103"/>
      <c r="AB4662" s="1"/>
    </row>
    <row r="4663" spans="15:28">
      <c r="O4663" s="1"/>
      <c r="P4663" s="1"/>
      <c r="Q4663" s="1"/>
      <c r="R4663" s="1"/>
      <c r="Z4663" s="103"/>
      <c r="AA4663" s="103"/>
      <c r="AB4663" s="1"/>
    </row>
    <row r="4664" spans="15:28">
      <c r="O4664" s="1"/>
      <c r="P4664" s="1"/>
      <c r="Q4664" s="1"/>
      <c r="R4664" s="1"/>
      <c r="Z4664" s="103"/>
      <c r="AA4664" s="103"/>
      <c r="AB4664" s="1"/>
    </row>
    <row r="4665" spans="15:28">
      <c r="O4665" s="1"/>
      <c r="P4665" s="1"/>
      <c r="Q4665" s="1"/>
      <c r="R4665" s="1"/>
      <c r="Z4665" s="103"/>
      <c r="AA4665" s="103"/>
      <c r="AB4665" s="1"/>
    </row>
    <row r="4666" spans="15:28">
      <c r="O4666" s="1"/>
      <c r="P4666" s="1"/>
      <c r="Q4666" s="1"/>
      <c r="R4666" s="1"/>
      <c r="Z4666" s="103"/>
      <c r="AA4666" s="103"/>
      <c r="AB4666" s="1"/>
    </row>
    <row r="4667" spans="15:28">
      <c r="O4667" s="1"/>
      <c r="P4667" s="1"/>
      <c r="Q4667" s="1"/>
      <c r="R4667" s="1"/>
      <c r="Z4667" s="103"/>
      <c r="AA4667" s="103"/>
      <c r="AB4667" s="1"/>
    </row>
    <row r="4668" spans="15:28">
      <c r="O4668" s="1"/>
      <c r="P4668" s="1"/>
      <c r="Q4668" s="1"/>
      <c r="R4668" s="1"/>
      <c r="Z4668" s="103"/>
      <c r="AA4668" s="103"/>
      <c r="AB4668" s="1"/>
    </row>
    <row r="4669" spans="15:28">
      <c r="O4669" s="1"/>
      <c r="P4669" s="1"/>
      <c r="Q4669" s="1"/>
      <c r="R4669" s="1"/>
      <c r="Z4669" s="103"/>
      <c r="AA4669" s="103"/>
      <c r="AB4669" s="1"/>
    </row>
    <row r="4670" spans="15:28">
      <c r="O4670" s="1"/>
      <c r="P4670" s="1"/>
      <c r="Q4670" s="1"/>
      <c r="R4670" s="1"/>
      <c r="Z4670" s="103"/>
      <c r="AA4670" s="103"/>
      <c r="AB4670" s="1"/>
    </row>
    <row r="4671" spans="15:28">
      <c r="O4671" s="1"/>
      <c r="P4671" s="1"/>
      <c r="Q4671" s="1"/>
      <c r="R4671" s="1"/>
      <c r="Z4671" s="103"/>
      <c r="AA4671" s="103"/>
      <c r="AB4671" s="1"/>
    </row>
    <row r="4672" spans="15:28">
      <c r="O4672" s="1"/>
      <c r="P4672" s="1"/>
      <c r="Q4672" s="1"/>
      <c r="R4672" s="1"/>
      <c r="Z4672" s="103"/>
      <c r="AA4672" s="103"/>
      <c r="AB4672" s="1"/>
    </row>
    <row r="4673" spans="15:30">
      <c r="O4673" s="1"/>
      <c r="P4673" s="1"/>
      <c r="Q4673" s="1"/>
      <c r="R4673" s="1"/>
      <c r="Z4673" s="103"/>
      <c r="AA4673" s="103"/>
      <c r="AB4673" s="1"/>
    </row>
    <row r="4674" spans="15:30">
      <c r="O4674" s="1"/>
      <c r="P4674" s="1"/>
      <c r="Q4674" s="1"/>
      <c r="R4674" s="1"/>
      <c r="Z4674" s="103"/>
      <c r="AA4674" s="103"/>
      <c r="AB4674" s="1"/>
    </row>
    <row r="4675" spans="15:30">
      <c r="O4675" s="1"/>
      <c r="P4675" s="1"/>
      <c r="Q4675" s="1"/>
      <c r="R4675" s="1"/>
      <c r="Z4675" s="103"/>
      <c r="AA4675" s="103"/>
      <c r="AB4675" s="1"/>
    </row>
    <row r="4676" spans="15:30">
      <c r="O4676" s="1"/>
      <c r="P4676" s="1"/>
      <c r="Q4676" s="1"/>
      <c r="R4676" s="1"/>
      <c r="Z4676" s="103"/>
      <c r="AA4676" s="103"/>
      <c r="AB4676" s="1"/>
    </row>
    <row r="4677" spans="15:30">
      <c r="O4677" s="1"/>
      <c r="P4677" s="1"/>
      <c r="Q4677" s="1"/>
      <c r="R4677" s="1"/>
      <c r="Z4677" s="103"/>
      <c r="AA4677" s="103"/>
      <c r="AB4677" s="1"/>
    </row>
    <row r="4678" spans="15:30">
      <c r="O4678" s="1"/>
      <c r="P4678" s="1"/>
      <c r="Q4678" s="1"/>
      <c r="R4678" s="1"/>
      <c r="Z4678" s="103"/>
      <c r="AA4678" s="103"/>
      <c r="AB4678" s="1"/>
    </row>
    <row r="4679" spans="15:30">
      <c r="O4679" s="1"/>
      <c r="P4679" s="1"/>
      <c r="Q4679" s="1"/>
      <c r="R4679" s="1"/>
      <c r="Z4679" s="103"/>
      <c r="AA4679" s="103"/>
      <c r="AB4679" s="1"/>
    </row>
    <row r="4680" spans="15:30">
      <c r="O4680" s="1"/>
      <c r="P4680" s="1"/>
      <c r="Q4680" s="1"/>
      <c r="R4680" s="1"/>
      <c r="Z4680" s="103"/>
      <c r="AA4680" s="103"/>
      <c r="AB4680" s="1"/>
      <c r="AD4680" s="102"/>
    </row>
    <row r="4681" spans="15:30">
      <c r="O4681" s="1"/>
      <c r="P4681" s="1"/>
      <c r="Q4681" s="1"/>
      <c r="R4681" s="1"/>
      <c r="Z4681" s="103"/>
      <c r="AA4681" s="103"/>
      <c r="AB4681" s="1"/>
    </row>
    <row r="4682" spans="15:30">
      <c r="O4682" s="1"/>
      <c r="P4682" s="1"/>
      <c r="Q4682" s="1"/>
      <c r="R4682" s="1"/>
      <c r="Z4682" s="103"/>
      <c r="AA4682" s="103"/>
      <c r="AB4682" s="1"/>
    </row>
    <row r="4683" spans="15:30">
      <c r="O4683" s="1"/>
      <c r="P4683" s="1"/>
      <c r="Q4683" s="1"/>
      <c r="R4683" s="1"/>
      <c r="Z4683" s="103"/>
      <c r="AA4683" s="103"/>
      <c r="AB4683" s="1"/>
    </row>
    <row r="4684" spans="15:30">
      <c r="O4684" s="1"/>
      <c r="P4684" s="1"/>
      <c r="Q4684" s="1"/>
      <c r="R4684" s="1"/>
      <c r="Z4684" s="103"/>
      <c r="AA4684" s="103"/>
      <c r="AB4684" s="1"/>
    </row>
    <row r="4685" spans="15:30">
      <c r="O4685" s="1"/>
      <c r="P4685" s="1"/>
      <c r="Q4685" s="1"/>
      <c r="R4685" s="1"/>
      <c r="Z4685" s="103"/>
      <c r="AA4685" s="103"/>
      <c r="AB4685" s="1"/>
    </row>
    <row r="4686" spans="15:30">
      <c r="O4686" s="1"/>
      <c r="P4686" s="1"/>
      <c r="Q4686" s="1"/>
      <c r="R4686" s="1"/>
      <c r="Z4686" s="103"/>
      <c r="AA4686" s="103"/>
      <c r="AB4686" s="1"/>
    </row>
    <row r="4687" spans="15:30">
      <c r="O4687" s="1"/>
      <c r="P4687" s="1"/>
      <c r="Q4687" s="1"/>
      <c r="R4687" s="1"/>
      <c r="Z4687" s="103"/>
      <c r="AA4687" s="103"/>
      <c r="AB4687" s="1"/>
    </row>
    <row r="4688" spans="15:30">
      <c r="O4688" s="1"/>
      <c r="P4688" s="1"/>
      <c r="Q4688" s="1"/>
      <c r="R4688" s="1"/>
      <c r="Z4688" s="103"/>
      <c r="AA4688" s="103"/>
      <c r="AB4688" s="1"/>
    </row>
    <row r="4689" spans="15:28">
      <c r="O4689" s="1"/>
      <c r="P4689" s="1"/>
      <c r="Q4689" s="1"/>
      <c r="R4689" s="1"/>
      <c r="Z4689" s="103"/>
      <c r="AA4689" s="103"/>
      <c r="AB4689" s="1"/>
    </row>
    <row r="4690" spans="15:28">
      <c r="O4690" s="1"/>
      <c r="P4690" s="1"/>
      <c r="Q4690" s="1"/>
      <c r="R4690" s="1"/>
      <c r="Z4690" s="103"/>
      <c r="AA4690" s="103"/>
      <c r="AB4690" s="1"/>
    </row>
    <row r="4691" spans="15:28">
      <c r="O4691" s="1"/>
      <c r="P4691" s="1"/>
      <c r="Q4691" s="1"/>
      <c r="R4691" s="1"/>
      <c r="Z4691" s="103"/>
      <c r="AA4691" s="103"/>
      <c r="AB4691" s="1"/>
    </row>
    <row r="4692" spans="15:28">
      <c r="O4692" s="1"/>
      <c r="P4692" s="1"/>
      <c r="Q4692" s="1"/>
      <c r="R4692" s="1"/>
      <c r="Z4692" s="103"/>
      <c r="AA4692" s="103"/>
      <c r="AB4692" s="1"/>
    </row>
    <row r="4693" spans="15:28">
      <c r="O4693" s="1"/>
      <c r="P4693" s="1"/>
      <c r="Q4693" s="1"/>
      <c r="R4693" s="1"/>
      <c r="Z4693" s="103"/>
      <c r="AA4693" s="103"/>
      <c r="AB4693" s="1"/>
    </row>
    <row r="4694" spans="15:28">
      <c r="O4694" s="1"/>
      <c r="P4694" s="1"/>
      <c r="Q4694" s="1"/>
      <c r="R4694" s="1"/>
      <c r="Z4694" s="103"/>
      <c r="AA4694" s="103"/>
      <c r="AB4694" s="1"/>
    </row>
    <row r="4695" spans="15:28">
      <c r="O4695" s="1"/>
      <c r="P4695" s="1"/>
      <c r="Q4695" s="1"/>
      <c r="R4695" s="1"/>
      <c r="Z4695" s="103"/>
      <c r="AA4695" s="103"/>
      <c r="AB4695" s="1"/>
    </row>
    <row r="4696" spans="15:28">
      <c r="O4696" s="1"/>
      <c r="P4696" s="1"/>
      <c r="Q4696" s="1"/>
      <c r="R4696" s="1"/>
      <c r="Z4696" s="103"/>
      <c r="AA4696" s="103"/>
      <c r="AB4696" s="1"/>
    </row>
    <row r="4697" spans="15:28">
      <c r="O4697" s="1"/>
      <c r="P4697" s="1"/>
      <c r="Q4697" s="1"/>
      <c r="R4697" s="1"/>
      <c r="Z4697" s="103"/>
      <c r="AA4697" s="103"/>
      <c r="AB4697" s="1"/>
    </row>
    <row r="4698" spans="15:28">
      <c r="O4698" s="1"/>
      <c r="P4698" s="1"/>
      <c r="Q4698" s="1"/>
      <c r="R4698" s="1"/>
      <c r="Z4698" s="103"/>
      <c r="AA4698" s="103"/>
      <c r="AB4698" s="1"/>
    </row>
    <row r="4699" spans="15:28">
      <c r="O4699" s="1"/>
      <c r="P4699" s="1"/>
      <c r="Q4699" s="1"/>
      <c r="R4699" s="1"/>
      <c r="Z4699" s="103"/>
      <c r="AA4699" s="103"/>
      <c r="AB4699" s="1"/>
    </row>
    <row r="4700" spans="15:28">
      <c r="O4700" s="1"/>
      <c r="P4700" s="1"/>
      <c r="Q4700" s="1"/>
      <c r="R4700" s="1"/>
      <c r="Z4700" s="103"/>
      <c r="AA4700" s="103"/>
      <c r="AB4700" s="1"/>
    </row>
    <row r="4701" spans="15:28">
      <c r="O4701" s="1"/>
      <c r="P4701" s="1"/>
      <c r="Q4701" s="1"/>
      <c r="R4701" s="1"/>
      <c r="Z4701" s="103"/>
      <c r="AA4701" s="103"/>
      <c r="AB4701" s="1"/>
    </row>
    <row r="4702" spans="15:28">
      <c r="O4702" s="1"/>
      <c r="P4702" s="1"/>
      <c r="Q4702" s="1"/>
      <c r="R4702" s="1"/>
      <c r="Z4702" s="103"/>
      <c r="AA4702" s="103"/>
      <c r="AB4702" s="1"/>
    </row>
    <row r="4703" spans="15:28">
      <c r="O4703" s="1"/>
      <c r="P4703" s="1"/>
      <c r="Q4703" s="1"/>
      <c r="R4703" s="1"/>
      <c r="Z4703" s="103"/>
      <c r="AA4703" s="103"/>
      <c r="AB4703" s="1"/>
    </row>
    <row r="4704" spans="15:28">
      <c r="O4704" s="1"/>
      <c r="P4704" s="1"/>
      <c r="Q4704" s="1"/>
      <c r="R4704" s="1"/>
      <c r="Z4704" s="103"/>
      <c r="AA4704" s="103"/>
      <c r="AB4704" s="1"/>
    </row>
    <row r="4705" spans="15:28">
      <c r="O4705" s="1"/>
      <c r="P4705" s="1"/>
      <c r="Q4705" s="1"/>
      <c r="R4705" s="1"/>
      <c r="Z4705" s="103"/>
      <c r="AA4705" s="103"/>
      <c r="AB4705" s="1"/>
    </row>
    <row r="4706" spans="15:28">
      <c r="O4706" s="1"/>
      <c r="P4706" s="1"/>
      <c r="Q4706" s="1"/>
      <c r="R4706" s="1"/>
      <c r="Z4706" s="103"/>
      <c r="AA4706" s="103"/>
      <c r="AB4706" s="1"/>
    </row>
    <row r="4707" spans="15:28">
      <c r="O4707" s="1"/>
      <c r="P4707" s="1"/>
      <c r="Q4707" s="1"/>
      <c r="R4707" s="1"/>
      <c r="Z4707" s="103"/>
      <c r="AA4707" s="103"/>
      <c r="AB4707" s="1"/>
    </row>
    <row r="4708" spans="15:28">
      <c r="O4708" s="1"/>
      <c r="P4708" s="1"/>
      <c r="Q4708" s="1"/>
      <c r="R4708" s="1"/>
      <c r="Z4708" s="103"/>
      <c r="AA4708" s="103"/>
      <c r="AB4708" s="1"/>
    </row>
    <row r="4709" spans="15:28">
      <c r="O4709" s="1"/>
      <c r="P4709" s="1"/>
      <c r="Q4709" s="1"/>
      <c r="R4709" s="1"/>
      <c r="Z4709" s="103"/>
      <c r="AA4709" s="103"/>
      <c r="AB4709" s="1"/>
    </row>
    <row r="4710" spans="15:28">
      <c r="O4710" s="1"/>
      <c r="P4710" s="1"/>
      <c r="Q4710" s="1"/>
      <c r="R4710" s="1"/>
      <c r="Z4710" s="103"/>
      <c r="AA4710" s="103"/>
      <c r="AB4710" s="1"/>
    </row>
    <row r="4711" spans="15:28">
      <c r="O4711" s="1"/>
      <c r="P4711" s="1"/>
      <c r="Q4711" s="1"/>
      <c r="R4711" s="1"/>
      <c r="Z4711" s="103"/>
      <c r="AA4711" s="103"/>
      <c r="AB4711" s="1"/>
    </row>
    <row r="4712" spans="15:28">
      <c r="O4712" s="1"/>
      <c r="P4712" s="1"/>
      <c r="Q4712" s="1"/>
      <c r="R4712" s="1"/>
      <c r="Z4712" s="103"/>
      <c r="AA4712" s="103"/>
      <c r="AB4712" s="1"/>
    </row>
    <row r="4713" spans="15:28">
      <c r="O4713" s="1"/>
      <c r="P4713" s="1"/>
      <c r="Q4713" s="1"/>
      <c r="R4713" s="1"/>
      <c r="Z4713" s="103"/>
      <c r="AA4713" s="103"/>
      <c r="AB4713" s="1"/>
    </row>
    <row r="4714" spans="15:28">
      <c r="O4714" s="1"/>
      <c r="P4714" s="1"/>
      <c r="Q4714" s="1"/>
      <c r="R4714" s="1"/>
      <c r="Z4714" s="103"/>
      <c r="AA4714" s="103"/>
      <c r="AB4714" s="1"/>
    </row>
    <row r="4715" spans="15:28">
      <c r="O4715" s="1"/>
      <c r="P4715" s="1"/>
      <c r="Q4715" s="1"/>
      <c r="R4715" s="1"/>
      <c r="Z4715" s="103"/>
      <c r="AA4715" s="103"/>
      <c r="AB4715" s="1"/>
    </row>
    <row r="4716" spans="15:28">
      <c r="O4716" s="1"/>
      <c r="P4716" s="1"/>
      <c r="Q4716" s="1"/>
      <c r="R4716" s="1"/>
      <c r="Z4716" s="103"/>
      <c r="AA4716" s="103"/>
      <c r="AB4716" s="1"/>
    </row>
    <row r="4717" spans="15:28">
      <c r="O4717" s="1"/>
      <c r="P4717" s="1"/>
      <c r="Q4717" s="1"/>
      <c r="R4717" s="1"/>
      <c r="Z4717" s="103"/>
      <c r="AA4717" s="103"/>
      <c r="AB4717" s="1"/>
    </row>
    <row r="4718" spans="15:28">
      <c r="O4718" s="1"/>
      <c r="P4718" s="1"/>
      <c r="Q4718" s="1"/>
      <c r="R4718" s="1"/>
      <c r="Z4718" s="103"/>
      <c r="AA4718" s="103"/>
      <c r="AB4718" s="1"/>
    </row>
    <row r="4719" spans="15:28">
      <c r="O4719" s="1"/>
      <c r="P4719" s="1"/>
      <c r="Q4719" s="1"/>
      <c r="R4719" s="1"/>
      <c r="Z4719" s="103"/>
      <c r="AA4719" s="103"/>
      <c r="AB4719" s="1"/>
    </row>
    <row r="4720" spans="15:28">
      <c r="O4720" s="1"/>
      <c r="P4720" s="1"/>
      <c r="Q4720" s="1"/>
      <c r="R4720" s="1"/>
      <c r="Z4720" s="103"/>
      <c r="AA4720" s="103"/>
      <c r="AB4720" s="1"/>
    </row>
    <row r="4721" spans="15:30">
      <c r="O4721" s="1"/>
      <c r="P4721" s="1"/>
      <c r="Q4721" s="1"/>
      <c r="R4721" s="1"/>
      <c r="Z4721" s="103"/>
      <c r="AA4721" s="103"/>
      <c r="AB4721" s="1"/>
    </row>
    <row r="4722" spans="15:30">
      <c r="O4722" s="1"/>
      <c r="P4722" s="1"/>
      <c r="Q4722" s="1"/>
      <c r="R4722" s="1"/>
      <c r="Z4722" s="103"/>
      <c r="AA4722" s="103"/>
      <c r="AB4722" s="1"/>
    </row>
    <row r="4723" spans="15:30">
      <c r="O4723" s="1"/>
      <c r="P4723" s="1"/>
      <c r="Q4723" s="1"/>
      <c r="R4723" s="1"/>
      <c r="Z4723" s="103"/>
      <c r="AA4723" s="103"/>
      <c r="AB4723" s="1"/>
    </row>
    <row r="4724" spans="15:30">
      <c r="O4724" s="1"/>
      <c r="P4724" s="1"/>
      <c r="Q4724" s="1"/>
      <c r="R4724" s="1"/>
      <c r="Z4724" s="103"/>
      <c r="AA4724" s="103"/>
      <c r="AB4724" s="1"/>
    </row>
    <row r="4725" spans="15:30">
      <c r="O4725" s="1"/>
      <c r="P4725" s="1"/>
      <c r="Q4725" s="1"/>
      <c r="R4725" s="1"/>
      <c r="Z4725" s="103"/>
      <c r="AA4725" s="103"/>
      <c r="AB4725" s="1"/>
    </row>
    <row r="4726" spans="15:30">
      <c r="O4726" s="1"/>
      <c r="P4726" s="1"/>
      <c r="Q4726" s="1"/>
      <c r="R4726" s="1"/>
      <c r="Z4726" s="103"/>
      <c r="AA4726" s="103"/>
      <c r="AB4726" s="1"/>
    </row>
    <row r="4727" spans="15:30">
      <c r="O4727" s="1"/>
      <c r="P4727" s="1"/>
      <c r="Q4727" s="1"/>
      <c r="R4727" s="1"/>
      <c r="Z4727" s="103"/>
      <c r="AA4727" s="103"/>
      <c r="AB4727" s="1"/>
    </row>
    <row r="4728" spans="15:30">
      <c r="O4728" s="1"/>
      <c r="P4728" s="1"/>
      <c r="Q4728" s="1"/>
      <c r="R4728" s="1"/>
      <c r="Z4728" s="103"/>
      <c r="AA4728" s="103"/>
      <c r="AB4728" s="1"/>
    </row>
    <row r="4729" spans="15:30">
      <c r="O4729" s="1"/>
      <c r="P4729" s="1"/>
      <c r="Q4729" s="1"/>
      <c r="R4729" s="1"/>
      <c r="Z4729" s="103"/>
      <c r="AA4729" s="103"/>
      <c r="AB4729" s="1"/>
    </row>
    <row r="4730" spans="15:30">
      <c r="O4730" s="1"/>
      <c r="P4730" s="1"/>
      <c r="Q4730" s="1"/>
      <c r="R4730" s="1"/>
      <c r="Z4730" s="103"/>
      <c r="AA4730" s="103"/>
      <c r="AB4730" s="1"/>
      <c r="AD4730" s="102"/>
    </row>
    <row r="4731" spans="15:30">
      <c r="O4731" s="1"/>
      <c r="P4731" s="1"/>
      <c r="Q4731" s="1"/>
      <c r="R4731" s="1"/>
      <c r="Z4731" s="103"/>
      <c r="AA4731" s="103"/>
      <c r="AB4731" s="1"/>
    </row>
    <row r="4732" spans="15:30">
      <c r="O4732" s="1"/>
      <c r="P4732" s="1"/>
      <c r="Q4732" s="1"/>
      <c r="R4732" s="1"/>
      <c r="Z4732" s="103"/>
      <c r="AA4732" s="103"/>
      <c r="AB4732" s="1"/>
      <c r="AD4732" s="102"/>
    </row>
    <row r="4733" spans="15:30">
      <c r="O4733" s="1"/>
      <c r="P4733" s="1"/>
      <c r="Q4733" s="1"/>
      <c r="R4733" s="1"/>
      <c r="Z4733" s="103"/>
      <c r="AA4733" s="103"/>
      <c r="AB4733" s="1"/>
    </row>
    <row r="4734" spans="15:30">
      <c r="O4734" s="1"/>
      <c r="P4734" s="1"/>
      <c r="Q4734" s="1"/>
      <c r="R4734" s="1"/>
      <c r="Z4734" s="103"/>
      <c r="AA4734" s="103"/>
      <c r="AB4734" s="1"/>
    </row>
    <row r="4735" spans="15:30">
      <c r="O4735" s="1"/>
      <c r="P4735" s="1"/>
      <c r="Q4735" s="1"/>
      <c r="R4735" s="1"/>
      <c r="Z4735" s="103"/>
      <c r="AA4735" s="103"/>
      <c r="AB4735" s="1"/>
    </row>
    <row r="4736" spans="15:30">
      <c r="O4736" s="1"/>
      <c r="P4736" s="1"/>
      <c r="Q4736" s="1"/>
      <c r="R4736" s="1"/>
      <c r="Z4736" s="103"/>
      <c r="AA4736" s="103"/>
      <c r="AB4736" s="1"/>
    </row>
    <row r="4737" spans="15:30">
      <c r="O4737" s="1"/>
      <c r="P4737" s="1"/>
      <c r="Q4737" s="1"/>
      <c r="R4737" s="1"/>
      <c r="Z4737" s="103"/>
      <c r="AA4737" s="103"/>
      <c r="AB4737" s="1"/>
    </row>
    <row r="4738" spans="15:30">
      <c r="O4738" s="1"/>
      <c r="P4738" s="1"/>
      <c r="Q4738" s="1"/>
      <c r="R4738" s="1"/>
      <c r="Z4738" s="103"/>
      <c r="AA4738" s="103"/>
      <c r="AB4738" s="1"/>
    </row>
    <row r="4739" spans="15:30">
      <c r="O4739" s="1"/>
      <c r="P4739" s="1"/>
      <c r="Q4739" s="1"/>
      <c r="R4739" s="1"/>
      <c r="Z4739" s="103"/>
      <c r="AA4739" s="103"/>
      <c r="AB4739" s="1"/>
    </row>
    <row r="4740" spans="15:30">
      <c r="O4740" s="1"/>
      <c r="P4740" s="1"/>
      <c r="Q4740" s="1"/>
      <c r="R4740" s="1"/>
      <c r="Z4740" s="103"/>
      <c r="AA4740" s="103"/>
      <c r="AB4740" s="1"/>
      <c r="AD4740" s="102"/>
    </row>
    <row r="4741" spans="15:30">
      <c r="O4741" s="1"/>
      <c r="P4741" s="1"/>
      <c r="Q4741" s="1"/>
      <c r="R4741" s="1"/>
      <c r="Z4741" s="103"/>
      <c r="AA4741" s="103"/>
      <c r="AB4741" s="1"/>
    </row>
    <row r="4742" spans="15:30">
      <c r="O4742" s="1"/>
      <c r="P4742" s="1"/>
      <c r="Q4742" s="1"/>
      <c r="R4742" s="1"/>
      <c r="Z4742" s="103"/>
      <c r="AA4742" s="103"/>
      <c r="AB4742" s="1"/>
    </row>
    <row r="4743" spans="15:30">
      <c r="O4743" s="1"/>
      <c r="P4743" s="1"/>
      <c r="Q4743" s="1"/>
      <c r="R4743" s="1"/>
      <c r="Z4743" s="103"/>
      <c r="AA4743" s="103"/>
      <c r="AB4743" s="1"/>
    </row>
    <row r="4744" spans="15:30">
      <c r="O4744" s="1"/>
      <c r="P4744" s="1"/>
      <c r="Q4744" s="1"/>
      <c r="R4744" s="1"/>
      <c r="Z4744" s="103"/>
      <c r="AA4744" s="103"/>
      <c r="AB4744" s="1"/>
    </row>
    <row r="4745" spans="15:30">
      <c r="O4745" s="1"/>
      <c r="P4745" s="1"/>
      <c r="Q4745" s="1"/>
      <c r="R4745" s="1"/>
      <c r="Z4745" s="103"/>
      <c r="AA4745" s="103"/>
      <c r="AB4745" s="1"/>
    </row>
    <row r="4746" spans="15:30">
      <c r="O4746" s="1"/>
      <c r="P4746" s="1"/>
      <c r="Q4746" s="1"/>
      <c r="R4746" s="1"/>
      <c r="Z4746" s="103"/>
      <c r="AA4746" s="103"/>
      <c r="AB4746" s="1"/>
    </row>
    <row r="4747" spans="15:30">
      <c r="O4747" s="1"/>
      <c r="P4747" s="1"/>
      <c r="Q4747" s="1"/>
      <c r="R4747" s="1"/>
      <c r="Z4747" s="103"/>
      <c r="AA4747" s="103"/>
      <c r="AB4747" s="1"/>
    </row>
    <row r="4748" spans="15:30">
      <c r="O4748" s="1"/>
      <c r="P4748" s="1"/>
      <c r="Q4748" s="1"/>
      <c r="R4748" s="1"/>
      <c r="Z4748" s="103"/>
      <c r="AA4748" s="103"/>
      <c r="AB4748" s="1"/>
    </row>
    <row r="4749" spans="15:30">
      <c r="O4749" s="1"/>
      <c r="P4749" s="1"/>
      <c r="Q4749" s="1"/>
      <c r="R4749" s="1"/>
      <c r="Z4749" s="103"/>
      <c r="AA4749" s="103"/>
      <c r="AB4749" s="1"/>
    </row>
    <row r="4750" spans="15:30">
      <c r="O4750" s="1"/>
      <c r="P4750" s="1"/>
      <c r="Q4750" s="1"/>
      <c r="R4750" s="1"/>
      <c r="Z4750" s="103"/>
      <c r="AA4750" s="103"/>
      <c r="AB4750" s="1"/>
    </row>
    <row r="4751" spans="15:30">
      <c r="O4751" s="1"/>
      <c r="P4751" s="1"/>
      <c r="Q4751" s="1"/>
      <c r="R4751" s="1"/>
      <c r="Z4751" s="103"/>
      <c r="AA4751" s="103"/>
      <c r="AB4751" s="1"/>
    </row>
    <row r="4752" spans="15:30">
      <c r="O4752" s="1"/>
      <c r="P4752" s="1"/>
      <c r="Q4752" s="1"/>
      <c r="R4752" s="1"/>
      <c r="Z4752" s="103"/>
      <c r="AA4752" s="103"/>
      <c r="AB4752" s="1"/>
    </row>
    <row r="4753" spans="15:28">
      <c r="O4753" s="1"/>
      <c r="P4753" s="1"/>
      <c r="Q4753" s="1"/>
      <c r="R4753" s="1"/>
      <c r="Z4753" s="103"/>
      <c r="AA4753" s="103"/>
      <c r="AB4753" s="1"/>
    </row>
    <row r="4754" spans="15:28">
      <c r="O4754" s="1"/>
      <c r="P4754" s="1"/>
      <c r="Q4754" s="1"/>
      <c r="R4754" s="1"/>
      <c r="Z4754" s="103"/>
      <c r="AA4754" s="103"/>
      <c r="AB4754" s="1"/>
    </row>
    <row r="4755" spans="15:28">
      <c r="O4755" s="1"/>
      <c r="P4755" s="1"/>
      <c r="Q4755" s="1"/>
      <c r="R4755" s="1"/>
      <c r="Z4755" s="103"/>
      <c r="AA4755" s="103"/>
      <c r="AB4755" s="1"/>
    </row>
    <row r="4756" spans="15:28">
      <c r="O4756" s="1"/>
      <c r="P4756" s="1"/>
      <c r="Q4756" s="1"/>
      <c r="R4756" s="1"/>
      <c r="Z4756" s="103"/>
      <c r="AA4756" s="103"/>
      <c r="AB4756" s="1"/>
    </row>
    <row r="4757" spans="15:28">
      <c r="O4757" s="1"/>
      <c r="P4757" s="1"/>
      <c r="Q4757" s="1"/>
      <c r="R4757" s="1"/>
      <c r="Z4757" s="103"/>
      <c r="AA4757" s="103"/>
      <c r="AB4757" s="1"/>
    </row>
    <row r="4758" spans="15:28">
      <c r="O4758" s="1"/>
      <c r="P4758" s="1"/>
      <c r="Q4758" s="1"/>
      <c r="R4758" s="1"/>
      <c r="Z4758" s="103"/>
      <c r="AA4758" s="103"/>
      <c r="AB4758" s="1"/>
    </row>
    <row r="4759" spans="15:28">
      <c r="O4759" s="1"/>
      <c r="P4759" s="1"/>
      <c r="Q4759" s="1"/>
      <c r="R4759" s="1"/>
      <c r="Z4759" s="103"/>
      <c r="AA4759" s="103"/>
      <c r="AB4759" s="1"/>
    </row>
    <row r="4760" spans="15:28">
      <c r="O4760" s="1"/>
      <c r="P4760" s="1"/>
      <c r="Q4760" s="1"/>
      <c r="R4760" s="1"/>
      <c r="Z4760" s="103"/>
      <c r="AA4760" s="103"/>
      <c r="AB4760" s="1"/>
    </row>
    <row r="4761" spans="15:28">
      <c r="O4761" s="1"/>
      <c r="P4761" s="1"/>
      <c r="Q4761" s="1"/>
      <c r="R4761" s="1"/>
      <c r="Z4761" s="103"/>
      <c r="AA4761" s="103"/>
      <c r="AB4761" s="1"/>
    </row>
    <row r="4762" spans="15:28">
      <c r="O4762" s="1"/>
      <c r="P4762" s="1"/>
      <c r="Q4762" s="1"/>
      <c r="R4762" s="1"/>
      <c r="Z4762" s="103"/>
      <c r="AA4762" s="103"/>
      <c r="AB4762" s="1"/>
    </row>
    <row r="4763" spans="15:28">
      <c r="O4763" s="1"/>
      <c r="P4763" s="1"/>
      <c r="Q4763" s="1"/>
      <c r="R4763" s="1"/>
      <c r="Z4763" s="103"/>
      <c r="AA4763" s="103"/>
      <c r="AB4763" s="1"/>
    </row>
    <row r="4764" spans="15:28">
      <c r="O4764" s="1"/>
      <c r="P4764" s="1"/>
      <c r="Q4764" s="1"/>
      <c r="R4764" s="1"/>
      <c r="Z4764" s="103"/>
      <c r="AA4764" s="103"/>
      <c r="AB4764" s="1"/>
    </row>
    <row r="4765" spans="15:28">
      <c r="O4765" s="1"/>
      <c r="P4765" s="1"/>
      <c r="Q4765" s="1"/>
      <c r="R4765" s="1"/>
      <c r="Z4765" s="103"/>
      <c r="AA4765" s="103"/>
      <c r="AB4765" s="1"/>
    </row>
    <row r="4766" spans="15:28">
      <c r="O4766" s="1"/>
      <c r="P4766" s="1"/>
      <c r="Q4766" s="1"/>
      <c r="R4766" s="1"/>
      <c r="Z4766" s="103"/>
      <c r="AA4766" s="103"/>
      <c r="AB4766" s="1"/>
    </row>
    <row r="4767" spans="15:28">
      <c r="O4767" s="1"/>
      <c r="P4767" s="1"/>
      <c r="Q4767" s="1"/>
      <c r="R4767" s="1"/>
      <c r="Z4767" s="103"/>
      <c r="AA4767" s="103"/>
      <c r="AB4767" s="1"/>
    </row>
    <row r="4768" spans="15:28">
      <c r="O4768" s="1"/>
      <c r="P4768" s="1"/>
      <c r="Q4768" s="1"/>
      <c r="R4768" s="1"/>
      <c r="Z4768" s="103"/>
      <c r="AA4768" s="103"/>
      <c r="AB4768" s="1"/>
    </row>
    <row r="4769" spans="15:28">
      <c r="O4769" s="1"/>
      <c r="P4769" s="1"/>
      <c r="Q4769" s="1"/>
      <c r="R4769" s="1"/>
      <c r="Z4769" s="103"/>
      <c r="AA4769" s="103"/>
      <c r="AB4769" s="1"/>
    </row>
    <row r="4770" spans="15:28">
      <c r="O4770" s="1"/>
      <c r="P4770" s="1"/>
      <c r="Q4770" s="1"/>
      <c r="R4770" s="1"/>
      <c r="Z4770" s="103"/>
      <c r="AA4770" s="103"/>
      <c r="AB4770" s="1"/>
    </row>
    <row r="4771" spans="15:28">
      <c r="O4771" s="1"/>
      <c r="P4771" s="1"/>
      <c r="Q4771" s="1"/>
      <c r="R4771" s="1"/>
      <c r="Z4771" s="103"/>
      <c r="AA4771" s="103"/>
      <c r="AB4771" s="1"/>
    </row>
    <row r="4772" spans="15:28">
      <c r="O4772" s="1"/>
      <c r="P4772" s="1"/>
      <c r="Q4772" s="1"/>
      <c r="R4772" s="1"/>
      <c r="Z4772" s="103"/>
      <c r="AA4772" s="103"/>
      <c r="AB4772" s="1"/>
    </row>
    <row r="4773" spans="15:28">
      <c r="O4773" s="1"/>
      <c r="P4773" s="1"/>
      <c r="Q4773" s="1"/>
      <c r="R4773" s="1"/>
      <c r="Z4773" s="103"/>
      <c r="AA4773" s="103"/>
      <c r="AB4773" s="1"/>
    </row>
    <row r="4774" spans="15:28">
      <c r="O4774" s="1"/>
      <c r="P4774" s="1"/>
      <c r="Q4774" s="1"/>
      <c r="R4774" s="1"/>
      <c r="Z4774" s="103"/>
      <c r="AA4774" s="103"/>
      <c r="AB4774" s="1"/>
    </row>
    <row r="4775" spans="15:28">
      <c r="O4775" s="1"/>
      <c r="P4775" s="1"/>
      <c r="Q4775" s="1"/>
      <c r="R4775" s="1"/>
      <c r="Z4775" s="103"/>
      <c r="AA4775" s="103"/>
      <c r="AB4775" s="1"/>
    </row>
    <row r="4776" spans="15:28">
      <c r="O4776" s="1"/>
      <c r="P4776" s="1"/>
      <c r="Q4776" s="1"/>
      <c r="R4776" s="1"/>
      <c r="Z4776" s="103"/>
      <c r="AA4776" s="103"/>
      <c r="AB4776" s="1"/>
    </row>
    <row r="4777" spans="15:28">
      <c r="O4777" s="1"/>
      <c r="P4777" s="1"/>
      <c r="Q4777" s="1"/>
      <c r="R4777" s="1"/>
      <c r="Z4777" s="103"/>
      <c r="AA4777" s="103"/>
      <c r="AB4777" s="1"/>
    </row>
    <row r="4778" spans="15:28">
      <c r="O4778" s="1"/>
      <c r="P4778" s="1"/>
      <c r="Q4778" s="1"/>
      <c r="R4778" s="1"/>
      <c r="Z4778" s="103"/>
      <c r="AA4778" s="103"/>
      <c r="AB4778" s="1"/>
    </row>
    <row r="4779" spans="15:28">
      <c r="O4779" s="1"/>
      <c r="P4779" s="1"/>
      <c r="Q4779" s="1"/>
      <c r="R4779" s="1"/>
      <c r="Z4779" s="103"/>
      <c r="AA4779" s="103"/>
      <c r="AB4779" s="1"/>
    </row>
    <row r="4780" spans="15:28">
      <c r="O4780" s="1"/>
      <c r="P4780" s="1"/>
      <c r="Q4780" s="1"/>
      <c r="R4780" s="1"/>
      <c r="Z4780" s="103"/>
      <c r="AA4780" s="103"/>
      <c r="AB4780" s="1"/>
    </row>
    <row r="4781" spans="15:28">
      <c r="O4781" s="1"/>
      <c r="P4781" s="1"/>
      <c r="Q4781" s="1"/>
      <c r="R4781" s="1"/>
      <c r="Z4781" s="103"/>
      <c r="AA4781" s="103"/>
      <c r="AB4781" s="1"/>
    </row>
    <row r="4782" spans="15:28">
      <c r="O4782" s="1"/>
      <c r="P4782" s="1"/>
      <c r="Q4782" s="1"/>
      <c r="R4782" s="1"/>
      <c r="Z4782" s="103"/>
      <c r="AA4782" s="103"/>
      <c r="AB4782" s="1"/>
    </row>
    <row r="4783" spans="15:28">
      <c r="O4783" s="1"/>
      <c r="P4783" s="1"/>
      <c r="Q4783" s="1"/>
      <c r="R4783" s="1"/>
      <c r="Z4783" s="103"/>
      <c r="AA4783" s="103"/>
      <c r="AB4783" s="1"/>
    </row>
    <row r="4784" spans="15:28">
      <c r="O4784" s="1"/>
      <c r="P4784" s="1"/>
      <c r="Q4784" s="1"/>
      <c r="R4784" s="1"/>
      <c r="Z4784" s="103"/>
      <c r="AA4784" s="103"/>
      <c r="AB4784" s="1"/>
    </row>
    <row r="4785" spans="15:30">
      <c r="O4785" s="1"/>
      <c r="P4785" s="1"/>
      <c r="Q4785" s="1"/>
      <c r="R4785" s="1"/>
      <c r="Z4785" s="103"/>
      <c r="AA4785" s="103"/>
      <c r="AB4785" s="1"/>
    </row>
    <row r="4786" spans="15:30">
      <c r="O4786" s="1"/>
      <c r="P4786" s="1"/>
      <c r="Q4786" s="1"/>
      <c r="R4786" s="1"/>
      <c r="Z4786" s="103"/>
      <c r="AA4786" s="103"/>
      <c r="AB4786" s="1"/>
    </row>
    <row r="4787" spans="15:30">
      <c r="O4787" s="1"/>
      <c r="P4787" s="1"/>
      <c r="Q4787" s="1"/>
      <c r="R4787" s="1"/>
      <c r="Z4787" s="103"/>
      <c r="AA4787" s="103"/>
      <c r="AB4787" s="1"/>
    </row>
    <row r="4788" spans="15:30">
      <c r="O4788" s="1"/>
      <c r="P4788" s="1"/>
      <c r="Q4788" s="1"/>
      <c r="R4788" s="1"/>
      <c r="Z4788" s="103"/>
      <c r="AA4788" s="103"/>
      <c r="AB4788" s="1"/>
    </row>
    <row r="4789" spans="15:30">
      <c r="O4789" s="1"/>
      <c r="P4789" s="1"/>
      <c r="Q4789" s="1"/>
      <c r="R4789" s="1"/>
      <c r="Z4789" s="103"/>
      <c r="AA4789" s="103"/>
      <c r="AB4789" s="1"/>
    </row>
    <row r="4790" spans="15:30">
      <c r="O4790" s="1"/>
      <c r="P4790" s="1"/>
      <c r="Q4790" s="1"/>
      <c r="R4790" s="1"/>
      <c r="Z4790" s="103"/>
      <c r="AA4790" s="103"/>
      <c r="AB4790" s="1"/>
    </row>
    <row r="4791" spans="15:30">
      <c r="O4791" s="1"/>
      <c r="P4791" s="1"/>
      <c r="Q4791" s="1"/>
      <c r="R4791" s="1"/>
      <c r="Z4791" s="103"/>
      <c r="AA4791" s="103"/>
      <c r="AB4791" s="1"/>
      <c r="AD4791" s="102"/>
    </row>
    <row r="4792" spans="15:30">
      <c r="O4792" s="1"/>
      <c r="P4792" s="1"/>
      <c r="Q4792" s="1"/>
      <c r="R4792" s="1"/>
      <c r="Z4792" s="103"/>
      <c r="AA4792" s="103"/>
      <c r="AB4792" s="1"/>
    </row>
    <row r="4793" spans="15:30">
      <c r="O4793" s="1"/>
      <c r="P4793" s="1"/>
      <c r="Q4793" s="1"/>
      <c r="R4793" s="1"/>
      <c r="Z4793" s="103"/>
      <c r="AA4793" s="103"/>
      <c r="AB4793" s="1"/>
    </row>
    <row r="4794" spans="15:30">
      <c r="O4794" s="1"/>
      <c r="P4794" s="1"/>
      <c r="Q4794" s="1"/>
      <c r="R4794" s="1"/>
      <c r="Z4794" s="103"/>
      <c r="AA4794" s="103"/>
      <c r="AB4794" s="1"/>
    </row>
    <row r="4795" spans="15:30">
      <c r="O4795" s="1"/>
      <c r="P4795" s="1"/>
      <c r="Q4795" s="1"/>
      <c r="R4795" s="1"/>
      <c r="Z4795" s="103"/>
      <c r="AA4795" s="103"/>
      <c r="AB4795" s="1"/>
    </row>
    <row r="4796" spans="15:30">
      <c r="O4796" s="1"/>
      <c r="P4796" s="1"/>
      <c r="Q4796" s="1"/>
      <c r="R4796" s="1"/>
      <c r="Z4796" s="103"/>
      <c r="AA4796" s="103"/>
      <c r="AB4796" s="1"/>
    </row>
    <row r="4797" spans="15:30">
      <c r="O4797" s="1"/>
      <c r="P4797" s="1"/>
      <c r="Q4797" s="1"/>
      <c r="R4797" s="1"/>
      <c r="Z4797" s="103"/>
      <c r="AA4797" s="103"/>
      <c r="AB4797" s="1"/>
    </row>
    <row r="4798" spans="15:30">
      <c r="O4798" s="1"/>
      <c r="P4798" s="1"/>
      <c r="Q4798" s="1"/>
      <c r="R4798" s="1"/>
      <c r="Z4798" s="103"/>
      <c r="AA4798" s="103"/>
      <c r="AB4798" s="1"/>
    </row>
    <row r="4799" spans="15:30">
      <c r="O4799" s="1"/>
      <c r="P4799" s="1"/>
      <c r="Q4799" s="1"/>
      <c r="R4799" s="1"/>
      <c r="Z4799" s="103"/>
      <c r="AA4799" s="103"/>
      <c r="AB4799" s="1"/>
    </row>
    <row r="4800" spans="15:30">
      <c r="O4800" s="1"/>
      <c r="P4800" s="1"/>
      <c r="Q4800" s="1"/>
      <c r="R4800" s="1"/>
      <c r="Z4800" s="103"/>
      <c r="AA4800" s="103"/>
      <c r="AB4800" s="1"/>
    </row>
    <row r="4801" spans="15:30">
      <c r="O4801" s="1"/>
      <c r="P4801" s="1"/>
      <c r="Q4801" s="1"/>
      <c r="R4801" s="1"/>
      <c r="Z4801" s="103"/>
      <c r="AA4801" s="103"/>
      <c r="AB4801" s="1"/>
    </row>
    <row r="4802" spans="15:30">
      <c r="O4802" s="1"/>
      <c r="P4802" s="1"/>
      <c r="Q4802" s="1"/>
      <c r="R4802" s="1"/>
      <c r="Z4802" s="103"/>
      <c r="AA4802" s="103"/>
      <c r="AB4802" s="1"/>
    </row>
    <row r="4803" spans="15:30">
      <c r="O4803" s="1"/>
      <c r="P4803" s="1"/>
      <c r="Q4803" s="1"/>
      <c r="R4803" s="1"/>
      <c r="Z4803" s="103"/>
      <c r="AA4803" s="103"/>
      <c r="AB4803" s="1"/>
    </row>
    <row r="4804" spans="15:30">
      <c r="O4804" s="1"/>
      <c r="P4804" s="1"/>
      <c r="Q4804" s="1"/>
      <c r="R4804" s="1"/>
      <c r="Z4804" s="103"/>
      <c r="AA4804" s="103"/>
      <c r="AB4804" s="1"/>
    </row>
    <row r="4805" spans="15:30">
      <c r="O4805" s="1"/>
      <c r="P4805" s="1"/>
      <c r="Q4805" s="1"/>
      <c r="R4805" s="1"/>
      <c r="Z4805" s="103"/>
      <c r="AA4805" s="103"/>
      <c r="AB4805" s="1"/>
    </row>
    <row r="4806" spans="15:30">
      <c r="O4806" s="1"/>
      <c r="P4806" s="1"/>
      <c r="Q4806" s="1"/>
      <c r="R4806" s="1"/>
      <c r="Z4806" s="103"/>
      <c r="AA4806" s="103"/>
      <c r="AB4806" s="1"/>
    </row>
    <row r="4807" spans="15:30">
      <c r="O4807" s="1"/>
      <c r="P4807" s="1"/>
      <c r="Q4807" s="1"/>
      <c r="R4807" s="1"/>
      <c r="Z4807" s="103"/>
      <c r="AA4807" s="103"/>
      <c r="AB4807" s="1"/>
    </row>
    <row r="4808" spans="15:30">
      <c r="O4808" s="1"/>
      <c r="P4808" s="1"/>
      <c r="Q4808" s="1"/>
      <c r="R4808" s="1"/>
      <c r="Z4808" s="103"/>
      <c r="AA4808" s="103"/>
      <c r="AB4808" s="1"/>
    </row>
    <row r="4809" spans="15:30">
      <c r="O4809" s="1"/>
      <c r="P4809" s="1"/>
      <c r="Q4809" s="1"/>
      <c r="R4809" s="1"/>
      <c r="Z4809" s="103"/>
      <c r="AA4809" s="103"/>
      <c r="AB4809" s="1"/>
    </row>
    <row r="4810" spans="15:30">
      <c r="O4810" s="1"/>
      <c r="P4810" s="1"/>
      <c r="Q4810" s="1"/>
      <c r="R4810" s="1"/>
      <c r="Z4810" s="103"/>
      <c r="AA4810" s="103"/>
      <c r="AB4810" s="1"/>
    </row>
    <row r="4811" spans="15:30">
      <c r="O4811" s="1"/>
      <c r="P4811" s="1"/>
      <c r="Q4811" s="1"/>
      <c r="R4811" s="1"/>
      <c r="Z4811" s="103"/>
      <c r="AA4811" s="103"/>
      <c r="AB4811" s="1"/>
    </row>
    <row r="4812" spans="15:30">
      <c r="O4812" s="1"/>
      <c r="P4812" s="1"/>
      <c r="Q4812" s="1"/>
      <c r="R4812" s="1"/>
      <c r="Z4812" s="103"/>
      <c r="AA4812" s="103"/>
      <c r="AB4812" s="1"/>
    </row>
    <row r="4813" spans="15:30">
      <c r="O4813" s="1"/>
      <c r="P4813" s="1"/>
      <c r="Q4813" s="1"/>
      <c r="R4813" s="1"/>
      <c r="Z4813" s="103"/>
      <c r="AA4813" s="103"/>
      <c r="AB4813" s="1"/>
    </row>
    <row r="4814" spans="15:30">
      <c r="O4814" s="1"/>
      <c r="P4814" s="1"/>
      <c r="Q4814" s="1"/>
      <c r="R4814" s="1"/>
      <c r="Z4814" s="103"/>
      <c r="AA4814" s="103"/>
      <c r="AB4814" s="1"/>
    </row>
    <row r="4815" spans="15:30">
      <c r="O4815" s="1"/>
      <c r="P4815" s="1"/>
      <c r="Q4815" s="1"/>
      <c r="R4815" s="1"/>
      <c r="Z4815" s="103"/>
      <c r="AA4815" s="103"/>
      <c r="AB4815" s="1"/>
      <c r="AD4815" s="102"/>
    </row>
    <row r="4816" spans="15:30">
      <c r="O4816" s="1"/>
      <c r="P4816" s="1"/>
      <c r="Q4816" s="1"/>
      <c r="R4816" s="1"/>
      <c r="Z4816" s="103"/>
      <c r="AA4816" s="103"/>
      <c r="AB4816" s="1"/>
    </row>
    <row r="4817" spans="15:30">
      <c r="O4817" s="1"/>
      <c r="P4817" s="1"/>
      <c r="Q4817" s="1"/>
      <c r="R4817" s="1"/>
      <c r="Z4817" s="103"/>
      <c r="AA4817" s="103"/>
      <c r="AB4817" s="1"/>
    </row>
    <row r="4818" spans="15:30">
      <c r="O4818" s="1"/>
      <c r="P4818" s="1"/>
      <c r="Q4818" s="1"/>
      <c r="R4818" s="1"/>
      <c r="Z4818" s="103"/>
      <c r="AA4818" s="103"/>
      <c r="AB4818" s="1"/>
    </row>
    <row r="4819" spans="15:30">
      <c r="O4819" s="1"/>
      <c r="P4819" s="1"/>
      <c r="Q4819" s="1"/>
      <c r="R4819" s="1"/>
      <c r="Z4819" s="103"/>
      <c r="AA4819" s="103"/>
      <c r="AB4819" s="1"/>
    </row>
    <row r="4820" spans="15:30">
      <c r="O4820" s="1"/>
      <c r="P4820" s="1"/>
      <c r="Q4820" s="1"/>
      <c r="R4820" s="1"/>
      <c r="Z4820" s="103"/>
      <c r="AA4820" s="103"/>
      <c r="AB4820" s="1"/>
    </row>
    <row r="4821" spans="15:30">
      <c r="O4821" s="1"/>
      <c r="P4821" s="1"/>
      <c r="Q4821" s="1"/>
      <c r="R4821" s="1"/>
      <c r="Z4821" s="103"/>
      <c r="AA4821" s="103"/>
      <c r="AB4821" s="1"/>
    </row>
    <row r="4822" spans="15:30">
      <c r="O4822" s="1"/>
      <c r="P4822" s="1"/>
      <c r="Q4822" s="1"/>
      <c r="R4822" s="1"/>
      <c r="Z4822" s="103"/>
      <c r="AA4822" s="103"/>
      <c r="AB4822" s="1"/>
      <c r="AD4822" s="102"/>
    </row>
    <row r="4823" spans="15:30">
      <c r="O4823" s="1"/>
      <c r="P4823" s="1"/>
      <c r="Q4823" s="1"/>
      <c r="R4823" s="1"/>
      <c r="Z4823" s="103"/>
      <c r="AA4823" s="103"/>
      <c r="AB4823" s="1"/>
    </row>
    <row r="4824" spans="15:30">
      <c r="O4824" s="1"/>
      <c r="P4824" s="1"/>
      <c r="Q4824" s="1"/>
      <c r="R4824" s="1"/>
      <c r="Z4824" s="103"/>
      <c r="AA4824" s="103"/>
      <c r="AB4824" s="1"/>
    </row>
    <row r="4825" spans="15:30">
      <c r="O4825" s="1"/>
      <c r="P4825" s="1"/>
      <c r="Q4825" s="1"/>
      <c r="R4825" s="1"/>
      <c r="Z4825" s="103"/>
      <c r="AA4825" s="103"/>
      <c r="AB4825" s="1"/>
    </row>
    <row r="4826" spans="15:30">
      <c r="O4826" s="1"/>
      <c r="P4826" s="1"/>
      <c r="Q4826" s="1"/>
      <c r="R4826" s="1"/>
      <c r="Z4826" s="103"/>
      <c r="AA4826" s="103"/>
      <c r="AB4826" s="1"/>
    </row>
    <row r="4827" spans="15:30">
      <c r="O4827" s="1"/>
      <c r="P4827" s="1"/>
      <c r="Q4827" s="1"/>
      <c r="R4827" s="1"/>
      <c r="Z4827" s="103"/>
      <c r="AA4827" s="103"/>
      <c r="AB4827" s="1"/>
    </row>
    <row r="4828" spans="15:30">
      <c r="O4828" s="1"/>
      <c r="P4828" s="1"/>
      <c r="Q4828" s="1"/>
      <c r="R4828" s="1"/>
      <c r="Z4828" s="103"/>
      <c r="AA4828" s="103"/>
      <c r="AB4828" s="1"/>
    </row>
    <row r="4829" spans="15:30">
      <c r="O4829" s="1"/>
      <c r="P4829" s="1"/>
      <c r="Q4829" s="1"/>
      <c r="R4829" s="1"/>
      <c r="Z4829" s="103"/>
      <c r="AA4829" s="103"/>
      <c r="AB4829" s="1"/>
      <c r="AD4829" s="102"/>
    </row>
    <row r="4830" spans="15:30">
      <c r="O4830" s="1"/>
      <c r="P4830" s="1"/>
      <c r="Q4830" s="1"/>
      <c r="R4830" s="1"/>
      <c r="Z4830" s="103"/>
      <c r="AA4830" s="103"/>
      <c r="AB4830" s="1"/>
    </row>
    <row r="4831" spans="15:30">
      <c r="O4831" s="1"/>
      <c r="P4831" s="1"/>
      <c r="Q4831" s="1"/>
      <c r="R4831" s="1"/>
      <c r="Z4831" s="103"/>
      <c r="AA4831" s="103"/>
      <c r="AB4831" s="1"/>
    </row>
    <row r="4832" spans="15:30">
      <c r="O4832" s="1"/>
      <c r="P4832" s="1"/>
      <c r="Q4832" s="1"/>
      <c r="R4832" s="1"/>
      <c r="Z4832" s="103"/>
      <c r="AA4832" s="103"/>
      <c r="AB4832" s="1"/>
    </row>
    <row r="4833" spans="15:28">
      <c r="O4833" s="1"/>
      <c r="P4833" s="1"/>
      <c r="Q4833" s="1"/>
      <c r="R4833" s="1"/>
      <c r="Z4833" s="103"/>
      <c r="AA4833" s="103"/>
      <c r="AB4833" s="1"/>
    </row>
    <row r="4834" spans="15:28">
      <c r="O4834" s="1"/>
      <c r="P4834" s="1"/>
      <c r="Q4834" s="1"/>
      <c r="R4834" s="1"/>
      <c r="Z4834" s="103"/>
      <c r="AA4834" s="103"/>
      <c r="AB4834" s="1"/>
    </row>
    <row r="4835" spans="15:28">
      <c r="O4835" s="1"/>
      <c r="P4835" s="1"/>
      <c r="Q4835" s="1"/>
      <c r="R4835" s="1"/>
      <c r="Z4835" s="103"/>
      <c r="AA4835" s="103"/>
      <c r="AB4835" s="1"/>
    </row>
    <row r="4836" spans="15:28">
      <c r="O4836" s="1"/>
      <c r="P4836" s="1"/>
      <c r="Q4836" s="1"/>
      <c r="R4836" s="1"/>
      <c r="Z4836" s="103"/>
      <c r="AA4836" s="103"/>
      <c r="AB4836" s="1"/>
    </row>
    <row r="4837" spans="15:28">
      <c r="O4837" s="1"/>
      <c r="P4837" s="1"/>
      <c r="Q4837" s="1"/>
      <c r="R4837" s="1"/>
      <c r="Z4837" s="103"/>
      <c r="AA4837" s="103"/>
      <c r="AB4837" s="1"/>
    </row>
    <row r="4838" spans="15:28">
      <c r="O4838" s="1"/>
      <c r="P4838" s="1"/>
      <c r="Q4838" s="1"/>
      <c r="R4838" s="1"/>
      <c r="Z4838" s="103"/>
      <c r="AA4838" s="103"/>
      <c r="AB4838" s="1"/>
    </row>
    <row r="4839" spans="15:28">
      <c r="O4839" s="1"/>
      <c r="P4839" s="1"/>
      <c r="Q4839" s="1"/>
      <c r="R4839" s="1"/>
      <c r="Z4839" s="103"/>
      <c r="AA4839" s="103"/>
      <c r="AB4839" s="1"/>
    </row>
    <row r="4840" spans="15:28">
      <c r="O4840" s="1"/>
      <c r="P4840" s="1"/>
      <c r="Q4840" s="1"/>
      <c r="R4840" s="1"/>
      <c r="Z4840" s="103"/>
      <c r="AA4840" s="103"/>
      <c r="AB4840" s="1"/>
    </row>
    <row r="4841" spans="15:28">
      <c r="O4841" s="1"/>
      <c r="P4841" s="1"/>
      <c r="Q4841" s="1"/>
      <c r="R4841" s="1"/>
      <c r="Z4841" s="103"/>
      <c r="AA4841" s="103"/>
      <c r="AB4841" s="1"/>
    </row>
    <row r="4842" spans="15:28">
      <c r="O4842" s="1"/>
      <c r="P4842" s="1"/>
      <c r="Q4842" s="1"/>
      <c r="R4842" s="1"/>
      <c r="Z4842" s="103"/>
      <c r="AA4842" s="103"/>
      <c r="AB4842" s="1"/>
    </row>
    <row r="4843" spans="15:28">
      <c r="O4843" s="1"/>
      <c r="P4843" s="1"/>
      <c r="Q4843" s="1"/>
      <c r="R4843" s="1"/>
      <c r="Z4843" s="103"/>
      <c r="AA4843" s="103"/>
      <c r="AB4843" s="1"/>
    </row>
    <row r="4844" spans="15:28">
      <c r="O4844" s="1"/>
      <c r="P4844" s="1"/>
      <c r="Q4844" s="1"/>
      <c r="R4844" s="1"/>
      <c r="Z4844" s="103"/>
      <c r="AA4844" s="103"/>
      <c r="AB4844" s="1"/>
    </row>
    <row r="4845" spans="15:28">
      <c r="O4845" s="1"/>
      <c r="P4845" s="1"/>
      <c r="Q4845" s="1"/>
      <c r="R4845" s="1"/>
      <c r="Z4845" s="103"/>
      <c r="AA4845" s="103"/>
      <c r="AB4845" s="1"/>
    </row>
    <row r="4846" spans="15:28">
      <c r="O4846" s="1"/>
      <c r="P4846" s="1"/>
      <c r="Q4846" s="1"/>
      <c r="R4846" s="1"/>
      <c r="Z4846" s="103"/>
      <c r="AA4846" s="103"/>
      <c r="AB4846" s="1"/>
    </row>
    <row r="4847" spans="15:28">
      <c r="O4847" s="1"/>
      <c r="P4847" s="1"/>
      <c r="Q4847" s="1"/>
      <c r="R4847" s="1"/>
      <c r="Z4847" s="103"/>
      <c r="AA4847" s="103"/>
      <c r="AB4847" s="1"/>
    </row>
    <row r="4848" spans="15:28">
      <c r="O4848" s="1"/>
      <c r="P4848" s="1"/>
      <c r="Q4848" s="1"/>
      <c r="R4848" s="1"/>
      <c r="Z4848" s="103"/>
      <c r="AA4848" s="103"/>
      <c r="AB4848" s="1"/>
    </row>
    <row r="4849" spans="15:30">
      <c r="O4849" s="1"/>
      <c r="P4849" s="1"/>
      <c r="Q4849" s="1"/>
      <c r="R4849" s="1"/>
      <c r="Z4849" s="103"/>
      <c r="AA4849" s="103"/>
      <c r="AB4849" s="1"/>
    </row>
    <row r="4850" spans="15:30">
      <c r="O4850" s="1"/>
      <c r="P4850" s="1"/>
      <c r="Q4850" s="1"/>
      <c r="R4850" s="1"/>
      <c r="Z4850" s="103"/>
      <c r="AA4850" s="103"/>
      <c r="AB4850" s="1"/>
    </row>
    <row r="4851" spans="15:30">
      <c r="O4851" s="1"/>
      <c r="P4851" s="1"/>
      <c r="Q4851" s="1"/>
      <c r="R4851" s="1"/>
      <c r="Z4851" s="103"/>
      <c r="AA4851" s="103"/>
      <c r="AB4851" s="1"/>
    </row>
    <row r="4852" spans="15:30">
      <c r="O4852" s="1"/>
      <c r="P4852" s="1"/>
      <c r="Q4852" s="1"/>
      <c r="R4852" s="1"/>
      <c r="Z4852" s="103"/>
      <c r="AA4852" s="103"/>
      <c r="AB4852" s="1"/>
    </row>
    <row r="4853" spans="15:30">
      <c r="O4853" s="1"/>
      <c r="P4853" s="1"/>
      <c r="Q4853" s="1"/>
      <c r="R4853" s="1"/>
      <c r="Z4853" s="103"/>
      <c r="AA4853" s="103"/>
      <c r="AB4853" s="1"/>
    </row>
    <row r="4854" spans="15:30">
      <c r="O4854" s="1"/>
      <c r="P4854" s="1"/>
      <c r="Q4854" s="1"/>
      <c r="R4854" s="1"/>
      <c r="Z4854" s="103"/>
      <c r="AA4854" s="103"/>
      <c r="AB4854" s="1"/>
    </row>
    <row r="4855" spans="15:30">
      <c r="O4855" s="1"/>
      <c r="P4855" s="1"/>
      <c r="Q4855" s="1"/>
      <c r="R4855" s="1"/>
      <c r="Z4855" s="103"/>
      <c r="AA4855" s="103"/>
      <c r="AB4855" s="1"/>
    </row>
    <row r="4856" spans="15:30">
      <c r="O4856" s="1"/>
      <c r="P4856" s="1"/>
      <c r="Q4856" s="1"/>
      <c r="R4856" s="1"/>
      <c r="Z4856" s="103"/>
      <c r="AA4856" s="103"/>
      <c r="AB4856" s="1"/>
    </row>
    <row r="4857" spans="15:30">
      <c r="O4857" s="1"/>
      <c r="P4857" s="1"/>
      <c r="Q4857" s="1"/>
      <c r="R4857" s="1"/>
      <c r="Z4857" s="103"/>
      <c r="AA4857" s="103"/>
      <c r="AB4857" s="1"/>
    </row>
    <row r="4858" spans="15:30">
      <c r="O4858" s="1"/>
      <c r="P4858" s="1"/>
      <c r="Q4858" s="1"/>
      <c r="R4858" s="1"/>
      <c r="Z4858" s="103"/>
      <c r="AA4858" s="103"/>
      <c r="AB4858" s="1"/>
    </row>
    <row r="4859" spans="15:30">
      <c r="O4859" s="1"/>
      <c r="P4859" s="1"/>
      <c r="Q4859" s="1"/>
      <c r="R4859" s="1"/>
      <c r="Z4859" s="103"/>
      <c r="AA4859" s="103"/>
      <c r="AB4859" s="1"/>
    </row>
    <row r="4860" spans="15:30">
      <c r="O4860" s="1"/>
      <c r="P4860" s="1"/>
      <c r="Q4860" s="1"/>
      <c r="R4860" s="1"/>
      <c r="Z4860" s="103"/>
      <c r="AA4860" s="103"/>
      <c r="AB4860" s="1"/>
    </row>
    <row r="4861" spans="15:30">
      <c r="O4861" s="1"/>
      <c r="P4861" s="1"/>
      <c r="Q4861" s="1"/>
      <c r="R4861" s="1"/>
      <c r="Z4861" s="103"/>
      <c r="AA4861" s="103"/>
      <c r="AB4861" s="1"/>
    </row>
    <row r="4862" spans="15:30">
      <c r="O4862" s="1"/>
      <c r="P4862" s="1"/>
      <c r="Q4862" s="1"/>
      <c r="R4862" s="1"/>
      <c r="Z4862" s="103"/>
      <c r="AA4862" s="103"/>
      <c r="AB4862" s="1"/>
      <c r="AD4862" s="102"/>
    </row>
    <row r="4863" spans="15:30">
      <c r="O4863" s="1"/>
      <c r="P4863" s="1"/>
      <c r="Q4863" s="1"/>
      <c r="R4863" s="1"/>
      <c r="Z4863" s="103"/>
      <c r="AA4863" s="103"/>
      <c r="AB4863" s="1"/>
    </row>
    <row r="4864" spans="15:30">
      <c r="O4864" s="1"/>
      <c r="P4864" s="1"/>
      <c r="Q4864" s="1"/>
      <c r="R4864" s="1"/>
      <c r="Z4864" s="103"/>
      <c r="AA4864" s="103"/>
      <c r="AB4864" s="1"/>
    </row>
    <row r="4865" spans="15:28">
      <c r="O4865" s="1"/>
      <c r="P4865" s="1"/>
      <c r="Q4865" s="1"/>
      <c r="R4865" s="1"/>
      <c r="Z4865" s="103"/>
      <c r="AA4865" s="103"/>
      <c r="AB4865" s="1"/>
    </row>
    <row r="4866" spans="15:28">
      <c r="O4866" s="1"/>
      <c r="P4866" s="1"/>
      <c r="Q4866" s="1"/>
      <c r="R4866" s="1"/>
      <c r="Z4866" s="103"/>
      <c r="AA4866" s="103"/>
      <c r="AB4866" s="1"/>
    </row>
    <row r="4867" spans="15:28">
      <c r="O4867" s="1"/>
      <c r="P4867" s="1"/>
      <c r="Q4867" s="1"/>
      <c r="R4867" s="1"/>
      <c r="Z4867" s="103"/>
      <c r="AA4867" s="103"/>
      <c r="AB4867" s="1"/>
    </row>
    <row r="4868" spans="15:28">
      <c r="O4868" s="1"/>
      <c r="P4868" s="1"/>
      <c r="Q4868" s="1"/>
      <c r="R4868" s="1"/>
      <c r="Z4868" s="103"/>
      <c r="AA4868" s="103"/>
      <c r="AB4868" s="1"/>
    </row>
    <row r="4869" spans="15:28">
      <c r="O4869" s="1"/>
      <c r="P4869" s="1"/>
      <c r="Q4869" s="1"/>
      <c r="R4869" s="1"/>
      <c r="Z4869" s="103"/>
      <c r="AA4869" s="103"/>
      <c r="AB4869" s="1"/>
    </row>
    <row r="4870" spans="15:28">
      <c r="O4870" s="1"/>
      <c r="P4870" s="1"/>
      <c r="Q4870" s="1"/>
      <c r="R4870" s="1"/>
      <c r="Z4870" s="103"/>
      <c r="AA4870" s="103"/>
      <c r="AB4870" s="1"/>
    </row>
    <row r="4871" spans="15:28">
      <c r="O4871" s="1"/>
      <c r="P4871" s="1"/>
      <c r="Q4871" s="1"/>
      <c r="R4871" s="1"/>
      <c r="Z4871" s="103"/>
      <c r="AA4871" s="103"/>
      <c r="AB4871" s="1"/>
    </row>
    <row r="4872" spans="15:28">
      <c r="O4872" s="1"/>
      <c r="P4872" s="1"/>
      <c r="Q4872" s="1"/>
      <c r="R4872" s="1"/>
      <c r="Z4872" s="103"/>
      <c r="AA4872" s="103"/>
      <c r="AB4872" s="1"/>
    </row>
    <row r="4873" spans="15:28">
      <c r="O4873" s="1"/>
      <c r="P4873" s="1"/>
      <c r="Q4873" s="1"/>
      <c r="R4873" s="1"/>
      <c r="Z4873" s="103"/>
      <c r="AA4873" s="103"/>
      <c r="AB4873" s="1"/>
    </row>
    <row r="4874" spans="15:28">
      <c r="O4874" s="1"/>
      <c r="P4874" s="1"/>
      <c r="Q4874" s="1"/>
      <c r="R4874" s="1"/>
      <c r="Z4874" s="103"/>
      <c r="AA4874" s="103"/>
      <c r="AB4874" s="1"/>
    </row>
    <row r="4875" spans="15:28">
      <c r="O4875" s="1"/>
      <c r="P4875" s="1"/>
      <c r="Q4875" s="1"/>
      <c r="R4875" s="1"/>
      <c r="Z4875" s="103"/>
      <c r="AA4875" s="103"/>
      <c r="AB4875" s="1"/>
    </row>
    <row r="4876" spans="15:28">
      <c r="O4876" s="1"/>
      <c r="P4876" s="1"/>
      <c r="Q4876" s="1"/>
      <c r="R4876" s="1"/>
      <c r="Z4876" s="103"/>
      <c r="AA4876" s="103"/>
      <c r="AB4876" s="1"/>
    </row>
    <row r="4877" spans="15:28">
      <c r="O4877" s="1"/>
      <c r="P4877" s="1"/>
      <c r="Q4877" s="1"/>
      <c r="R4877" s="1"/>
      <c r="Z4877" s="103"/>
      <c r="AA4877" s="103"/>
      <c r="AB4877" s="1"/>
    </row>
    <row r="4878" spans="15:28">
      <c r="O4878" s="1"/>
      <c r="P4878" s="1"/>
      <c r="Q4878" s="1"/>
      <c r="R4878" s="1"/>
      <c r="Z4878" s="103"/>
      <c r="AA4878" s="103"/>
      <c r="AB4878" s="1"/>
    </row>
    <row r="4879" spans="15:28">
      <c r="O4879" s="1"/>
      <c r="P4879" s="1"/>
      <c r="Q4879" s="1"/>
      <c r="R4879" s="1"/>
      <c r="Z4879" s="103"/>
      <c r="AA4879" s="103"/>
      <c r="AB4879" s="1"/>
    </row>
    <row r="4880" spans="15:28">
      <c r="O4880" s="1"/>
      <c r="P4880" s="1"/>
      <c r="Q4880" s="1"/>
      <c r="R4880" s="1"/>
      <c r="Z4880" s="103"/>
      <c r="AA4880" s="103"/>
      <c r="AB4880" s="1"/>
    </row>
    <row r="4881" spans="15:30">
      <c r="O4881" s="1"/>
      <c r="P4881" s="1"/>
      <c r="Q4881" s="1"/>
      <c r="R4881" s="1"/>
      <c r="Z4881" s="103"/>
      <c r="AA4881" s="103"/>
      <c r="AB4881" s="1"/>
    </row>
    <row r="4882" spans="15:30">
      <c r="O4882" s="1"/>
      <c r="P4882" s="1"/>
      <c r="Q4882" s="1"/>
      <c r="R4882" s="1"/>
      <c r="Z4882" s="103"/>
      <c r="AA4882" s="103"/>
      <c r="AB4882" s="1"/>
    </row>
    <row r="4883" spans="15:30">
      <c r="O4883" s="1"/>
      <c r="P4883" s="1"/>
      <c r="Q4883" s="1"/>
      <c r="R4883" s="1"/>
      <c r="Z4883" s="103"/>
      <c r="AA4883" s="103"/>
      <c r="AB4883" s="1"/>
      <c r="AD4883" s="102"/>
    </row>
    <row r="4884" spans="15:30">
      <c r="O4884" s="1"/>
      <c r="P4884" s="1"/>
      <c r="Q4884" s="1"/>
      <c r="R4884" s="1"/>
      <c r="Z4884" s="103"/>
      <c r="AA4884" s="103"/>
      <c r="AB4884" s="1"/>
    </row>
    <row r="4885" spans="15:30">
      <c r="O4885" s="1"/>
      <c r="P4885" s="1"/>
      <c r="Q4885" s="1"/>
      <c r="R4885" s="1"/>
      <c r="Z4885" s="103"/>
      <c r="AA4885" s="103"/>
      <c r="AB4885" s="1"/>
    </row>
    <row r="4886" spans="15:30">
      <c r="O4886" s="1"/>
      <c r="P4886" s="1"/>
      <c r="Q4886" s="1"/>
      <c r="R4886" s="1"/>
      <c r="Z4886" s="103"/>
      <c r="AA4886" s="103"/>
      <c r="AB4886" s="1"/>
    </row>
    <row r="4887" spans="15:30">
      <c r="O4887" s="1"/>
      <c r="P4887" s="1"/>
      <c r="Q4887" s="1"/>
      <c r="R4887" s="1"/>
      <c r="Z4887" s="103"/>
      <c r="AA4887" s="103"/>
      <c r="AB4887" s="1"/>
    </row>
    <row r="4888" spans="15:30">
      <c r="O4888" s="1"/>
      <c r="P4888" s="1"/>
      <c r="Q4888" s="1"/>
      <c r="R4888" s="1"/>
      <c r="Z4888" s="103"/>
      <c r="AA4888" s="103"/>
      <c r="AB4888" s="1"/>
    </row>
    <row r="4889" spans="15:30">
      <c r="O4889" s="1"/>
      <c r="P4889" s="1"/>
      <c r="Q4889" s="1"/>
      <c r="R4889" s="1"/>
      <c r="Z4889" s="103"/>
      <c r="AA4889" s="103"/>
      <c r="AB4889" s="1"/>
    </row>
    <row r="4890" spans="15:30">
      <c r="O4890" s="1"/>
      <c r="P4890" s="1"/>
      <c r="Q4890" s="1"/>
      <c r="R4890" s="1"/>
      <c r="Z4890" s="103"/>
      <c r="AA4890" s="103"/>
      <c r="AB4890" s="1"/>
    </row>
    <row r="4891" spans="15:30">
      <c r="O4891" s="1"/>
      <c r="P4891" s="1"/>
      <c r="Q4891" s="1"/>
      <c r="R4891" s="1"/>
      <c r="Z4891" s="103"/>
      <c r="AA4891" s="103"/>
      <c r="AB4891" s="1"/>
    </row>
    <row r="4892" spans="15:30">
      <c r="O4892" s="1"/>
      <c r="P4892" s="1"/>
      <c r="Q4892" s="1"/>
      <c r="R4892" s="1"/>
      <c r="Z4892" s="103"/>
      <c r="AA4892" s="103"/>
      <c r="AB4892" s="1"/>
    </row>
    <row r="4893" spans="15:30">
      <c r="O4893" s="1"/>
      <c r="P4893" s="1"/>
      <c r="Q4893" s="1"/>
      <c r="R4893" s="1"/>
      <c r="Z4893" s="103"/>
      <c r="AA4893" s="103"/>
      <c r="AB4893" s="1"/>
    </row>
    <row r="4894" spans="15:30">
      <c r="O4894" s="1"/>
      <c r="P4894" s="1"/>
      <c r="Q4894" s="1"/>
      <c r="R4894" s="1"/>
      <c r="Z4894" s="103"/>
      <c r="AA4894" s="103"/>
      <c r="AB4894" s="1"/>
    </row>
    <row r="4895" spans="15:30">
      <c r="O4895" s="1"/>
      <c r="P4895" s="1"/>
      <c r="Q4895" s="1"/>
      <c r="R4895" s="1"/>
      <c r="Z4895" s="103"/>
      <c r="AA4895" s="103"/>
      <c r="AB4895" s="1"/>
    </row>
    <row r="4896" spans="15:30">
      <c r="O4896" s="1"/>
      <c r="P4896" s="1"/>
      <c r="Q4896" s="1"/>
      <c r="R4896" s="1"/>
      <c r="Z4896" s="103"/>
      <c r="AA4896" s="103"/>
      <c r="AB4896" s="1"/>
    </row>
    <row r="4897" spans="15:28">
      <c r="O4897" s="1"/>
      <c r="P4897" s="1"/>
      <c r="Q4897" s="1"/>
      <c r="R4897" s="1"/>
      <c r="Z4897" s="103"/>
      <c r="AA4897" s="103"/>
      <c r="AB4897" s="1"/>
    </row>
    <row r="4898" spans="15:28">
      <c r="O4898" s="1"/>
      <c r="P4898" s="1"/>
      <c r="Q4898" s="1"/>
      <c r="R4898" s="1"/>
      <c r="Z4898" s="103"/>
      <c r="AA4898" s="103"/>
      <c r="AB4898" s="1"/>
    </row>
    <row r="4899" spans="15:28">
      <c r="O4899" s="1"/>
      <c r="P4899" s="1"/>
      <c r="Q4899" s="1"/>
      <c r="R4899" s="1"/>
      <c r="Z4899" s="103"/>
      <c r="AA4899" s="103"/>
      <c r="AB4899" s="1"/>
    </row>
    <row r="4900" spans="15:28">
      <c r="O4900" s="1"/>
      <c r="P4900" s="1"/>
      <c r="Q4900" s="1"/>
      <c r="R4900" s="1"/>
      <c r="Z4900" s="103"/>
      <c r="AA4900" s="103"/>
      <c r="AB4900" s="1"/>
    </row>
    <row r="4901" spans="15:28">
      <c r="O4901" s="1"/>
      <c r="P4901" s="1"/>
      <c r="Q4901" s="1"/>
      <c r="R4901" s="1"/>
      <c r="Z4901" s="103"/>
      <c r="AA4901" s="103"/>
      <c r="AB4901" s="1"/>
    </row>
    <row r="4902" spans="15:28">
      <c r="O4902" s="1"/>
      <c r="P4902" s="1"/>
      <c r="Q4902" s="1"/>
      <c r="R4902" s="1"/>
      <c r="Z4902" s="103"/>
      <c r="AA4902" s="103"/>
      <c r="AB4902" s="1"/>
    </row>
    <row r="4903" spans="15:28">
      <c r="O4903" s="1"/>
      <c r="P4903" s="1"/>
      <c r="Q4903" s="1"/>
      <c r="R4903" s="1"/>
      <c r="Z4903" s="103"/>
      <c r="AA4903" s="103"/>
      <c r="AB4903" s="1"/>
    </row>
    <row r="4904" spans="15:28">
      <c r="O4904" s="1"/>
      <c r="P4904" s="1"/>
      <c r="Q4904" s="1"/>
      <c r="R4904" s="1"/>
      <c r="Z4904" s="103"/>
      <c r="AA4904" s="103"/>
      <c r="AB4904" s="1"/>
    </row>
    <row r="4905" spans="15:28">
      <c r="O4905" s="1"/>
      <c r="P4905" s="1"/>
      <c r="Q4905" s="1"/>
      <c r="R4905" s="1"/>
      <c r="Z4905" s="103"/>
      <c r="AA4905" s="103"/>
      <c r="AB4905" s="1"/>
    </row>
    <row r="4906" spans="15:28">
      <c r="O4906" s="1"/>
      <c r="P4906" s="1"/>
      <c r="Q4906" s="1"/>
      <c r="R4906" s="1"/>
      <c r="Z4906" s="103"/>
      <c r="AA4906" s="103"/>
      <c r="AB4906" s="1"/>
    </row>
    <row r="4907" spans="15:28">
      <c r="O4907" s="1"/>
      <c r="P4907" s="1"/>
      <c r="Q4907" s="1"/>
      <c r="R4907" s="1"/>
      <c r="Z4907" s="103"/>
      <c r="AA4907" s="103"/>
      <c r="AB4907" s="1"/>
    </row>
    <row r="4908" spans="15:28">
      <c r="O4908" s="1"/>
      <c r="P4908" s="1"/>
      <c r="Q4908" s="1"/>
      <c r="R4908" s="1"/>
      <c r="Z4908" s="103"/>
      <c r="AA4908" s="103"/>
      <c r="AB4908" s="1"/>
    </row>
    <row r="4909" spans="15:28">
      <c r="O4909" s="1"/>
      <c r="P4909" s="1"/>
      <c r="Q4909" s="1"/>
      <c r="R4909" s="1"/>
      <c r="Z4909" s="103"/>
      <c r="AA4909" s="103"/>
      <c r="AB4909" s="1"/>
    </row>
    <row r="4910" spans="15:28">
      <c r="O4910" s="1"/>
      <c r="P4910" s="1"/>
      <c r="Q4910" s="1"/>
      <c r="R4910" s="1"/>
      <c r="Z4910" s="103"/>
      <c r="AA4910" s="103"/>
      <c r="AB4910" s="1"/>
    </row>
    <row r="4911" spans="15:28">
      <c r="O4911" s="1"/>
      <c r="P4911" s="1"/>
      <c r="Q4911" s="1"/>
      <c r="R4911" s="1"/>
      <c r="Z4911" s="103"/>
      <c r="AA4911" s="103"/>
      <c r="AB4911" s="1"/>
    </row>
    <row r="4912" spans="15:28">
      <c r="O4912" s="1"/>
      <c r="P4912" s="1"/>
      <c r="Q4912" s="1"/>
      <c r="R4912" s="1"/>
      <c r="Z4912" s="103"/>
      <c r="AA4912" s="103"/>
      <c r="AB4912" s="1"/>
    </row>
    <row r="4913" spans="15:30">
      <c r="O4913" s="1"/>
      <c r="P4913" s="1"/>
      <c r="Q4913" s="1"/>
      <c r="R4913" s="1"/>
      <c r="Z4913" s="103"/>
      <c r="AA4913" s="103"/>
      <c r="AB4913" s="1"/>
    </row>
    <row r="4914" spans="15:30">
      <c r="O4914" s="1"/>
      <c r="P4914" s="1"/>
      <c r="Q4914" s="1"/>
      <c r="R4914" s="1"/>
      <c r="Z4914" s="103"/>
      <c r="AA4914" s="103"/>
      <c r="AB4914" s="1"/>
    </row>
    <row r="4915" spans="15:30">
      <c r="O4915" s="1"/>
      <c r="P4915" s="1"/>
      <c r="Q4915" s="1"/>
      <c r="R4915" s="1"/>
      <c r="Z4915" s="103"/>
      <c r="AA4915" s="103"/>
      <c r="AB4915" s="1"/>
    </row>
    <row r="4916" spans="15:30">
      <c r="O4916" s="1"/>
      <c r="P4916" s="1"/>
      <c r="Q4916" s="1"/>
      <c r="R4916" s="1"/>
      <c r="Z4916" s="103"/>
      <c r="AA4916" s="103"/>
      <c r="AB4916" s="1"/>
    </row>
    <row r="4917" spans="15:30">
      <c r="O4917" s="1"/>
      <c r="P4917" s="1"/>
      <c r="Q4917" s="1"/>
      <c r="R4917" s="1"/>
      <c r="Z4917" s="103"/>
      <c r="AA4917" s="103"/>
      <c r="AB4917" s="1"/>
    </row>
    <row r="4918" spans="15:30">
      <c r="O4918" s="1"/>
      <c r="P4918" s="1"/>
      <c r="Q4918" s="1"/>
      <c r="R4918" s="1"/>
      <c r="Z4918" s="103"/>
      <c r="AA4918" s="103"/>
      <c r="AB4918" s="1"/>
    </row>
    <row r="4919" spans="15:30">
      <c r="O4919" s="1"/>
      <c r="P4919" s="1"/>
      <c r="Q4919" s="1"/>
      <c r="R4919" s="1"/>
      <c r="Z4919" s="103"/>
      <c r="AA4919" s="103"/>
      <c r="AB4919" s="1"/>
    </row>
    <row r="4920" spans="15:30">
      <c r="O4920" s="1"/>
      <c r="P4920" s="1"/>
      <c r="Q4920" s="1"/>
      <c r="R4920" s="1"/>
      <c r="Z4920" s="103"/>
      <c r="AA4920" s="103"/>
      <c r="AB4920" s="1"/>
    </row>
    <row r="4921" spans="15:30">
      <c r="O4921" s="1"/>
      <c r="P4921" s="1"/>
      <c r="Q4921" s="1"/>
      <c r="R4921" s="1"/>
      <c r="Z4921" s="103"/>
      <c r="AA4921" s="103"/>
      <c r="AB4921" s="1"/>
      <c r="AD4921" s="102"/>
    </row>
    <row r="4922" spans="15:30">
      <c r="O4922" s="1"/>
      <c r="P4922" s="1"/>
      <c r="Q4922" s="1"/>
      <c r="R4922" s="1"/>
      <c r="Z4922" s="103"/>
      <c r="AA4922" s="103"/>
      <c r="AB4922" s="1"/>
    </row>
    <row r="4923" spans="15:30">
      <c r="O4923" s="1"/>
      <c r="P4923" s="1"/>
      <c r="Q4923" s="1"/>
      <c r="R4923" s="1"/>
      <c r="Z4923" s="103"/>
      <c r="AA4923" s="103"/>
      <c r="AB4923" s="1"/>
    </row>
    <row r="4924" spans="15:30">
      <c r="O4924" s="1"/>
      <c r="P4924" s="1"/>
      <c r="Q4924" s="1"/>
      <c r="R4924" s="1"/>
      <c r="Z4924" s="103"/>
      <c r="AA4924" s="103"/>
      <c r="AB4924" s="1"/>
    </row>
    <row r="4925" spans="15:30">
      <c r="O4925" s="1"/>
      <c r="P4925" s="1"/>
      <c r="Q4925" s="1"/>
      <c r="R4925" s="1"/>
      <c r="Z4925" s="103"/>
      <c r="AA4925" s="103"/>
      <c r="AB4925" s="1"/>
    </row>
    <row r="4926" spans="15:30">
      <c r="O4926" s="1"/>
      <c r="P4926" s="1"/>
      <c r="Q4926" s="1"/>
      <c r="R4926" s="1"/>
      <c r="Z4926" s="103"/>
      <c r="AA4926" s="103"/>
      <c r="AB4926" s="1"/>
    </row>
    <row r="4927" spans="15:30">
      <c r="O4927" s="1"/>
      <c r="P4927" s="1"/>
      <c r="Q4927" s="1"/>
      <c r="R4927" s="1"/>
      <c r="Z4927" s="103"/>
      <c r="AA4927" s="103"/>
      <c r="AB4927" s="1"/>
    </row>
    <row r="4928" spans="15:30">
      <c r="O4928" s="1"/>
      <c r="P4928" s="1"/>
      <c r="Q4928" s="1"/>
      <c r="R4928" s="1"/>
      <c r="Z4928" s="103"/>
      <c r="AA4928" s="103"/>
      <c r="AB4928" s="1"/>
    </row>
    <row r="4929" spans="15:28">
      <c r="O4929" s="1"/>
      <c r="P4929" s="1"/>
      <c r="Q4929" s="1"/>
      <c r="R4929" s="1"/>
      <c r="Z4929" s="103"/>
      <c r="AA4929" s="103"/>
      <c r="AB4929" s="1"/>
    </row>
    <row r="4930" spans="15:28">
      <c r="O4930" s="1"/>
      <c r="P4930" s="1"/>
      <c r="Q4930" s="1"/>
      <c r="R4930" s="1"/>
      <c r="Z4930" s="103"/>
      <c r="AA4930" s="103"/>
      <c r="AB4930" s="1"/>
    </row>
    <row r="4931" spans="15:28">
      <c r="O4931" s="1"/>
      <c r="P4931" s="1"/>
      <c r="Q4931" s="1"/>
      <c r="R4931" s="1"/>
      <c r="Z4931" s="103"/>
      <c r="AA4931" s="103"/>
      <c r="AB4931" s="1"/>
    </row>
    <row r="4932" spans="15:28">
      <c r="O4932" s="1"/>
      <c r="P4932" s="1"/>
      <c r="Q4932" s="1"/>
      <c r="R4932" s="1"/>
      <c r="Z4932" s="103"/>
      <c r="AA4932" s="103"/>
      <c r="AB4932" s="1"/>
    </row>
    <row r="4933" spans="15:28">
      <c r="O4933" s="1"/>
      <c r="P4933" s="1"/>
      <c r="Q4933" s="1"/>
      <c r="R4933" s="1"/>
      <c r="Z4933" s="103"/>
      <c r="AA4933" s="103"/>
      <c r="AB4933" s="1"/>
    </row>
    <row r="4934" spans="15:28">
      <c r="O4934" s="1"/>
      <c r="P4934" s="1"/>
      <c r="Q4934" s="1"/>
      <c r="R4934" s="1"/>
      <c r="Z4934" s="103"/>
      <c r="AA4934" s="103"/>
      <c r="AB4934" s="1"/>
    </row>
    <row r="4935" spans="15:28">
      <c r="O4935" s="1"/>
      <c r="P4935" s="1"/>
      <c r="Q4935" s="1"/>
      <c r="R4935" s="1"/>
      <c r="Z4935" s="103"/>
      <c r="AA4935" s="103"/>
      <c r="AB4935" s="1"/>
    </row>
    <row r="4936" spans="15:28">
      <c r="O4936" s="1"/>
      <c r="P4936" s="1"/>
      <c r="Q4936" s="1"/>
      <c r="R4936" s="1"/>
      <c r="Z4936" s="103"/>
      <c r="AA4936" s="103"/>
      <c r="AB4936" s="1"/>
    </row>
    <row r="4937" spans="15:28">
      <c r="O4937" s="1"/>
      <c r="P4937" s="1"/>
      <c r="Q4937" s="1"/>
      <c r="R4937" s="1"/>
      <c r="Z4937" s="103"/>
      <c r="AA4937" s="103"/>
      <c r="AB4937" s="1"/>
    </row>
    <row r="4938" spans="15:28">
      <c r="O4938" s="1"/>
      <c r="P4938" s="1"/>
      <c r="Q4938" s="1"/>
      <c r="R4938" s="1"/>
      <c r="Z4938" s="103"/>
      <c r="AA4938" s="103"/>
      <c r="AB4938" s="1"/>
    </row>
    <row r="4939" spans="15:28">
      <c r="O4939" s="1"/>
      <c r="P4939" s="1"/>
      <c r="Q4939" s="1"/>
      <c r="R4939" s="1"/>
      <c r="Z4939" s="103"/>
      <c r="AA4939" s="103"/>
      <c r="AB4939" s="1"/>
    </row>
    <row r="4940" spans="15:28">
      <c r="O4940" s="1"/>
      <c r="P4940" s="1"/>
      <c r="Q4940" s="1"/>
      <c r="R4940" s="1"/>
      <c r="Z4940" s="103"/>
      <c r="AA4940" s="103"/>
      <c r="AB4940" s="1"/>
    </row>
    <row r="4941" spans="15:28">
      <c r="O4941" s="1"/>
      <c r="P4941" s="1"/>
      <c r="Q4941" s="1"/>
      <c r="R4941" s="1"/>
      <c r="Z4941" s="103"/>
      <c r="AA4941" s="103"/>
      <c r="AB4941" s="1"/>
    </row>
    <row r="4942" spans="15:28">
      <c r="O4942" s="1"/>
      <c r="P4942" s="1"/>
      <c r="Q4942" s="1"/>
      <c r="R4942" s="1"/>
      <c r="Z4942" s="103"/>
      <c r="AA4942" s="103"/>
      <c r="AB4942" s="1"/>
    </row>
    <row r="4943" spans="15:28">
      <c r="O4943" s="1"/>
      <c r="P4943" s="1"/>
      <c r="Q4943" s="1"/>
      <c r="R4943" s="1"/>
      <c r="Z4943" s="103"/>
      <c r="AA4943" s="103"/>
      <c r="AB4943" s="1"/>
    </row>
    <row r="4944" spans="15:28">
      <c r="O4944" s="1"/>
      <c r="P4944" s="1"/>
      <c r="Q4944" s="1"/>
      <c r="R4944" s="1"/>
      <c r="Z4944" s="103"/>
      <c r="AA4944" s="103"/>
      <c r="AB4944" s="1"/>
    </row>
    <row r="4945" spans="15:30">
      <c r="O4945" s="1"/>
      <c r="P4945" s="1"/>
      <c r="Q4945" s="1"/>
      <c r="R4945" s="1"/>
      <c r="Z4945" s="103"/>
      <c r="AA4945" s="103"/>
      <c r="AB4945" s="1"/>
    </row>
    <row r="4946" spans="15:30">
      <c r="O4946" s="1"/>
      <c r="P4946" s="1"/>
      <c r="Q4946" s="1"/>
      <c r="R4946" s="1"/>
      <c r="Z4946" s="103"/>
      <c r="AA4946" s="103"/>
      <c r="AB4946" s="1"/>
    </row>
    <row r="4947" spans="15:30">
      <c r="O4947" s="1"/>
      <c r="P4947" s="1"/>
      <c r="Q4947" s="1"/>
      <c r="R4947" s="1"/>
      <c r="Z4947" s="103"/>
      <c r="AA4947" s="103"/>
      <c r="AB4947" s="1"/>
    </row>
    <row r="4948" spans="15:30">
      <c r="O4948" s="1"/>
      <c r="P4948" s="1"/>
      <c r="Q4948" s="1"/>
      <c r="R4948" s="1"/>
      <c r="Z4948" s="103"/>
      <c r="AA4948" s="103"/>
      <c r="AB4948" s="1"/>
    </row>
    <row r="4949" spans="15:30">
      <c r="O4949" s="1"/>
      <c r="P4949" s="1"/>
      <c r="Q4949" s="1"/>
      <c r="R4949" s="1"/>
      <c r="Z4949" s="103"/>
      <c r="AA4949" s="103"/>
      <c r="AB4949" s="1"/>
    </row>
    <row r="4950" spans="15:30">
      <c r="O4950" s="1"/>
      <c r="P4950" s="1"/>
      <c r="Q4950" s="1"/>
      <c r="R4950" s="1"/>
      <c r="Z4950" s="103"/>
      <c r="AA4950" s="103"/>
      <c r="AB4950" s="1"/>
    </row>
    <row r="4951" spans="15:30">
      <c r="O4951" s="1"/>
      <c r="P4951" s="1"/>
      <c r="Q4951" s="1"/>
      <c r="R4951" s="1"/>
      <c r="Z4951" s="103"/>
      <c r="AA4951" s="103"/>
      <c r="AB4951" s="1"/>
    </row>
    <row r="4952" spans="15:30">
      <c r="O4952" s="1"/>
      <c r="P4952" s="1"/>
      <c r="Q4952" s="1"/>
      <c r="R4952" s="1"/>
      <c r="Z4952" s="103"/>
      <c r="AA4952" s="103"/>
      <c r="AB4952" s="1"/>
    </row>
    <row r="4953" spans="15:30">
      <c r="O4953" s="1"/>
      <c r="P4953" s="1"/>
      <c r="Q4953" s="1"/>
      <c r="R4953" s="1"/>
      <c r="Z4953" s="103"/>
      <c r="AA4953" s="103"/>
      <c r="AB4953" s="1"/>
    </row>
    <row r="4954" spans="15:30">
      <c r="O4954" s="1"/>
      <c r="P4954" s="1"/>
      <c r="Q4954" s="1"/>
      <c r="R4954" s="1"/>
      <c r="Z4954" s="103"/>
      <c r="AA4954" s="103"/>
      <c r="AB4954" s="1"/>
    </row>
    <row r="4955" spans="15:30">
      <c r="O4955" s="1"/>
      <c r="P4955" s="1"/>
      <c r="Q4955" s="1"/>
      <c r="R4955" s="1"/>
      <c r="Z4955" s="103"/>
      <c r="AA4955" s="103"/>
      <c r="AB4955" s="1"/>
      <c r="AD4955" s="102"/>
    </row>
    <row r="4956" spans="15:30">
      <c r="O4956" s="1"/>
      <c r="P4956" s="1"/>
      <c r="Q4956" s="1"/>
      <c r="R4956" s="1"/>
      <c r="Z4956" s="103"/>
      <c r="AA4956" s="103"/>
      <c r="AB4956" s="1"/>
    </row>
    <row r="4957" spans="15:30">
      <c r="O4957" s="1"/>
      <c r="P4957" s="1"/>
      <c r="Q4957" s="1"/>
      <c r="R4957" s="1"/>
      <c r="Z4957" s="103"/>
      <c r="AA4957" s="103"/>
      <c r="AB4957" s="1"/>
    </row>
    <row r="4958" spans="15:30">
      <c r="O4958" s="1"/>
      <c r="P4958" s="1"/>
      <c r="Q4958" s="1"/>
      <c r="R4958" s="1"/>
      <c r="Z4958" s="103"/>
      <c r="AA4958" s="103"/>
      <c r="AB4958" s="1"/>
    </row>
    <row r="4959" spans="15:30">
      <c r="O4959" s="1"/>
      <c r="P4959" s="1"/>
      <c r="Q4959" s="1"/>
      <c r="R4959" s="1"/>
      <c r="Z4959" s="103"/>
      <c r="AA4959" s="103"/>
      <c r="AB4959" s="1"/>
    </row>
    <row r="4960" spans="15:30">
      <c r="O4960" s="1"/>
      <c r="P4960" s="1"/>
      <c r="Q4960" s="1"/>
      <c r="R4960" s="1"/>
      <c r="Z4960" s="103"/>
      <c r="AA4960" s="103"/>
      <c r="AB4960" s="1"/>
    </row>
    <row r="4961" spans="15:28">
      <c r="O4961" s="1"/>
      <c r="P4961" s="1"/>
      <c r="Q4961" s="1"/>
      <c r="R4961" s="1"/>
      <c r="Z4961" s="103"/>
      <c r="AA4961" s="103"/>
      <c r="AB4961" s="1"/>
    </row>
    <row r="4962" spans="15:28">
      <c r="O4962" s="1"/>
      <c r="P4962" s="1"/>
      <c r="Q4962" s="1"/>
      <c r="R4962" s="1"/>
      <c r="Z4962" s="103"/>
      <c r="AA4962" s="103"/>
      <c r="AB4962" s="1"/>
    </row>
    <row r="4963" spans="15:28">
      <c r="O4963" s="1"/>
      <c r="P4963" s="1"/>
      <c r="Q4963" s="1"/>
      <c r="R4963" s="1"/>
      <c r="Z4963" s="103"/>
      <c r="AA4963" s="103"/>
      <c r="AB4963" s="1"/>
    </row>
    <row r="4964" spans="15:28">
      <c r="O4964" s="1"/>
      <c r="P4964" s="1"/>
      <c r="Q4964" s="1"/>
      <c r="R4964" s="1"/>
      <c r="Z4964" s="103"/>
      <c r="AA4964" s="103"/>
      <c r="AB4964" s="1"/>
    </row>
    <row r="4965" spans="15:28">
      <c r="O4965" s="1"/>
      <c r="P4965" s="1"/>
      <c r="Q4965" s="1"/>
      <c r="R4965" s="1"/>
      <c r="Z4965" s="103"/>
      <c r="AA4965" s="103"/>
      <c r="AB4965" s="1"/>
    </row>
    <row r="4966" spans="15:28">
      <c r="O4966" s="1"/>
      <c r="P4966" s="1"/>
      <c r="Q4966" s="1"/>
      <c r="R4966" s="1"/>
      <c r="Z4966" s="103"/>
      <c r="AA4966" s="103"/>
      <c r="AB4966" s="1"/>
    </row>
    <row r="4967" spans="15:28">
      <c r="O4967" s="1"/>
      <c r="P4967" s="1"/>
      <c r="Q4967" s="1"/>
      <c r="R4967" s="1"/>
      <c r="Z4967" s="103"/>
      <c r="AA4967" s="103"/>
      <c r="AB4967" s="1"/>
    </row>
    <row r="4968" spans="15:28">
      <c r="O4968" s="1"/>
      <c r="P4968" s="1"/>
      <c r="Q4968" s="1"/>
      <c r="R4968" s="1"/>
      <c r="Z4968" s="103"/>
      <c r="AA4968" s="103"/>
      <c r="AB4968" s="1"/>
    </row>
    <row r="4969" spans="15:28">
      <c r="O4969" s="1"/>
      <c r="P4969" s="1"/>
      <c r="Q4969" s="1"/>
      <c r="R4969" s="1"/>
      <c r="Z4969" s="103"/>
      <c r="AA4969" s="103"/>
      <c r="AB4969" s="1"/>
    </row>
    <row r="4970" spans="15:28">
      <c r="O4970" s="1"/>
      <c r="P4970" s="1"/>
      <c r="Q4970" s="1"/>
      <c r="R4970" s="1"/>
      <c r="Z4970" s="103"/>
      <c r="AA4970" s="103"/>
      <c r="AB4970" s="1"/>
    </row>
    <row r="4971" spans="15:28">
      <c r="O4971" s="1"/>
      <c r="P4971" s="1"/>
      <c r="Q4971" s="1"/>
      <c r="R4971" s="1"/>
      <c r="Z4971" s="103"/>
      <c r="AA4971" s="103"/>
      <c r="AB4971" s="1"/>
    </row>
    <row r="4972" spans="15:28">
      <c r="O4972" s="1"/>
      <c r="P4972" s="1"/>
      <c r="Q4972" s="1"/>
      <c r="R4972" s="1"/>
      <c r="Z4972" s="103"/>
      <c r="AA4972" s="103"/>
      <c r="AB4972" s="1"/>
    </row>
    <row r="4973" spans="15:28">
      <c r="O4973" s="1"/>
      <c r="P4973" s="1"/>
      <c r="Q4973" s="1"/>
      <c r="R4973" s="1"/>
      <c r="Z4973" s="103"/>
      <c r="AA4973" s="103"/>
      <c r="AB4973" s="1"/>
    </row>
    <row r="4974" spans="15:28">
      <c r="O4974" s="1"/>
      <c r="P4974" s="1"/>
      <c r="Q4974" s="1"/>
      <c r="R4974" s="1"/>
      <c r="Z4974" s="103"/>
      <c r="AA4974" s="103"/>
      <c r="AB4974" s="1"/>
    </row>
    <row r="4975" spans="15:28">
      <c r="O4975" s="1"/>
      <c r="P4975" s="1"/>
      <c r="Q4975" s="1"/>
      <c r="R4975" s="1"/>
      <c r="Z4975" s="103"/>
      <c r="AA4975" s="103"/>
      <c r="AB4975" s="1"/>
    </row>
    <row r="4976" spans="15:28">
      <c r="O4976" s="1"/>
      <c r="P4976" s="1"/>
      <c r="Q4976" s="1"/>
      <c r="R4976" s="1"/>
      <c r="Z4976" s="103"/>
      <c r="AA4976" s="103"/>
      <c r="AB4976" s="1"/>
    </row>
    <row r="4977" spans="15:30">
      <c r="O4977" s="1"/>
      <c r="P4977" s="1"/>
      <c r="Q4977" s="1"/>
      <c r="R4977" s="1"/>
      <c r="Z4977" s="103"/>
      <c r="AA4977" s="103"/>
      <c r="AB4977" s="1"/>
    </row>
    <row r="4978" spans="15:30">
      <c r="O4978" s="1"/>
      <c r="P4978" s="1"/>
      <c r="Q4978" s="1"/>
      <c r="R4978" s="1"/>
      <c r="Z4978" s="103"/>
      <c r="AA4978" s="103"/>
      <c r="AB4978" s="1"/>
    </row>
    <row r="4979" spans="15:30">
      <c r="O4979" s="1"/>
      <c r="P4979" s="1"/>
      <c r="Q4979" s="1"/>
      <c r="R4979" s="1"/>
      <c r="Z4979" s="103"/>
      <c r="AA4979" s="103"/>
      <c r="AB4979" s="1"/>
    </row>
    <row r="4980" spans="15:30">
      <c r="O4980" s="1"/>
      <c r="P4980" s="1"/>
      <c r="Q4980" s="1"/>
      <c r="R4980" s="1"/>
      <c r="Z4980" s="103"/>
      <c r="AA4980" s="103"/>
      <c r="AB4980" s="1"/>
    </row>
    <row r="4981" spans="15:30">
      <c r="O4981" s="1"/>
      <c r="P4981" s="1"/>
      <c r="Q4981" s="1"/>
      <c r="R4981" s="1"/>
      <c r="Z4981" s="103"/>
      <c r="AA4981" s="103"/>
      <c r="AB4981" s="1"/>
      <c r="AD4981" s="102"/>
    </row>
    <row r="4982" spans="15:30">
      <c r="O4982" s="1"/>
      <c r="P4982" s="1"/>
      <c r="Q4982" s="1"/>
      <c r="R4982" s="1"/>
      <c r="Z4982" s="103"/>
      <c r="AA4982" s="103"/>
      <c r="AB4982" s="1"/>
    </row>
    <row r="4983" spans="15:30">
      <c r="O4983" s="1"/>
      <c r="P4983" s="1"/>
      <c r="Q4983" s="1"/>
      <c r="R4983" s="1"/>
      <c r="Z4983" s="103"/>
      <c r="AA4983" s="103"/>
      <c r="AB4983" s="1"/>
    </row>
    <row r="4984" spans="15:30">
      <c r="O4984" s="1"/>
      <c r="P4984" s="1"/>
      <c r="Q4984" s="1"/>
      <c r="R4984" s="1"/>
      <c r="Z4984" s="103"/>
      <c r="AA4984" s="103"/>
      <c r="AB4984" s="1"/>
    </row>
    <row r="4985" spans="15:30">
      <c r="O4985" s="1"/>
      <c r="P4985" s="1"/>
      <c r="Q4985" s="1"/>
      <c r="R4985" s="1"/>
      <c r="Z4985" s="103"/>
      <c r="AA4985" s="103"/>
      <c r="AB4985" s="1"/>
    </row>
    <row r="4986" spans="15:30">
      <c r="O4986" s="1"/>
      <c r="P4986" s="1"/>
      <c r="Q4986" s="1"/>
      <c r="R4986" s="1"/>
      <c r="Z4986" s="103"/>
      <c r="AA4986" s="103"/>
      <c r="AB4986" s="1"/>
    </row>
    <row r="4987" spans="15:30">
      <c r="O4987" s="1"/>
      <c r="P4987" s="1"/>
      <c r="Q4987" s="1"/>
      <c r="R4987" s="1"/>
      <c r="Z4987" s="103"/>
      <c r="AA4987" s="103"/>
      <c r="AB4987" s="1"/>
    </row>
    <row r="4988" spans="15:30">
      <c r="O4988" s="1"/>
      <c r="P4988" s="1"/>
      <c r="Q4988" s="1"/>
      <c r="R4988" s="1"/>
      <c r="Z4988" s="103"/>
      <c r="AA4988" s="103"/>
      <c r="AB4988" s="1"/>
    </row>
    <row r="4989" spans="15:30">
      <c r="O4989" s="1"/>
      <c r="P4989" s="1"/>
      <c r="Q4989" s="1"/>
      <c r="R4989" s="1"/>
      <c r="Z4989" s="103"/>
      <c r="AA4989" s="103"/>
      <c r="AB4989" s="1"/>
    </row>
    <row r="4990" spans="15:30">
      <c r="O4990" s="1"/>
      <c r="P4990" s="1"/>
      <c r="Q4990" s="1"/>
      <c r="R4990" s="1"/>
      <c r="Z4990" s="103"/>
      <c r="AA4990" s="103"/>
      <c r="AB4990" s="1"/>
    </row>
    <row r="4991" spans="15:30">
      <c r="O4991" s="1"/>
      <c r="P4991" s="1"/>
      <c r="Q4991" s="1"/>
      <c r="R4991" s="1"/>
      <c r="Z4991" s="103"/>
      <c r="AA4991" s="103"/>
      <c r="AB4991" s="1"/>
    </row>
    <row r="4992" spans="15:30">
      <c r="O4992" s="1"/>
      <c r="P4992" s="1"/>
      <c r="Q4992" s="1"/>
      <c r="R4992" s="1"/>
      <c r="Z4992" s="103"/>
      <c r="AA4992" s="103"/>
      <c r="AB4992" s="1"/>
    </row>
    <row r="4993" spans="15:28">
      <c r="O4993" s="1"/>
      <c r="P4993" s="1"/>
      <c r="Q4993" s="1"/>
      <c r="R4993" s="1"/>
      <c r="Z4993" s="103"/>
      <c r="AA4993" s="103"/>
      <c r="AB4993" s="1"/>
    </row>
    <row r="4994" spans="15:28">
      <c r="O4994" s="1"/>
      <c r="P4994" s="1"/>
      <c r="Q4994" s="1"/>
      <c r="R4994" s="1"/>
      <c r="Z4994" s="103"/>
      <c r="AA4994" s="103"/>
      <c r="AB4994" s="1"/>
    </row>
    <row r="4995" spans="15:28">
      <c r="O4995" s="1"/>
      <c r="P4995" s="1"/>
      <c r="Q4995" s="1"/>
      <c r="R4995" s="1"/>
      <c r="Z4995" s="103"/>
      <c r="AA4995" s="103"/>
      <c r="AB4995" s="1"/>
    </row>
    <row r="4996" spans="15:28">
      <c r="O4996" s="1"/>
      <c r="P4996" s="1"/>
      <c r="Q4996" s="1"/>
      <c r="R4996" s="1"/>
      <c r="Z4996" s="103"/>
      <c r="AA4996" s="103"/>
      <c r="AB4996" s="1"/>
    </row>
    <row r="4997" spans="15:28">
      <c r="O4997" s="1"/>
      <c r="P4997" s="1"/>
      <c r="Q4997" s="1"/>
      <c r="R4997" s="1"/>
      <c r="Z4997" s="103"/>
      <c r="AA4997" s="103"/>
      <c r="AB4997" s="1"/>
    </row>
    <row r="4998" spans="15:28">
      <c r="O4998" s="1"/>
      <c r="P4998" s="1"/>
      <c r="Q4998" s="1"/>
      <c r="R4998" s="1"/>
      <c r="Z4998" s="103"/>
      <c r="AA4998" s="103"/>
      <c r="AB4998" s="1"/>
    </row>
    <row r="4999" spans="15:28">
      <c r="O4999" s="1"/>
      <c r="P4999" s="1"/>
      <c r="Q4999" s="1"/>
      <c r="R4999" s="1"/>
      <c r="Z4999" s="103"/>
      <c r="AA4999" s="103"/>
      <c r="AB4999" s="1"/>
    </row>
    <row r="5000" spans="15:28">
      <c r="O5000" s="1"/>
      <c r="P5000" s="1"/>
      <c r="Q5000" s="1"/>
      <c r="R5000" s="1"/>
      <c r="Z5000" s="103"/>
      <c r="AA5000" s="103"/>
      <c r="AB5000" s="1"/>
    </row>
    <row r="5001" spans="15:28">
      <c r="O5001" s="1"/>
      <c r="P5001" s="1"/>
      <c r="Q5001" s="1"/>
      <c r="R5001" s="1"/>
      <c r="Z5001" s="103"/>
      <c r="AA5001" s="103"/>
      <c r="AB5001" s="1"/>
    </row>
    <row r="5002" spans="15:28">
      <c r="O5002" s="1"/>
      <c r="P5002" s="1"/>
      <c r="Q5002" s="1"/>
      <c r="R5002" s="1"/>
      <c r="Z5002" s="103"/>
      <c r="AA5002" s="103"/>
      <c r="AB5002" s="1"/>
    </row>
    <row r="5003" spans="15:28">
      <c r="O5003" s="1"/>
      <c r="P5003" s="1"/>
      <c r="Q5003" s="1"/>
      <c r="R5003" s="1"/>
      <c r="Z5003" s="103"/>
      <c r="AA5003" s="103"/>
      <c r="AB5003" s="1"/>
    </row>
    <row r="5004" spans="15:28">
      <c r="O5004" s="1"/>
      <c r="P5004" s="1"/>
      <c r="Q5004" s="1"/>
      <c r="R5004" s="1"/>
      <c r="Z5004" s="103"/>
      <c r="AA5004" s="103"/>
      <c r="AB5004" s="1"/>
    </row>
    <row r="5005" spans="15:28">
      <c r="O5005" s="1"/>
      <c r="P5005" s="1"/>
      <c r="Q5005" s="1"/>
      <c r="R5005" s="1"/>
      <c r="Z5005" s="103"/>
      <c r="AA5005" s="103"/>
      <c r="AB5005" s="1"/>
    </row>
    <row r="5006" spans="15:28">
      <c r="O5006" s="1"/>
      <c r="P5006" s="1"/>
      <c r="Q5006" s="1"/>
      <c r="R5006" s="1"/>
      <c r="Z5006" s="103"/>
      <c r="AA5006" s="103"/>
      <c r="AB5006" s="1"/>
    </row>
    <row r="5007" spans="15:28">
      <c r="O5007" s="1"/>
      <c r="P5007" s="1"/>
      <c r="Q5007" s="1"/>
      <c r="R5007" s="1"/>
      <c r="Z5007" s="103"/>
      <c r="AA5007" s="103"/>
      <c r="AB5007" s="1"/>
    </row>
    <row r="5008" spans="15:28">
      <c r="O5008" s="1"/>
      <c r="P5008" s="1"/>
      <c r="Q5008" s="1"/>
      <c r="R5008" s="1"/>
      <c r="Z5008" s="103"/>
      <c r="AA5008" s="103"/>
      <c r="AB5008" s="1"/>
    </row>
    <row r="5009" spans="15:30">
      <c r="O5009" s="1"/>
      <c r="P5009" s="1"/>
      <c r="Q5009" s="1"/>
      <c r="R5009" s="1"/>
      <c r="Z5009" s="103"/>
      <c r="AA5009" s="103"/>
      <c r="AB5009" s="1"/>
    </row>
    <row r="5010" spans="15:30">
      <c r="O5010" s="1"/>
      <c r="P5010" s="1"/>
      <c r="Q5010" s="1"/>
      <c r="R5010" s="1"/>
      <c r="Z5010" s="103"/>
      <c r="AA5010" s="103"/>
      <c r="AB5010" s="1"/>
    </row>
    <row r="5011" spans="15:30">
      <c r="O5011" s="1"/>
      <c r="P5011" s="1"/>
      <c r="Q5011" s="1"/>
      <c r="R5011" s="1"/>
      <c r="Z5011" s="103"/>
      <c r="AA5011" s="103"/>
      <c r="AB5011" s="1"/>
    </row>
    <row r="5012" spans="15:30">
      <c r="O5012" s="1"/>
      <c r="P5012" s="1"/>
      <c r="Q5012" s="1"/>
      <c r="R5012" s="1"/>
      <c r="Z5012" s="103"/>
      <c r="AA5012" s="103"/>
      <c r="AB5012" s="1"/>
      <c r="AD5012" s="102"/>
    </row>
    <row r="5013" spans="15:30">
      <c r="O5013" s="1"/>
      <c r="P5013" s="1"/>
      <c r="Q5013" s="1"/>
      <c r="R5013" s="1"/>
      <c r="Z5013" s="103"/>
      <c r="AA5013" s="103"/>
      <c r="AB5013" s="1"/>
    </row>
    <row r="5014" spans="15:30">
      <c r="O5014" s="1"/>
      <c r="P5014" s="1"/>
      <c r="Q5014" s="1"/>
      <c r="R5014" s="1"/>
      <c r="Z5014" s="103"/>
      <c r="AA5014" s="103"/>
      <c r="AB5014" s="1"/>
    </row>
    <row r="5015" spans="15:30">
      <c r="O5015" s="1"/>
      <c r="P5015" s="1"/>
      <c r="Q5015" s="1"/>
      <c r="R5015" s="1"/>
      <c r="Z5015" s="103"/>
      <c r="AA5015" s="103"/>
      <c r="AB5015" s="1"/>
    </row>
    <row r="5016" spans="15:30">
      <c r="O5016" s="1"/>
      <c r="P5016" s="1"/>
      <c r="Q5016" s="1"/>
      <c r="R5016" s="1"/>
      <c r="Z5016" s="103"/>
      <c r="AA5016" s="103"/>
      <c r="AB5016" s="1"/>
    </row>
    <row r="5017" spans="15:30">
      <c r="O5017" s="1"/>
      <c r="P5017" s="1"/>
      <c r="Q5017" s="1"/>
      <c r="R5017" s="1"/>
      <c r="Z5017" s="103"/>
      <c r="AA5017" s="103"/>
      <c r="AB5017" s="1"/>
    </row>
    <row r="5018" spans="15:30">
      <c r="O5018" s="1"/>
      <c r="P5018" s="1"/>
      <c r="Q5018" s="1"/>
      <c r="R5018" s="1"/>
      <c r="Z5018" s="103"/>
      <c r="AA5018" s="103"/>
      <c r="AB5018" s="1"/>
    </row>
    <row r="5019" spans="15:30">
      <c r="O5019" s="1"/>
      <c r="P5019" s="1"/>
      <c r="Q5019" s="1"/>
      <c r="R5019" s="1"/>
      <c r="Z5019" s="103"/>
      <c r="AA5019" s="103"/>
      <c r="AB5019" s="1"/>
    </row>
    <row r="5020" spans="15:30">
      <c r="O5020" s="1"/>
      <c r="P5020" s="1"/>
      <c r="Q5020" s="1"/>
      <c r="R5020" s="1"/>
      <c r="Z5020" s="103"/>
      <c r="AA5020" s="103"/>
      <c r="AB5020" s="1"/>
    </row>
    <row r="5021" spans="15:30">
      <c r="O5021" s="1"/>
      <c r="P5021" s="1"/>
      <c r="Q5021" s="1"/>
      <c r="R5021" s="1"/>
      <c r="Z5021" s="103"/>
      <c r="AA5021" s="103"/>
      <c r="AB5021" s="1"/>
    </row>
    <row r="5022" spans="15:30">
      <c r="O5022" s="1"/>
      <c r="P5022" s="1"/>
      <c r="Q5022" s="1"/>
      <c r="R5022" s="1"/>
      <c r="Z5022" s="103"/>
      <c r="AA5022" s="103"/>
      <c r="AB5022" s="1"/>
    </row>
    <row r="5023" spans="15:30">
      <c r="O5023" s="1"/>
      <c r="P5023" s="1"/>
      <c r="Q5023" s="1"/>
      <c r="R5023" s="1"/>
      <c r="Z5023" s="103"/>
      <c r="AA5023" s="103"/>
      <c r="AB5023" s="1"/>
    </row>
    <row r="5024" spans="15:30">
      <c r="O5024" s="1"/>
      <c r="P5024" s="1"/>
      <c r="Q5024" s="1"/>
      <c r="R5024" s="1"/>
      <c r="Z5024" s="103"/>
      <c r="AA5024" s="103"/>
      <c r="AB5024" s="1"/>
    </row>
    <row r="5025" spans="15:28">
      <c r="O5025" s="1"/>
      <c r="P5025" s="1"/>
      <c r="Q5025" s="1"/>
      <c r="R5025" s="1"/>
      <c r="Z5025" s="103"/>
      <c r="AA5025" s="103"/>
      <c r="AB5025" s="1"/>
    </row>
    <row r="5026" spans="15:28">
      <c r="O5026" s="1"/>
      <c r="P5026" s="1"/>
      <c r="Q5026" s="1"/>
      <c r="R5026" s="1"/>
      <c r="Z5026" s="103"/>
      <c r="AA5026" s="103"/>
      <c r="AB5026" s="1"/>
    </row>
    <row r="5027" spans="15:28">
      <c r="O5027" s="1"/>
      <c r="P5027" s="1"/>
      <c r="Q5027" s="1"/>
      <c r="R5027" s="1"/>
      <c r="Z5027" s="103"/>
      <c r="AA5027" s="103"/>
      <c r="AB5027" s="1"/>
    </row>
    <row r="5028" spans="15:28">
      <c r="O5028" s="1"/>
      <c r="P5028" s="1"/>
      <c r="Q5028" s="1"/>
      <c r="R5028" s="1"/>
      <c r="Z5028" s="103"/>
      <c r="AA5028" s="103"/>
      <c r="AB5028" s="1"/>
    </row>
    <row r="5029" spans="15:28">
      <c r="O5029" s="1"/>
      <c r="P5029" s="1"/>
      <c r="Q5029" s="1"/>
      <c r="R5029" s="1"/>
      <c r="Z5029" s="103"/>
      <c r="AA5029" s="103"/>
      <c r="AB5029" s="1"/>
    </row>
    <row r="5030" spans="15:28">
      <c r="O5030" s="1"/>
      <c r="P5030" s="1"/>
      <c r="Q5030" s="1"/>
      <c r="R5030" s="1"/>
      <c r="Z5030" s="103"/>
      <c r="AA5030" s="103"/>
      <c r="AB5030" s="1"/>
    </row>
    <row r="5031" spans="15:28">
      <c r="O5031" s="1"/>
      <c r="P5031" s="1"/>
      <c r="Q5031" s="1"/>
      <c r="R5031" s="1"/>
      <c r="Z5031" s="103"/>
      <c r="AA5031" s="103"/>
      <c r="AB5031" s="1"/>
    </row>
    <row r="5032" spans="15:28">
      <c r="O5032" s="1"/>
      <c r="P5032" s="1"/>
      <c r="Q5032" s="1"/>
      <c r="R5032" s="1"/>
      <c r="Z5032" s="103"/>
      <c r="AA5032" s="103"/>
      <c r="AB5032" s="1"/>
    </row>
    <row r="5033" spans="15:28">
      <c r="O5033" s="1"/>
      <c r="P5033" s="1"/>
      <c r="Q5033" s="1"/>
      <c r="R5033" s="1"/>
      <c r="Z5033" s="103"/>
      <c r="AA5033" s="103"/>
      <c r="AB5033" s="1"/>
    </row>
    <row r="5034" spans="15:28">
      <c r="O5034" s="1"/>
      <c r="P5034" s="1"/>
      <c r="Q5034" s="1"/>
      <c r="R5034" s="1"/>
      <c r="Z5034" s="103"/>
      <c r="AA5034" s="103"/>
      <c r="AB5034" s="1"/>
    </row>
    <row r="5035" spans="15:28">
      <c r="O5035" s="1"/>
      <c r="P5035" s="1"/>
      <c r="Q5035" s="1"/>
      <c r="R5035" s="1"/>
      <c r="Z5035" s="103"/>
      <c r="AA5035" s="103"/>
      <c r="AB5035" s="1"/>
    </row>
    <row r="5036" spans="15:28">
      <c r="O5036" s="1"/>
      <c r="P5036" s="1"/>
      <c r="Q5036" s="1"/>
      <c r="R5036" s="1"/>
      <c r="Z5036" s="103"/>
      <c r="AA5036" s="103"/>
      <c r="AB5036" s="1"/>
    </row>
    <row r="5037" spans="15:28">
      <c r="O5037" s="1"/>
      <c r="P5037" s="1"/>
      <c r="Q5037" s="1"/>
      <c r="R5037" s="1"/>
      <c r="Z5037" s="103"/>
      <c r="AA5037" s="103"/>
      <c r="AB5037" s="1"/>
    </row>
    <row r="5038" spans="15:28">
      <c r="O5038" s="1"/>
      <c r="P5038" s="1"/>
      <c r="Q5038" s="1"/>
      <c r="R5038" s="1"/>
      <c r="Z5038" s="103"/>
      <c r="AA5038" s="103"/>
      <c r="AB5038" s="1"/>
    </row>
    <row r="5039" spans="15:28">
      <c r="O5039" s="1"/>
      <c r="P5039" s="1"/>
      <c r="Q5039" s="1"/>
      <c r="R5039" s="1"/>
      <c r="Z5039" s="103"/>
      <c r="AA5039" s="103"/>
      <c r="AB5039" s="1"/>
    </row>
    <row r="5040" spans="15:28">
      <c r="O5040" s="1"/>
      <c r="P5040" s="1"/>
      <c r="Q5040" s="1"/>
      <c r="R5040" s="1"/>
      <c r="Z5040" s="103"/>
      <c r="AA5040" s="103"/>
      <c r="AB5040" s="1"/>
    </row>
    <row r="5041" spans="15:28">
      <c r="O5041" s="1"/>
      <c r="P5041" s="1"/>
      <c r="Q5041" s="1"/>
      <c r="R5041" s="1"/>
      <c r="Z5041" s="103"/>
      <c r="AA5041" s="103"/>
      <c r="AB5041" s="1"/>
    </row>
    <row r="5042" spans="15:28">
      <c r="O5042" s="1"/>
      <c r="P5042" s="1"/>
      <c r="Q5042" s="1"/>
      <c r="R5042" s="1"/>
      <c r="Z5042" s="103"/>
      <c r="AA5042" s="103"/>
      <c r="AB5042" s="1"/>
    </row>
    <row r="5043" spans="15:28">
      <c r="O5043" s="1"/>
      <c r="P5043" s="1"/>
      <c r="Q5043" s="1"/>
      <c r="R5043" s="1"/>
      <c r="Z5043" s="103"/>
      <c r="AA5043" s="103"/>
      <c r="AB5043" s="1"/>
    </row>
    <row r="5044" spans="15:28">
      <c r="O5044" s="1"/>
      <c r="P5044" s="1"/>
      <c r="Q5044" s="1"/>
      <c r="R5044" s="1"/>
      <c r="Z5044" s="103"/>
      <c r="AA5044" s="103"/>
      <c r="AB5044" s="1"/>
    </row>
    <row r="5045" spans="15:28">
      <c r="O5045" s="1"/>
      <c r="P5045" s="1"/>
      <c r="Q5045" s="1"/>
      <c r="R5045" s="1"/>
      <c r="Z5045" s="103"/>
      <c r="AA5045" s="103"/>
      <c r="AB5045" s="1"/>
    </row>
    <row r="5046" spans="15:28">
      <c r="O5046" s="1"/>
      <c r="P5046" s="1"/>
      <c r="Q5046" s="1"/>
      <c r="R5046" s="1"/>
      <c r="Z5046" s="103"/>
      <c r="AA5046" s="103"/>
      <c r="AB5046" s="1"/>
    </row>
    <row r="5047" spans="15:28">
      <c r="O5047" s="1"/>
      <c r="P5047" s="1"/>
      <c r="Q5047" s="1"/>
      <c r="R5047" s="1"/>
      <c r="Z5047" s="103"/>
      <c r="AA5047" s="103"/>
      <c r="AB5047" s="1"/>
    </row>
    <row r="5048" spans="15:28">
      <c r="O5048" s="1"/>
      <c r="P5048" s="1"/>
      <c r="Q5048" s="1"/>
      <c r="R5048" s="1"/>
      <c r="Z5048" s="103"/>
      <c r="AA5048" s="103"/>
      <c r="AB5048" s="1"/>
    </row>
    <row r="5049" spans="15:28">
      <c r="O5049" s="1"/>
      <c r="P5049" s="1"/>
      <c r="Q5049" s="1"/>
      <c r="R5049" s="1"/>
      <c r="Z5049" s="103"/>
      <c r="AA5049" s="103"/>
      <c r="AB5049" s="1"/>
    </row>
    <row r="5050" spans="15:28">
      <c r="O5050" s="1"/>
      <c r="P5050" s="1"/>
      <c r="Q5050" s="1"/>
      <c r="R5050" s="1"/>
      <c r="Z5050" s="103"/>
      <c r="AA5050" s="103"/>
      <c r="AB5050" s="1"/>
    </row>
    <row r="5051" spans="15:28">
      <c r="O5051" s="1"/>
      <c r="P5051" s="1"/>
      <c r="Q5051" s="1"/>
      <c r="R5051" s="1"/>
      <c r="Z5051" s="103"/>
      <c r="AA5051" s="103"/>
      <c r="AB5051" s="1"/>
    </row>
    <row r="5052" spans="15:28">
      <c r="O5052" s="1"/>
      <c r="P5052" s="1"/>
      <c r="Q5052" s="1"/>
      <c r="R5052" s="1"/>
      <c r="Z5052" s="103"/>
      <c r="AA5052" s="103"/>
      <c r="AB5052" s="1"/>
    </row>
    <row r="5053" spans="15:28">
      <c r="O5053" s="1"/>
      <c r="P5053" s="1"/>
      <c r="Q5053" s="1"/>
      <c r="R5053" s="1"/>
      <c r="Z5053" s="103"/>
      <c r="AA5053" s="103"/>
      <c r="AB5053" s="1"/>
    </row>
    <row r="5054" spans="15:28">
      <c r="O5054" s="1"/>
      <c r="P5054" s="1"/>
      <c r="Q5054" s="1"/>
      <c r="R5054" s="1"/>
      <c r="Z5054" s="103"/>
      <c r="AA5054" s="103"/>
      <c r="AB5054" s="1"/>
    </row>
    <row r="5055" spans="15:28">
      <c r="O5055" s="1"/>
      <c r="P5055" s="1"/>
      <c r="Q5055" s="1"/>
      <c r="R5055" s="1"/>
      <c r="Z5055" s="103"/>
      <c r="AA5055" s="103"/>
      <c r="AB5055" s="1"/>
    </row>
    <row r="5056" spans="15:28">
      <c r="O5056" s="1"/>
      <c r="P5056" s="1"/>
      <c r="Q5056" s="1"/>
      <c r="R5056" s="1"/>
      <c r="Z5056" s="103"/>
      <c r="AA5056" s="103"/>
      <c r="AB5056" s="1"/>
    </row>
    <row r="5057" spans="15:30">
      <c r="O5057" s="1"/>
      <c r="P5057" s="1"/>
      <c r="Q5057" s="1"/>
      <c r="R5057" s="1"/>
      <c r="Z5057" s="103"/>
      <c r="AA5057" s="103"/>
      <c r="AB5057" s="1"/>
    </row>
    <row r="5058" spans="15:30">
      <c r="O5058" s="1"/>
      <c r="P5058" s="1"/>
      <c r="Q5058" s="1"/>
      <c r="R5058" s="1"/>
      <c r="Z5058" s="103"/>
      <c r="AA5058" s="103"/>
      <c r="AB5058" s="1"/>
    </row>
    <row r="5059" spans="15:30">
      <c r="O5059" s="1"/>
      <c r="P5059" s="1"/>
      <c r="Q5059" s="1"/>
      <c r="R5059" s="1"/>
      <c r="Z5059" s="103"/>
      <c r="AA5059" s="103"/>
      <c r="AB5059" s="1"/>
    </row>
    <row r="5060" spans="15:30">
      <c r="O5060" s="1"/>
      <c r="P5060" s="1"/>
      <c r="Q5060" s="1"/>
      <c r="R5060" s="1"/>
      <c r="Z5060" s="103"/>
      <c r="AA5060" s="103"/>
      <c r="AB5060" s="1"/>
    </row>
    <row r="5061" spans="15:30">
      <c r="O5061" s="1"/>
      <c r="P5061" s="1"/>
      <c r="Q5061" s="1"/>
      <c r="R5061" s="1"/>
      <c r="Z5061" s="103"/>
      <c r="AA5061" s="103"/>
      <c r="AB5061" s="1"/>
    </row>
    <row r="5062" spans="15:30">
      <c r="O5062" s="1"/>
      <c r="P5062" s="1"/>
      <c r="Q5062" s="1"/>
      <c r="R5062" s="1"/>
      <c r="Z5062" s="103"/>
      <c r="AA5062" s="103"/>
      <c r="AB5062" s="1"/>
    </row>
    <row r="5063" spans="15:30">
      <c r="O5063" s="1"/>
      <c r="P5063" s="1"/>
      <c r="Q5063" s="1"/>
      <c r="R5063" s="1"/>
      <c r="Z5063" s="103"/>
      <c r="AA5063" s="103"/>
      <c r="AB5063" s="1"/>
      <c r="AD5063" s="102"/>
    </row>
    <row r="5064" spans="15:30">
      <c r="O5064" s="1"/>
      <c r="P5064" s="1"/>
      <c r="Q5064" s="1"/>
      <c r="R5064" s="1"/>
      <c r="Z5064" s="103"/>
      <c r="AA5064" s="103"/>
      <c r="AB5064" s="1"/>
    </row>
    <row r="5065" spans="15:30">
      <c r="O5065" s="1"/>
      <c r="P5065" s="1"/>
      <c r="Q5065" s="1"/>
      <c r="R5065" s="1"/>
      <c r="Z5065" s="103"/>
      <c r="AA5065" s="103"/>
      <c r="AB5065" s="1"/>
    </row>
    <row r="5066" spans="15:30">
      <c r="O5066" s="1"/>
      <c r="P5066" s="1"/>
      <c r="Q5066" s="1"/>
      <c r="R5066" s="1"/>
      <c r="Z5066" s="103"/>
      <c r="AA5066" s="103"/>
      <c r="AB5066" s="1"/>
    </row>
    <row r="5067" spans="15:30">
      <c r="O5067" s="1"/>
      <c r="P5067" s="1"/>
      <c r="Q5067" s="1"/>
      <c r="R5067" s="1"/>
      <c r="Z5067" s="103"/>
      <c r="AA5067" s="103"/>
      <c r="AB5067" s="1"/>
    </row>
    <row r="5068" spans="15:30">
      <c r="O5068" s="1"/>
      <c r="P5068" s="1"/>
      <c r="Q5068" s="1"/>
      <c r="R5068" s="1"/>
      <c r="Z5068" s="103"/>
      <c r="AA5068" s="103"/>
      <c r="AB5068" s="1"/>
    </row>
    <row r="5069" spans="15:30">
      <c r="O5069" s="1"/>
      <c r="P5069" s="1"/>
      <c r="Q5069" s="1"/>
      <c r="R5069" s="1"/>
      <c r="Z5069" s="103"/>
      <c r="AA5069" s="103"/>
      <c r="AB5069" s="1"/>
    </row>
    <row r="5070" spans="15:30">
      <c r="O5070" s="1"/>
      <c r="P5070" s="1"/>
      <c r="Q5070" s="1"/>
      <c r="R5070" s="1"/>
      <c r="Z5070" s="103"/>
      <c r="AA5070" s="103"/>
      <c r="AB5070" s="1"/>
    </row>
    <row r="5071" spans="15:30">
      <c r="O5071" s="1"/>
      <c r="P5071" s="1"/>
      <c r="Q5071" s="1"/>
      <c r="R5071" s="1"/>
      <c r="Z5071" s="103"/>
      <c r="AA5071" s="103"/>
      <c r="AB5071" s="1"/>
    </row>
    <row r="5072" spans="15:30">
      <c r="O5072" s="1"/>
      <c r="P5072" s="1"/>
      <c r="Q5072" s="1"/>
      <c r="R5072" s="1"/>
      <c r="Z5072" s="103"/>
      <c r="AA5072" s="103"/>
      <c r="AB5072" s="1"/>
    </row>
    <row r="5073" spans="15:30">
      <c r="O5073" s="1"/>
      <c r="P5073" s="1"/>
      <c r="Q5073" s="1"/>
      <c r="R5073" s="1"/>
      <c r="Z5073" s="103"/>
      <c r="AA5073" s="103"/>
      <c r="AB5073" s="1"/>
    </row>
    <row r="5074" spans="15:30">
      <c r="O5074" s="1"/>
      <c r="P5074" s="1"/>
      <c r="Q5074" s="1"/>
      <c r="R5074" s="1"/>
      <c r="Z5074" s="103"/>
      <c r="AA5074" s="103"/>
      <c r="AB5074" s="1"/>
    </row>
    <row r="5075" spans="15:30">
      <c r="O5075" s="1"/>
      <c r="P5075" s="1"/>
      <c r="Q5075" s="1"/>
      <c r="R5075" s="1"/>
      <c r="Z5075" s="103"/>
      <c r="AA5075" s="103"/>
      <c r="AB5075" s="1"/>
    </row>
    <row r="5076" spans="15:30">
      <c r="O5076" s="1"/>
      <c r="P5076" s="1"/>
      <c r="Q5076" s="1"/>
      <c r="R5076" s="1"/>
      <c r="Z5076" s="103"/>
      <c r="AA5076" s="103"/>
      <c r="AB5076" s="1"/>
    </row>
    <row r="5077" spans="15:30">
      <c r="O5077" s="1"/>
      <c r="P5077" s="1"/>
      <c r="Q5077" s="1"/>
      <c r="R5077" s="1"/>
      <c r="Z5077" s="103"/>
      <c r="AA5077" s="103"/>
      <c r="AB5077" s="1"/>
    </row>
    <row r="5078" spans="15:30">
      <c r="O5078" s="1"/>
      <c r="P5078" s="1"/>
      <c r="Q5078" s="1"/>
      <c r="R5078" s="1"/>
      <c r="Z5078" s="103"/>
      <c r="AA5078" s="103"/>
      <c r="AB5078" s="1"/>
    </row>
    <row r="5079" spans="15:30">
      <c r="O5079" s="1"/>
      <c r="P5079" s="1"/>
      <c r="Q5079" s="1"/>
      <c r="R5079" s="1"/>
      <c r="Z5079" s="103"/>
      <c r="AA5079" s="103"/>
      <c r="AB5079" s="1"/>
    </row>
    <row r="5080" spans="15:30">
      <c r="O5080" s="1"/>
      <c r="P5080" s="1"/>
      <c r="Q5080" s="1"/>
      <c r="R5080" s="1"/>
      <c r="Z5080" s="103"/>
      <c r="AA5080" s="103"/>
      <c r="AB5080" s="1"/>
    </row>
    <row r="5081" spans="15:30">
      <c r="O5081" s="1"/>
      <c r="P5081" s="1"/>
      <c r="Q5081" s="1"/>
      <c r="R5081" s="1"/>
      <c r="Z5081" s="103"/>
      <c r="AA5081" s="103"/>
      <c r="AB5081" s="1"/>
      <c r="AD5081" s="102"/>
    </row>
    <row r="5082" spans="15:30">
      <c r="O5082" s="1"/>
      <c r="P5082" s="1"/>
      <c r="Q5082" s="1"/>
      <c r="R5082" s="1"/>
      <c r="Z5082" s="103"/>
      <c r="AA5082" s="103"/>
      <c r="AB5082" s="1"/>
      <c r="AD5082" s="102"/>
    </row>
    <row r="5083" spans="15:30">
      <c r="O5083" s="1"/>
      <c r="P5083" s="1"/>
      <c r="Q5083" s="1"/>
      <c r="R5083" s="1"/>
      <c r="Z5083" s="103"/>
      <c r="AA5083" s="103"/>
      <c r="AB5083" s="1"/>
    </row>
    <row r="5084" spans="15:30">
      <c r="O5084" s="1"/>
      <c r="P5084" s="1"/>
      <c r="Q5084" s="1"/>
      <c r="R5084" s="1"/>
      <c r="Z5084" s="103"/>
      <c r="AA5084" s="103"/>
      <c r="AB5084" s="1"/>
    </row>
    <row r="5085" spans="15:30">
      <c r="O5085" s="1"/>
      <c r="P5085" s="1"/>
      <c r="Q5085" s="1"/>
      <c r="R5085" s="1"/>
      <c r="Z5085" s="103"/>
      <c r="AA5085" s="103"/>
      <c r="AB5085" s="1"/>
    </row>
    <row r="5086" spans="15:30">
      <c r="O5086" s="1"/>
      <c r="P5086" s="1"/>
      <c r="Q5086" s="1"/>
      <c r="R5086" s="1"/>
      <c r="Z5086" s="103"/>
      <c r="AA5086" s="103"/>
      <c r="AB5086" s="1"/>
    </row>
    <row r="5087" spans="15:30">
      <c r="O5087" s="1"/>
      <c r="P5087" s="1"/>
      <c r="Q5087" s="1"/>
      <c r="R5087" s="1"/>
      <c r="Z5087" s="103"/>
      <c r="AA5087" s="103"/>
      <c r="AB5087" s="1"/>
    </row>
    <row r="5088" spans="15:30">
      <c r="O5088" s="1"/>
      <c r="P5088" s="1"/>
      <c r="Q5088" s="1"/>
      <c r="R5088" s="1"/>
      <c r="Z5088" s="103"/>
      <c r="AA5088" s="103"/>
      <c r="AB5088" s="1"/>
      <c r="AD5088" s="102"/>
    </row>
    <row r="5089" spans="15:30">
      <c r="O5089" s="1"/>
      <c r="P5089" s="1"/>
      <c r="Q5089" s="1"/>
      <c r="R5089" s="1"/>
      <c r="Z5089" s="103"/>
      <c r="AA5089" s="103"/>
      <c r="AB5089" s="1"/>
    </row>
    <row r="5090" spans="15:30">
      <c r="O5090" s="1"/>
      <c r="P5090" s="1"/>
      <c r="Q5090" s="1"/>
      <c r="R5090" s="1"/>
      <c r="Z5090" s="103"/>
      <c r="AA5090" s="103"/>
      <c r="AB5090" s="1"/>
    </row>
    <row r="5091" spans="15:30">
      <c r="O5091" s="1"/>
      <c r="P5091" s="1"/>
      <c r="Q5091" s="1"/>
      <c r="R5091" s="1"/>
      <c r="Z5091" s="103"/>
      <c r="AA5091" s="103"/>
      <c r="AB5091" s="1"/>
    </row>
    <row r="5092" spans="15:30">
      <c r="O5092" s="1"/>
      <c r="P5092" s="1"/>
      <c r="Q5092" s="1"/>
      <c r="R5092" s="1"/>
      <c r="Z5092" s="103"/>
      <c r="AA5092" s="103"/>
      <c r="AB5092" s="1"/>
    </row>
    <row r="5093" spans="15:30">
      <c r="O5093" s="1"/>
      <c r="P5093" s="1"/>
      <c r="Q5093" s="1"/>
      <c r="R5093" s="1"/>
      <c r="Z5093" s="103"/>
      <c r="AA5093" s="103"/>
      <c r="AB5093" s="1"/>
    </row>
    <row r="5094" spans="15:30">
      <c r="O5094" s="1"/>
      <c r="P5094" s="1"/>
      <c r="Q5094" s="1"/>
      <c r="R5094" s="1"/>
      <c r="Z5094" s="103"/>
      <c r="AA5094" s="103"/>
      <c r="AB5094" s="1"/>
    </row>
    <row r="5095" spans="15:30">
      <c r="O5095" s="1"/>
      <c r="P5095" s="1"/>
      <c r="Q5095" s="1"/>
      <c r="R5095" s="1"/>
      <c r="Z5095" s="103"/>
      <c r="AA5095" s="103"/>
      <c r="AB5095" s="1"/>
    </row>
    <row r="5096" spans="15:30">
      <c r="O5096" s="1"/>
      <c r="P5096" s="1"/>
      <c r="Q5096" s="1"/>
      <c r="R5096" s="1"/>
      <c r="Z5096" s="103"/>
      <c r="AA5096" s="103"/>
      <c r="AB5096" s="1"/>
    </row>
    <row r="5097" spans="15:30">
      <c r="O5097" s="1"/>
      <c r="P5097" s="1"/>
      <c r="Q5097" s="1"/>
      <c r="R5097" s="1"/>
      <c r="Z5097" s="103"/>
      <c r="AA5097" s="103"/>
      <c r="AB5097" s="1"/>
    </row>
    <row r="5098" spans="15:30">
      <c r="O5098" s="1"/>
      <c r="P5098" s="1"/>
      <c r="Q5098" s="1"/>
      <c r="R5098" s="1"/>
      <c r="Z5098" s="103"/>
      <c r="AA5098" s="103"/>
      <c r="AB5098" s="1"/>
    </row>
    <row r="5099" spans="15:30">
      <c r="O5099" s="1"/>
      <c r="P5099" s="1"/>
      <c r="Q5099" s="1"/>
      <c r="R5099" s="1"/>
      <c r="Z5099" s="103"/>
      <c r="AA5099" s="103"/>
      <c r="AB5099" s="1"/>
    </row>
    <row r="5100" spans="15:30">
      <c r="O5100" s="1"/>
      <c r="P5100" s="1"/>
      <c r="Q5100" s="1"/>
      <c r="R5100" s="1"/>
      <c r="Z5100" s="103"/>
      <c r="AA5100" s="103"/>
      <c r="AB5100" s="1"/>
    </row>
    <row r="5101" spans="15:30">
      <c r="O5101" s="1"/>
      <c r="P5101" s="1"/>
      <c r="Q5101" s="1"/>
      <c r="R5101" s="1"/>
      <c r="Z5101" s="103"/>
      <c r="AA5101" s="103"/>
      <c r="AB5101" s="1"/>
      <c r="AD5101" s="102"/>
    </row>
    <row r="5102" spans="15:30">
      <c r="O5102" s="1"/>
      <c r="P5102" s="1"/>
      <c r="Q5102" s="1"/>
      <c r="R5102" s="1"/>
      <c r="Z5102" s="103"/>
      <c r="AA5102" s="103"/>
      <c r="AB5102" s="1"/>
    </row>
    <row r="5103" spans="15:30">
      <c r="O5103" s="1"/>
      <c r="P5103" s="1"/>
      <c r="Q5103" s="1"/>
      <c r="R5103" s="1"/>
      <c r="Z5103" s="103"/>
      <c r="AA5103" s="103"/>
      <c r="AB5103" s="1"/>
    </row>
    <row r="5104" spans="15:30">
      <c r="O5104" s="1"/>
      <c r="P5104" s="1"/>
      <c r="Q5104" s="1"/>
      <c r="R5104" s="1"/>
      <c r="Z5104" s="103"/>
      <c r="AA5104" s="103"/>
      <c r="AB5104" s="1"/>
      <c r="AD5104" s="102"/>
    </row>
    <row r="5105" spans="15:30">
      <c r="O5105" s="1"/>
      <c r="P5105" s="1"/>
      <c r="Q5105" s="1"/>
      <c r="R5105" s="1"/>
      <c r="Z5105" s="103"/>
      <c r="AA5105" s="103"/>
      <c r="AB5105" s="1"/>
    </row>
    <row r="5106" spans="15:30">
      <c r="O5106" s="1"/>
      <c r="P5106" s="1"/>
      <c r="Q5106" s="1"/>
      <c r="R5106" s="1"/>
      <c r="Z5106" s="103"/>
      <c r="AA5106" s="103"/>
      <c r="AB5106" s="1"/>
      <c r="AD5106" s="102"/>
    </row>
    <row r="5107" spans="15:30">
      <c r="O5107" s="1"/>
      <c r="P5107" s="1"/>
      <c r="Q5107" s="1"/>
      <c r="R5107" s="1"/>
      <c r="Z5107" s="103"/>
      <c r="AA5107" s="103"/>
      <c r="AB5107" s="1"/>
    </row>
    <row r="5108" spans="15:30">
      <c r="O5108" s="1"/>
      <c r="P5108" s="1"/>
      <c r="Q5108" s="1"/>
      <c r="R5108" s="1"/>
      <c r="Z5108" s="103"/>
      <c r="AA5108" s="103"/>
      <c r="AB5108" s="1"/>
    </row>
    <row r="5109" spans="15:30">
      <c r="O5109" s="1"/>
      <c r="P5109" s="1"/>
      <c r="Q5109" s="1"/>
      <c r="R5109" s="1"/>
      <c r="Z5109" s="103"/>
      <c r="AA5109" s="103"/>
      <c r="AB5109" s="1"/>
      <c r="AD5109" s="102"/>
    </row>
    <row r="5110" spans="15:30">
      <c r="O5110" s="1"/>
      <c r="P5110" s="1"/>
      <c r="Q5110" s="1"/>
      <c r="R5110" s="1"/>
      <c r="Z5110" s="103"/>
      <c r="AA5110" s="103"/>
      <c r="AB5110" s="1"/>
    </row>
    <row r="5111" spans="15:30">
      <c r="O5111" s="1"/>
      <c r="P5111" s="1"/>
      <c r="Q5111" s="1"/>
      <c r="R5111" s="1"/>
      <c r="Z5111" s="103"/>
      <c r="AA5111" s="103"/>
      <c r="AB5111" s="1"/>
    </row>
    <row r="5112" spans="15:30">
      <c r="O5112" s="1"/>
      <c r="P5112" s="1"/>
      <c r="Q5112" s="1"/>
      <c r="R5112" s="1"/>
      <c r="Z5112" s="103"/>
      <c r="AA5112" s="103"/>
      <c r="AB5112" s="1"/>
    </row>
    <row r="5113" spans="15:30">
      <c r="O5113" s="1"/>
      <c r="P5113" s="1"/>
      <c r="Q5113" s="1"/>
      <c r="R5113" s="1"/>
      <c r="Z5113" s="103"/>
      <c r="AA5113" s="103"/>
      <c r="AB5113" s="1"/>
    </row>
    <row r="5114" spans="15:30">
      <c r="O5114" s="1"/>
      <c r="P5114" s="1"/>
      <c r="Q5114" s="1"/>
      <c r="R5114" s="1"/>
      <c r="Z5114" s="103"/>
      <c r="AA5114" s="103"/>
      <c r="AB5114" s="1"/>
    </row>
    <row r="5115" spans="15:30">
      <c r="O5115" s="1"/>
      <c r="P5115" s="1"/>
      <c r="Q5115" s="1"/>
      <c r="R5115" s="1"/>
      <c r="Z5115" s="103"/>
      <c r="AA5115" s="103"/>
      <c r="AB5115" s="1"/>
    </row>
    <row r="5116" spans="15:30">
      <c r="O5116" s="1"/>
      <c r="P5116" s="1"/>
      <c r="Q5116" s="1"/>
      <c r="R5116" s="1"/>
      <c r="Z5116" s="103"/>
      <c r="AA5116" s="103"/>
      <c r="AB5116" s="1"/>
    </row>
    <row r="5117" spans="15:30">
      <c r="O5117" s="1"/>
      <c r="P5117" s="1"/>
      <c r="Q5117" s="1"/>
      <c r="R5117" s="1"/>
      <c r="Z5117" s="103"/>
      <c r="AA5117" s="103"/>
      <c r="AB5117" s="1"/>
    </row>
    <row r="5118" spans="15:30">
      <c r="O5118" s="1"/>
      <c r="P5118" s="1"/>
      <c r="Q5118" s="1"/>
      <c r="R5118" s="1"/>
      <c r="Z5118" s="103"/>
      <c r="AA5118" s="103"/>
      <c r="AB5118" s="1"/>
    </row>
    <row r="5119" spans="15:30">
      <c r="O5119" s="1"/>
      <c r="P5119" s="1"/>
      <c r="Q5119" s="1"/>
      <c r="R5119" s="1"/>
      <c r="Z5119" s="103"/>
      <c r="AA5119" s="103"/>
      <c r="AB5119" s="1"/>
    </row>
    <row r="5120" spans="15:30">
      <c r="O5120" s="1"/>
      <c r="P5120" s="1"/>
      <c r="Q5120" s="1"/>
      <c r="R5120" s="1"/>
      <c r="Z5120" s="103"/>
      <c r="AA5120" s="103"/>
      <c r="AB5120" s="1"/>
    </row>
    <row r="5121" spans="15:28">
      <c r="O5121" s="1"/>
      <c r="P5121" s="1"/>
      <c r="Q5121" s="1"/>
      <c r="R5121" s="1"/>
      <c r="Z5121" s="103"/>
      <c r="AA5121" s="103"/>
      <c r="AB5121" s="1"/>
    </row>
    <row r="5122" spans="15:28">
      <c r="O5122" s="1"/>
      <c r="P5122" s="1"/>
      <c r="Q5122" s="1"/>
      <c r="R5122" s="1"/>
      <c r="Z5122" s="103"/>
      <c r="AA5122" s="103"/>
      <c r="AB5122" s="1"/>
    </row>
    <row r="5123" spans="15:28">
      <c r="O5123" s="1"/>
      <c r="P5123" s="1"/>
      <c r="Q5123" s="1"/>
      <c r="R5123" s="1"/>
      <c r="Z5123" s="103"/>
      <c r="AA5123" s="103"/>
      <c r="AB5123" s="1"/>
    </row>
    <row r="5124" spans="15:28">
      <c r="O5124" s="1"/>
      <c r="P5124" s="1"/>
      <c r="Q5124" s="1"/>
      <c r="R5124" s="1"/>
      <c r="Z5124" s="103"/>
      <c r="AA5124" s="103"/>
      <c r="AB5124" s="1"/>
    </row>
    <row r="5125" spans="15:28">
      <c r="O5125" s="1"/>
      <c r="P5125" s="1"/>
      <c r="Q5125" s="1"/>
      <c r="R5125" s="1"/>
      <c r="Z5125" s="103"/>
      <c r="AA5125" s="103"/>
      <c r="AB5125" s="1"/>
    </row>
    <row r="5126" spans="15:28">
      <c r="O5126" s="1"/>
      <c r="P5126" s="1"/>
      <c r="Q5126" s="1"/>
      <c r="R5126" s="1"/>
      <c r="Z5126" s="103"/>
      <c r="AA5126" s="103"/>
      <c r="AB5126" s="1"/>
    </row>
    <row r="5127" spans="15:28">
      <c r="O5127" s="1"/>
      <c r="P5127" s="1"/>
      <c r="Q5127" s="1"/>
      <c r="R5127" s="1"/>
      <c r="Z5127" s="103"/>
      <c r="AA5127" s="103"/>
      <c r="AB5127" s="1"/>
    </row>
    <row r="5128" spans="15:28">
      <c r="O5128" s="1"/>
      <c r="P5128" s="1"/>
      <c r="Q5128" s="1"/>
      <c r="R5128" s="1"/>
      <c r="Z5128" s="103"/>
      <c r="AA5128" s="103"/>
      <c r="AB5128" s="1"/>
    </row>
    <row r="5129" spans="15:28">
      <c r="O5129" s="1"/>
      <c r="P5129" s="1"/>
      <c r="Q5129" s="1"/>
      <c r="R5129" s="1"/>
      <c r="Z5129" s="103"/>
      <c r="AA5129" s="103"/>
      <c r="AB5129" s="1"/>
    </row>
    <row r="5130" spans="15:28">
      <c r="O5130" s="1"/>
      <c r="P5130" s="1"/>
      <c r="Q5130" s="1"/>
      <c r="R5130" s="1"/>
      <c r="Z5130" s="103"/>
      <c r="AA5130" s="103"/>
      <c r="AB5130" s="1"/>
    </row>
    <row r="5131" spans="15:28">
      <c r="O5131" s="1"/>
      <c r="P5131" s="1"/>
      <c r="Q5131" s="1"/>
      <c r="R5131" s="1"/>
      <c r="Z5131" s="103"/>
      <c r="AA5131" s="103"/>
      <c r="AB5131" s="1"/>
    </row>
    <row r="5132" spans="15:28">
      <c r="O5132" s="1"/>
      <c r="P5132" s="1"/>
      <c r="Q5132" s="1"/>
      <c r="R5132" s="1"/>
      <c r="Z5132" s="103"/>
      <c r="AA5132" s="103"/>
      <c r="AB5132" s="1"/>
    </row>
    <row r="5133" spans="15:28">
      <c r="O5133" s="1"/>
      <c r="P5133" s="1"/>
      <c r="Q5133" s="1"/>
      <c r="R5133" s="1"/>
      <c r="Z5133" s="103"/>
      <c r="AA5133" s="103"/>
      <c r="AB5133" s="1"/>
    </row>
    <row r="5134" spans="15:28">
      <c r="O5134" s="1"/>
      <c r="P5134" s="1"/>
      <c r="Q5134" s="1"/>
      <c r="R5134" s="1"/>
      <c r="Z5134" s="103"/>
      <c r="AA5134" s="103"/>
      <c r="AB5134" s="1"/>
    </row>
    <row r="5135" spans="15:28">
      <c r="O5135" s="1"/>
      <c r="P5135" s="1"/>
      <c r="Q5135" s="1"/>
      <c r="R5135" s="1"/>
      <c r="Z5135" s="103"/>
      <c r="AA5135" s="103"/>
      <c r="AB5135" s="1"/>
    </row>
    <row r="5136" spans="15:28">
      <c r="O5136" s="1"/>
      <c r="P5136" s="1"/>
      <c r="Q5136" s="1"/>
      <c r="R5136" s="1"/>
      <c r="Z5136" s="103"/>
      <c r="AA5136" s="103"/>
      <c r="AB5136" s="1"/>
    </row>
    <row r="5137" spans="15:28">
      <c r="O5137" s="1"/>
      <c r="P5137" s="1"/>
      <c r="Q5137" s="1"/>
      <c r="R5137" s="1"/>
      <c r="Z5137" s="103"/>
      <c r="AA5137" s="103"/>
      <c r="AB5137" s="1"/>
    </row>
    <row r="5138" spans="15:28">
      <c r="O5138" s="1"/>
      <c r="P5138" s="1"/>
      <c r="Q5138" s="1"/>
      <c r="R5138" s="1"/>
      <c r="Z5138" s="103"/>
      <c r="AA5138" s="103"/>
      <c r="AB5138" s="1"/>
    </row>
    <row r="5139" spans="15:28">
      <c r="O5139" s="1"/>
      <c r="P5139" s="1"/>
      <c r="Q5139" s="1"/>
      <c r="R5139" s="1"/>
      <c r="Z5139" s="103"/>
      <c r="AA5139" s="103"/>
      <c r="AB5139" s="1"/>
    </row>
    <row r="5140" spans="15:28">
      <c r="O5140" s="1"/>
      <c r="P5140" s="1"/>
      <c r="Q5140" s="1"/>
      <c r="R5140" s="1"/>
      <c r="Z5140" s="103"/>
      <c r="AA5140" s="103"/>
      <c r="AB5140" s="1"/>
    </row>
    <row r="5141" spans="15:28">
      <c r="O5141" s="1"/>
      <c r="P5141" s="1"/>
      <c r="Q5141" s="1"/>
      <c r="R5141" s="1"/>
      <c r="Z5141" s="103"/>
      <c r="AA5141" s="103"/>
      <c r="AB5141" s="1"/>
    </row>
    <row r="5142" spans="15:28">
      <c r="O5142" s="1"/>
      <c r="P5142" s="1"/>
      <c r="Q5142" s="1"/>
      <c r="R5142" s="1"/>
      <c r="Z5142" s="103"/>
      <c r="AA5142" s="103"/>
      <c r="AB5142" s="1"/>
    </row>
    <row r="5143" spans="15:28">
      <c r="O5143" s="1"/>
      <c r="P5143" s="1"/>
      <c r="Q5143" s="1"/>
      <c r="R5143" s="1"/>
      <c r="Z5143" s="103"/>
      <c r="AA5143" s="103"/>
      <c r="AB5143" s="1"/>
    </row>
    <row r="5144" spans="15:28">
      <c r="O5144" s="1"/>
      <c r="P5144" s="1"/>
      <c r="Q5144" s="1"/>
      <c r="R5144" s="1"/>
      <c r="Z5144" s="103"/>
      <c r="AA5144" s="103"/>
      <c r="AB5144" s="1"/>
    </row>
    <row r="5145" spans="15:28">
      <c r="O5145" s="1"/>
      <c r="P5145" s="1"/>
      <c r="Q5145" s="1"/>
      <c r="R5145" s="1"/>
      <c r="Z5145" s="103"/>
      <c r="AA5145" s="103"/>
      <c r="AB5145" s="1"/>
    </row>
    <row r="5146" spans="15:28">
      <c r="O5146" s="1"/>
      <c r="P5146" s="1"/>
      <c r="Q5146" s="1"/>
      <c r="R5146" s="1"/>
      <c r="Z5146" s="103"/>
      <c r="AA5146" s="103"/>
      <c r="AB5146" s="1"/>
    </row>
    <row r="5147" spans="15:28">
      <c r="O5147" s="1"/>
      <c r="P5147" s="1"/>
      <c r="Q5147" s="1"/>
      <c r="R5147" s="1"/>
      <c r="Z5147" s="103"/>
      <c r="AA5147" s="103"/>
      <c r="AB5147" s="1"/>
    </row>
    <row r="5148" spans="15:28">
      <c r="O5148" s="1"/>
      <c r="P5148" s="1"/>
      <c r="Q5148" s="1"/>
      <c r="R5148" s="1"/>
      <c r="Z5148" s="103"/>
      <c r="AA5148" s="103"/>
      <c r="AB5148" s="1"/>
    </row>
    <row r="5149" spans="15:28">
      <c r="O5149" s="1"/>
      <c r="P5149" s="1"/>
      <c r="Q5149" s="1"/>
      <c r="R5149" s="1"/>
      <c r="Z5149" s="103"/>
      <c r="AA5149" s="103"/>
      <c r="AB5149" s="1"/>
    </row>
    <row r="5150" spans="15:28">
      <c r="O5150" s="1"/>
      <c r="P5150" s="1"/>
      <c r="Q5150" s="1"/>
      <c r="R5150" s="1"/>
      <c r="Z5150" s="103"/>
      <c r="AA5150" s="103"/>
      <c r="AB5150" s="1"/>
    </row>
    <row r="5151" spans="15:28">
      <c r="O5151" s="1"/>
      <c r="P5151" s="1"/>
      <c r="Q5151" s="1"/>
      <c r="R5151" s="1"/>
      <c r="Z5151" s="103"/>
      <c r="AA5151" s="103"/>
      <c r="AB5151" s="1"/>
    </row>
    <row r="5152" spans="15:28">
      <c r="O5152" s="1"/>
      <c r="P5152" s="1"/>
      <c r="Q5152" s="1"/>
      <c r="R5152" s="1"/>
      <c r="Z5152" s="103"/>
      <c r="AA5152" s="103"/>
      <c r="AB5152" s="1"/>
    </row>
    <row r="5153" spans="15:28">
      <c r="O5153" s="1"/>
      <c r="P5153" s="1"/>
      <c r="Q5153" s="1"/>
      <c r="R5153" s="1"/>
      <c r="Z5153" s="103"/>
      <c r="AA5153" s="103"/>
      <c r="AB5153" s="1"/>
    </row>
    <row r="5154" spans="15:28">
      <c r="O5154" s="1"/>
      <c r="P5154" s="1"/>
      <c r="Q5154" s="1"/>
      <c r="R5154" s="1"/>
      <c r="Z5154" s="103"/>
      <c r="AA5154" s="103"/>
      <c r="AB5154" s="1"/>
    </row>
    <row r="5155" spans="15:28">
      <c r="O5155" s="1"/>
      <c r="P5155" s="1"/>
      <c r="Q5155" s="1"/>
      <c r="R5155" s="1"/>
      <c r="Z5155" s="103"/>
      <c r="AA5155" s="103"/>
      <c r="AB5155" s="1"/>
    </row>
    <row r="5156" spans="15:28">
      <c r="O5156" s="1"/>
      <c r="P5156" s="1"/>
      <c r="Q5156" s="1"/>
      <c r="R5156" s="1"/>
      <c r="Z5156" s="103"/>
      <c r="AA5156" s="103"/>
      <c r="AB5156" s="1"/>
    </row>
    <row r="5157" spans="15:28">
      <c r="O5157" s="1"/>
      <c r="P5157" s="1"/>
      <c r="Q5157" s="1"/>
      <c r="R5157" s="1"/>
      <c r="Z5157" s="103"/>
      <c r="AA5157" s="103"/>
      <c r="AB5157" s="1"/>
    </row>
    <row r="5158" spans="15:28">
      <c r="O5158" s="1"/>
      <c r="P5158" s="1"/>
      <c r="Q5158" s="1"/>
      <c r="R5158" s="1"/>
      <c r="Z5158" s="103"/>
      <c r="AA5158" s="103"/>
      <c r="AB5158" s="1"/>
    </row>
    <row r="5159" spans="15:28">
      <c r="O5159" s="1"/>
      <c r="P5159" s="1"/>
      <c r="Q5159" s="1"/>
      <c r="R5159" s="1"/>
      <c r="Z5159" s="103"/>
      <c r="AA5159" s="103"/>
      <c r="AB5159" s="1"/>
    </row>
    <row r="5160" spans="15:28">
      <c r="O5160" s="1"/>
      <c r="P5160" s="1"/>
      <c r="Q5160" s="1"/>
      <c r="R5160" s="1"/>
      <c r="Z5160" s="103"/>
      <c r="AA5160" s="103"/>
      <c r="AB5160" s="1"/>
    </row>
    <row r="5161" spans="15:28">
      <c r="O5161" s="1"/>
      <c r="P5161" s="1"/>
      <c r="Q5161" s="1"/>
      <c r="R5161" s="1"/>
      <c r="Z5161" s="103"/>
      <c r="AA5161" s="103"/>
      <c r="AB5161" s="1"/>
    </row>
    <row r="5162" spans="15:28">
      <c r="O5162" s="1"/>
      <c r="P5162" s="1"/>
      <c r="Q5162" s="1"/>
      <c r="R5162" s="1"/>
      <c r="Z5162" s="103"/>
      <c r="AA5162" s="103"/>
      <c r="AB5162" s="1"/>
    </row>
    <row r="5163" spans="15:28">
      <c r="O5163" s="1"/>
      <c r="P5163" s="1"/>
      <c r="Q5163" s="1"/>
      <c r="R5163" s="1"/>
      <c r="Z5163" s="103"/>
      <c r="AA5163" s="103"/>
      <c r="AB5163" s="1"/>
    </row>
    <row r="5164" spans="15:28">
      <c r="O5164" s="1"/>
      <c r="P5164" s="1"/>
      <c r="Q5164" s="1"/>
      <c r="R5164" s="1"/>
      <c r="Z5164" s="103"/>
      <c r="AA5164" s="103"/>
      <c r="AB5164" s="1"/>
    </row>
    <row r="5165" spans="15:28">
      <c r="O5165" s="1"/>
      <c r="P5165" s="1"/>
      <c r="Q5165" s="1"/>
      <c r="R5165" s="1"/>
      <c r="Z5165" s="103"/>
      <c r="AA5165" s="103"/>
      <c r="AB5165" s="1"/>
    </row>
    <row r="5166" spans="15:28">
      <c r="O5166" s="1"/>
      <c r="P5166" s="1"/>
      <c r="Q5166" s="1"/>
      <c r="R5166" s="1"/>
      <c r="Z5166" s="103"/>
      <c r="AA5166" s="103"/>
      <c r="AB5166" s="1"/>
    </row>
    <row r="5167" spans="15:28">
      <c r="O5167" s="1"/>
      <c r="P5167" s="1"/>
      <c r="Q5167" s="1"/>
      <c r="R5167" s="1"/>
      <c r="Z5167" s="103"/>
      <c r="AA5167" s="103"/>
      <c r="AB5167" s="1"/>
    </row>
    <row r="5168" spans="15:28">
      <c r="O5168" s="1"/>
      <c r="P5168" s="1"/>
      <c r="Q5168" s="1"/>
      <c r="R5168" s="1"/>
      <c r="Z5168" s="103"/>
      <c r="AA5168" s="103"/>
      <c r="AB5168" s="1"/>
    </row>
    <row r="5169" spans="15:30">
      <c r="O5169" s="1"/>
      <c r="P5169" s="1"/>
      <c r="Q5169" s="1"/>
      <c r="R5169" s="1"/>
      <c r="Z5169" s="103"/>
      <c r="AA5169" s="103"/>
      <c r="AB5169" s="1"/>
    </row>
    <row r="5170" spans="15:30">
      <c r="O5170" s="1"/>
      <c r="P5170" s="1"/>
      <c r="Q5170" s="1"/>
      <c r="R5170" s="1"/>
      <c r="Z5170" s="103"/>
      <c r="AA5170" s="103"/>
      <c r="AB5170" s="1"/>
    </row>
    <row r="5171" spans="15:30">
      <c r="O5171" s="1"/>
      <c r="P5171" s="1"/>
      <c r="Q5171" s="1"/>
      <c r="R5171" s="1"/>
      <c r="Z5171" s="103"/>
      <c r="AA5171" s="103"/>
      <c r="AB5171" s="1"/>
    </row>
    <row r="5172" spans="15:30">
      <c r="O5172" s="1"/>
      <c r="P5172" s="1"/>
      <c r="Q5172" s="1"/>
      <c r="R5172" s="1"/>
      <c r="Z5172" s="103"/>
      <c r="AA5172" s="103"/>
      <c r="AB5172" s="1"/>
    </row>
    <row r="5173" spans="15:30">
      <c r="O5173" s="1"/>
      <c r="P5173" s="1"/>
      <c r="Q5173" s="1"/>
      <c r="R5173" s="1"/>
      <c r="Z5173" s="103"/>
      <c r="AA5173" s="103"/>
      <c r="AB5173" s="1"/>
    </row>
    <row r="5174" spans="15:30">
      <c r="O5174" s="1"/>
      <c r="P5174" s="1"/>
      <c r="Q5174" s="1"/>
      <c r="R5174" s="1"/>
      <c r="Z5174" s="103"/>
      <c r="AA5174" s="103"/>
      <c r="AB5174" s="1"/>
      <c r="AD5174" s="102"/>
    </row>
    <row r="5175" spans="15:30">
      <c r="O5175" s="1"/>
      <c r="P5175" s="1"/>
      <c r="Q5175" s="1"/>
      <c r="R5175" s="1"/>
      <c r="Z5175" s="103"/>
      <c r="AA5175" s="103"/>
      <c r="AB5175" s="1"/>
    </row>
    <row r="5176" spans="15:30">
      <c r="O5176" s="1"/>
      <c r="P5176" s="1"/>
      <c r="Q5176" s="1"/>
      <c r="R5176" s="1"/>
      <c r="Z5176" s="103"/>
      <c r="AA5176" s="103"/>
      <c r="AB5176" s="1"/>
    </row>
    <row r="5177" spans="15:30">
      <c r="O5177" s="1"/>
      <c r="P5177" s="1"/>
      <c r="Q5177" s="1"/>
      <c r="R5177" s="1"/>
      <c r="Z5177" s="103"/>
      <c r="AA5177" s="103"/>
      <c r="AB5177" s="1"/>
    </row>
    <row r="5178" spans="15:30">
      <c r="O5178" s="1"/>
      <c r="P5178" s="1"/>
      <c r="Q5178" s="1"/>
      <c r="R5178" s="1"/>
      <c r="Z5178" s="103"/>
      <c r="AA5178" s="103"/>
      <c r="AB5178" s="1"/>
    </row>
    <row r="5179" spans="15:30">
      <c r="O5179" s="1"/>
      <c r="P5179" s="1"/>
      <c r="Q5179" s="1"/>
      <c r="R5179" s="1"/>
      <c r="Z5179" s="103"/>
      <c r="AA5179" s="103"/>
      <c r="AB5179" s="1"/>
    </row>
    <row r="5180" spans="15:30">
      <c r="O5180" s="1"/>
      <c r="P5180" s="1"/>
      <c r="Q5180" s="1"/>
      <c r="R5180" s="1"/>
      <c r="Z5180" s="103"/>
      <c r="AA5180" s="103"/>
      <c r="AB5180" s="1"/>
    </row>
    <row r="5181" spans="15:30">
      <c r="O5181" s="1"/>
      <c r="P5181" s="1"/>
      <c r="Q5181" s="1"/>
      <c r="R5181" s="1"/>
      <c r="Z5181" s="103"/>
      <c r="AA5181" s="103"/>
      <c r="AB5181" s="1"/>
    </row>
    <row r="5182" spans="15:30">
      <c r="O5182" s="1"/>
      <c r="P5182" s="1"/>
      <c r="Q5182" s="1"/>
      <c r="R5182" s="1"/>
      <c r="Z5182" s="103"/>
      <c r="AA5182" s="103"/>
      <c r="AB5182" s="1"/>
    </row>
    <row r="5183" spans="15:30">
      <c r="O5183" s="1"/>
      <c r="P5183" s="1"/>
      <c r="Q5183" s="1"/>
      <c r="R5183" s="1"/>
      <c r="Z5183" s="103"/>
      <c r="AA5183" s="103"/>
      <c r="AB5183" s="1"/>
    </row>
    <row r="5184" spans="15:30">
      <c r="O5184" s="1"/>
      <c r="P5184" s="1"/>
      <c r="Q5184" s="1"/>
      <c r="R5184" s="1"/>
      <c r="Z5184" s="103"/>
      <c r="AA5184" s="103"/>
      <c r="AB5184" s="1"/>
    </row>
    <row r="5185" spans="15:28">
      <c r="O5185" s="1"/>
      <c r="P5185" s="1"/>
      <c r="Q5185" s="1"/>
      <c r="R5185" s="1"/>
      <c r="Z5185" s="103"/>
      <c r="AA5185" s="103"/>
      <c r="AB5185" s="1"/>
    </row>
    <row r="5186" spans="15:28">
      <c r="O5186" s="1"/>
      <c r="P5186" s="1"/>
      <c r="Q5186" s="1"/>
      <c r="R5186" s="1"/>
      <c r="Z5186" s="103"/>
      <c r="AA5186" s="103"/>
      <c r="AB5186" s="1"/>
    </row>
    <row r="5187" spans="15:28">
      <c r="O5187" s="1"/>
      <c r="P5187" s="1"/>
      <c r="Q5187" s="1"/>
      <c r="R5187" s="1"/>
      <c r="Z5187" s="103"/>
      <c r="AA5187" s="103"/>
      <c r="AB5187" s="1"/>
    </row>
    <row r="5188" spans="15:28">
      <c r="O5188" s="1"/>
      <c r="P5188" s="1"/>
      <c r="Q5188" s="1"/>
      <c r="R5188" s="1"/>
      <c r="Z5188" s="103"/>
      <c r="AA5188" s="103"/>
      <c r="AB5188" s="1"/>
    </row>
    <row r="5189" spans="15:28">
      <c r="O5189" s="1"/>
      <c r="P5189" s="1"/>
      <c r="Q5189" s="1"/>
      <c r="R5189" s="1"/>
      <c r="Z5189" s="103"/>
      <c r="AA5189" s="103"/>
      <c r="AB5189" s="1"/>
    </row>
    <row r="5190" spans="15:28">
      <c r="O5190" s="1"/>
      <c r="P5190" s="1"/>
      <c r="Q5190" s="1"/>
      <c r="R5190" s="1"/>
      <c r="Z5190" s="103"/>
      <c r="AA5190" s="103"/>
      <c r="AB5190" s="1"/>
    </row>
    <row r="5191" spans="15:28">
      <c r="O5191" s="1"/>
      <c r="P5191" s="1"/>
      <c r="Q5191" s="1"/>
      <c r="R5191" s="1"/>
      <c r="Z5191" s="103"/>
      <c r="AA5191" s="103"/>
      <c r="AB5191" s="1"/>
    </row>
    <row r="5192" spans="15:28">
      <c r="O5192" s="1"/>
      <c r="P5192" s="1"/>
      <c r="Q5192" s="1"/>
      <c r="R5192" s="1"/>
      <c r="Z5192" s="103"/>
      <c r="AA5192" s="103"/>
      <c r="AB5192" s="1"/>
    </row>
    <row r="5193" spans="15:28">
      <c r="O5193" s="1"/>
      <c r="P5193" s="1"/>
      <c r="Q5193" s="1"/>
      <c r="R5193" s="1"/>
      <c r="Z5193" s="103"/>
      <c r="AA5193" s="103"/>
      <c r="AB5193" s="1"/>
    </row>
    <row r="5194" spans="15:28">
      <c r="O5194" s="1"/>
      <c r="P5194" s="1"/>
      <c r="Q5194" s="1"/>
      <c r="R5194" s="1"/>
      <c r="Z5194" s="103"/>
      <c r="AA5194" s="103"/>
      <c r="AB5194" s="1"/>
    </row>
    <row r="5195" spans="15:28">
      <c r="O5195" s="1"/>
      <c r="P5195" s="1"/>
      <c r="Q5195" s="1"/>
      <c r="R5195" s="1"/>
      <c r="Z5195" s="103"/>
      <c r="AA5195" s="103"/>
      <c r="AB5195" s="1"/>
    </row>
    <row r="5196" spans="15:28">
      <c r="O5196" s="1"/>
      <c r="P5196" s="1"/>
      <c r="Q5196" s="1"/>
      <c r="R5196" s="1"/>
      <c r="Z5196" s="103"/>
      <c r="AA5196" s="103"/>
      <c r="AB5196" s="1"/>
    </row>
    <row r="5197" spans="15:28">
      <c r="O5197" s="1"/>
      <c r="P5197" s="1"/>
      <c r="Q5197" s="1"/>
      <c r="R5197" s="1"/>
      <c r="Z5197" s="103"/>
      <c r="AA5197" s="103"/>
      <c r="AB5197" s="1"/>
    </row>
    <row r="5198" spans="15:28">
      <c r="O5198" s="1"/>
      <c r="P5198" s="1"/>
      <c r="Q5198" s="1"/>
      <c r="R5198" s="1"/>
      <c r="Z5198" s="103"/>
      <c r="AA5198" s="103"/>
      <c r="AB5198" s="1"/>
    </row>
    <row r="5199" spans="15:28">
      <c r="O5199" s="1"/>
      <c r="P5199" s="1"/>
      <c r="Q5199" s="1"/>
      <c r="R5199" s="1"/>
      <c r="Z5199" s="103"/>
      <c r="AA5199" s="103"/>
      <c r="AB5199" s="1"/>
    </row>
    <row r="5200" spans="15:28">
      <c r="O5200" s="1"/>
      <c r="P5200" s="1"/>
      <c r="Q5200" s="1"/>
      <c r="R5200" s="1"/>
      <c r="Z5200" s="103"/>
      <c r="AA5200" s="103"/>
      <c r="AB5200" s="1"/>
    </row>
    <row r="5201" spans="15:28">
      <c r="O5201" s="1"/>
      <c r="P5201" s="1"/>
      <c r="Q5201" s="1"/>
      <c r="R5201" s="1"/>
      <c r="Z5201" s="103"/>
      <c r="AA5201" s="103"/>
      <c r="AB5201" s="1"/>
    </row>
    <row r="5202" spans="15:28">
      <c r="O5202" s="1"/>
      <c r="P5202" s="1"/>
      <c r="Q5202" s="1"/>
      <c r="R5202" s="1"/>
      <c r="Z5202" s="103"/>
      <c r="AA5202" s="103"/>
      <c r="AB5202" s="1"/>
    </row>
    <row r="5203" spans="15:28">
      <c r="O5203" s="1"/>
      <c r="P5203" s="1"/>
      <c r="Q5203" s="1"/>
      <c r="R5203" s="1"/>
      <c r="Z5203" s="103"/>
      <c r="AA5203" s="103"/>
      <c r="AB5203" s="1"/>
    </row>
    <row r="5204" spans="15:28">
      <c r="O5204" s="1"/>
      <c r="P5204" s="1"/>
      <c r="Q5204" s="1"/>
      <c r="R5204" s="1"/>
      <c r="Z5204" s="103"/>
      <c r="AA5204" s="103"/>
      <c r="AB5204" s="1"/>
    </row>
    <row r="5205" spans="15:28">
      <c r="O5205" s="1"/>
      <c r="P5205" s="1"/>
      <c r="Q5205" s="1"/>
      <c r="R5205" s="1"/>
      <c r="Z5205" s="103"/>
      <c r="AA5205" s="103"/>
      <c r="AB5205" s="1"/>
    </row>
    <row r="5206" spans="15:28">
      <c r="O5206" s="1"/>
      <c r="P5206" s="1"/>
      <c r="Q5206" s="1"/>
      <c r="R5206" s="1"/>
      <c r="Z5206" s="103"/>
      <c r="AA5206" s="103"/>
      <c r="AB5206" s="1"/>
    </row>
    <row r="5207" spans="15:28">
      <c r="O5207" s="1"/>
      <c r="P5207" s="1"/>
      <c r="Q5207" s="1"/>
      <c r="R5207" s="1"/>
      <c r="Z5207" s="103"/>
      <c r="AA5207" s="103"/>
      <c r="AB5207" s="1"/>
    </row>
    <row r="5208" spans="15:28">
      <c r="O5208" s="1"/>
      <c r="P5208" s="1"/>
      <c r="Q5208" s="1"/>
      <c r="R5208" s="1"/>
      <c r="Z5208" s="103"/>
      <c r="AA5208" s="103"/>
      <c r="AB5208" s="1"/>
    </row>
    <row r="5209" spans="15:28">
      <c r="O5209" s="1"/>
      <c r="P5209" s="1"/>
      <c r="Q5209" s="1"/>
      <c r="R5209" s="1"/>
      <c r="Z5209" s="103"/>
      <c r="AA5209" s="103"/>
      <c r="AB5209" s="1"/>
    </row>
    <row r="5210" spans="15:28">
      <c r="O5210" s="1"/>
      <c r="P5210" s="1"/>
      <c r="Q5210" s="1"/>
      <c r="R5210" s="1"/>
      <c r="Z5210" s="103"/>
      <c r="AA5210" s="103"/>
      <c r="AB5210" s="1"/>
    </row>
    <row r="5211" spans="15:28">
      <c r="O5211" s="1"/>
      <c r="P5211" s="1"/>
      <c r="Q5211" s="1"/>
      <c r="R5211" s="1"/>
      <c r="Z5211" s="103"/>
      <c r="AA5211" s="103"/>
      <c r="AB5211" s="1"/>
    </row>
    <row r="5212" spans="15:28">
      <c r="O5212" s="1"/>
      <c r="P5212" s="1"/>
      <c r="Q5212" s="1"/>
      <c r="R5212" s="1"/>
      <c r="Z5212" s="103"/>
      <c r="AA5212" s="103"/>
      <c r="AB5212" s="1"/>
    </row>
    <row r="5213" spans="15:28">
      <c r="O5213" s="1"/>
      <c r="P5213" s="1"/>
      <c r="Q5213" s="1"/>
      <c r="R5213" s="1"/>
      <c r="Z5213" s="103"/>
      <c r="AA5213" s="103"/>
      <c r="AB5213" s="1"/>
    </row>
    <row r="5214" spans="15:28">
      <c r="O5214" s="1"/>
      <c r="P5214" s="1"/>
      <c r="Q5214" s="1"/>
      <c r="R5214" s="1"/>
      <c r="Z5214" s="103"/>
      <c r="AA5214" s="103"/>
      <c r="AB5214" s="1"/>
    </row>
    <row r="5215" spans="15:28">
      <c r="O5215" s="1"/>
      <c r="P5215" s="1"/>
      <c r="Q5215" s="1"/>
      <c r="R5215" s="1"/>
      <c r="Z5215" s="103"/>
      <c r="AA5215" s="103"/>
      <c r="AB5215" s="1"/>
    </row>
    <row r="5216" spans="15:28">
      <c r="O5216" s="1"/>
      <c r="P5216" s="1"/>
      <c r="Q5216" s="1"/>
      <c r="R5216" s="1"/>
      <c r="Z5216" s="103"/>
      <c r="AA5216" s="103"/>
      <c r="AB5216" s="1"/>
    </row>
    <row r="5217" spans="15:28">
      <c r="O5217" s="1"/>
      <c r="P5217" s="1"/>
      <c r="Q5217" s="1"/>
      <c r="R5217" s="1"/>
      <c r="Z5217" s="103"/>
      <c r="AA5217" s="103"/>
      <c r="AB5217" s="1"/>
    </row>
    <row r="5218" spans="15:28">
      <c r="O5218" s="1"/>
      <c r="P5218" s="1"/>
      <c r="Q5218" s="1"/>
      <c r="R5218" s="1"/>
      <c r="Z5218" s="103"/>
      <c r="AA5218" s="103"/>
      <c r="AB5218" s="1"/>
    </row>
    <row r="5219" spans="15:28">
      <c r="O5219" s="1"/>
      <c r="P5219" s="1"/>
      <c r="Q5219" s="1"/>
      <c r="R5219" s="1"/>
      <c r="Z5219" s="103"/>
      <c r="AA5219" s="103"/>
      <c r="AB5219" s="1"/>
    </row>
    <row r="5220" spans="15:28">
      <c r="O5220" s="1"/>
      <c r="P5220" s="1"/>
      <c r="Q5220" s="1"/>
      <c r="R5220" s="1"/>
      <c r="Z5220" s="103"/>
      <c r="AA5220" s="103"/>
      <c r="AB5220" s="1"/>
    </row>
    <row r="5221" spans="15:28">
      <c r="O5221" s="1"/>
      <c r="P5221" s="1"/>
      <c r="Q5221" s="1"/>
      <c r="R5221" s="1"/>
      <c r="Z5221" s="103"/>
      <c r="AA5221" s="103"/>
      <c r="AB5221" s="1"/>
    </row>
    <row r="5222" spans="15:28">
      <c r="O5222" s="1"/>
      <c r="P5222" s="1"/>
      <c r="Q5222" s="1"/>
      <c r="R5222" s="1"/>
      <c r="Z5222" s="103"/>
      <c r="AA5222" s="103"/>
      <c r="AB5222" s="1"/>
    </row>
    <row r="5223" spans="15:28">
      <c r="O5223" s="1"/>
      <c r="P5223" s="1"/>
      <c r="Q5223" s="1"/>
      <c r="R5223" s="1"/>
      <c r="Z5223" s="103"/>
      <c r="AA5223" s="103"/>
      <c r="AB5223" s="1"/>
    </row>
    <row r="5224" spans="15:28">
      <c r="O5224" s="1"/>
      <c r="P5224" s="1"/>
      <c r="Q5224" s="1"/>
      <c r="R5224" s="1"/>
      <c r="Z5224" s="103"/>
      <c r="AA5224" s="103"/>
      <c r="AB5224" s="1"/>
    </row>
    <row r="5225" spans="15:28">
      <c r="O5225" s="1"/>
      <c r="P5225" s="1"/>
      <c r="Q5225" s="1"/>
      <c r="R5225" s="1"/>
      <c r="Z5225" s="103"/>
      <c r="AA5225" s="103"/>
      <c r="AB5225" s="1"/>
    </row>
    <row r="5226" spans="15:28">
      <c r="O5226" s="1"/>
      <c r="P5226" s="1"/>
      <c r="Q5226" s="1"/>
      <c r="R5226" s="1"/>
      <c r="Z5226" s="103"/>
      <c r="AA5226" s="103"/>
      <c r="AB5226" s="1"/>
    </row>
    <row r="5227" spans="15:28">
      <c r="O5227" s="1"/>
      <c r="P5227" s="1"/>
      <c r="Q5227" s="1"/>
      <c r="R5227" s="1"/>
      <c r="Z5227" s="103"/>
      <c r="AA5227" s="103"/>
      <c r="AB5227" s="1"/>
    </row>
    <row r="5228" spans="15:28">
      <c r="O5228" s="1"/>
      <c r="P5228" s="1"/>
      <c r="Q5228" s="1"/>
      <c r="R5228" s="1"/>
      <c r="Z5228" s="103"/>
      <c r="AA5228" s="103"/>
      <c r="AB5228" s="1"/>
    </row>
    <row r="5229" spans="15:28">
      <c r="O5229" s="1"/>
      <c r="P5229" s="1"/>
      <c r="Q5229" s="1"/>
      <c r="R5229" s="1"/>
      <c r="Z5229" s="103"/>
      <c r="AA5229" s="103"/>
      <c r="AB5229" s="1"/>
    </row>
    <row r="5230" spans="15:28">
      <c r="O5230" s="1"/>
      <c r="P5230" s="1"/>
      <c r="Q5230" s="1"/>
      <c r="R5230" s="1"/>
      <c r="Z5230" s="103"/>
      <c r="AA5230" s="103"/>
      <c r="AB5230" s="1"/>
    </row>
    <row r="5231" spans="15:28">
      <c r="O5231" s="1"/>
      <c r="P5231" s="1"/>
      <c r="Q5231" s="1"/>
      <c r="R5231" s="1"/>
      <c r="Z5231" s="103"/>
      <c r="AA5231" s="103"/>
      <c r="AB5231" s="1"/>
    </row>
    <row r="5232" spans="15:28">
      <c r="O5232" s="1"/>
      <c r="P5232" s="1"/>
      <c r="Q5232" s="1"/>
      <c r="R5232" s="1"/>
      <c r="Z5232" s="103"/>
      <c r="AA5232" s="103"/>
      <c r="AB5232" s="1"/>
    </row>
    <row r="5233" spans="15:28">
      <c r="O5233" s="1"/>
      <c r="P5233" s="1"/>
      <c r="Q5233" s="1"/>
      <c r="R5233" s="1"/>
      <c r="Z5233" s="103"/>
      <c r="AA5233" s="103"/>
      <c r="AB5233" s="1"/>
    </row>
    <row r="5234" spans="15:28">
      <c r="O5234" s="1"/>
      <c r="P5234" s="1"/>
      <c r="Q5234" s="1"/>
      <c r="R5234" s="1"/>
      <c r="Z5234" s="103"/>
      <c r="AA5234" s="103"/>
      <c r="AB5234" s="1"/>
    </row>
    <row r="5235" spans="15:28">
      <c r="O5235" s="1"/>
      <c r="P5235" s="1"/>
      <c r="Q5235" s="1"/>
      <c r="R5235" s="1"/>
      <c r="Z5235" s="103"/>
      <c r="AA5235" s="103"/>
      <c r="AB5235" s="1"/>
    </row>
    <row r="5236" spans="15:28">
      <c r="O5236" s="1"/>
      <c r="P5236" s="1"/>
      <c r="Q5236" s="1"/>
      <c r="R5236" s="1"/>
      <c r="Z5236" s="103"/>
      <c r="AA5236" s="103"/>
      <c r="AB5236" s="1"/>
    </row>
    <row r="5237" spans="15:28">
      <c r="O5237" s="1"/>
      <c r="P5237" s="1"/>
      <c r="Q5237" s="1"/>
      <c r="R5237" s="1"/>
      <c r="Z5237" s="103"/>
      <c r="AA5237" s="103"/>
      <c r="AB5237" s="1"/>
    </row>
    <row r="5238" spans="15:28">
      <c r="O5238" s="1"/>
      <c r="P5238" s="1"/>
      <c r="Q5238" s="1"/>
      <c r="R5238" s="1"/>
      <c r="Z5238" s="103"/>
      <c r="AA5238" s="103"/>
      <c r="AB5238" s="1"/>
    </row>
    <row r="5239" spans="15:28">
      <c r="O5239" s="1"/>
      <c r="P5239" s="1"/>
      <c r="Q5239" s="1"/>
      <c r="R5239" s="1"/>
      <c r="Z5239" s="103"/>
      <c r="AA5239" s="103"/>
      <c r="AB5239" s="1"/>
    </row>
    <row r="5240" spans="15:28">
      <c r="O5240" s="1"/>
      <c r="P5240" s="1"/>
      <c r="Q5240" s="1"/>
      <c r="R5240" s="1"/>
      <c r="Z5240" s="103"/>
      <c r="AA5240" s="103"/>
      <c r="AB5240" s="1"/>
    </row>
    <row r="5241" spans="15:28">
      <c r="O5241" s="1"/>
      <c r="P5241" s="1"/>
      <c r="Q5241" s="1"/>
      <c r="R5241" s="1"/>
      <c r="Z5241" s="103"/>
      <c r="AA5241" s="103"/>
      <c r="AB5241" s="1"/>
    </row>
    <row r="5242" spans="15:28">
      <c r="O5242" s="1"/>
      <c r="P5242" s="1"/>
      <c r="Q5242" s="1"/>
      <c r="R5242" s="1"/>
      <c r="Z5242" s="103"/>
      <c r="AA5242" s="103"/>
      <c r="AB5242" s="1"/>
    </row>
    <row r="5243" spans="15:28">
      <c r="O5243" s="1"/>
      <c r="P5243" s="1"/>
      <c r="Q5243" s="1"/>
      <c r="R5243" s="1"/>
      <c r="Z5243" s="103"/>
      <c r="AA5243" s="103"/>
      <c r="AB5243" s="1"/>
    </row>
    <row r="5244" spans="15:28">
      <c r="O5244" s="1"/>
      <c r="P5244" s="1"/>
      <c r="Q5244" s="1"/>
      <c r="R5244" s="1"/>
      <c r="Z5244" s="103"/>
      <c r="AA5244" s="103"/>
      <c r="AB5244" s="1"/>
    </row>
    <row r="5245" spans="15:28">
      <c r="O5245" s="1"/>
      <c r="P5245" s="1"/>
      <c r="Q5245" s="1"/>
      <c r="R5245" s="1"/>
      <c r="Z5245" s="103"/>
      <c r="AA5245" s="103"/>
      <c r="AB5245" s="1"/>
    </row>
    <row r="5246" spans="15:28">
      <c r="O5246" s="1"/>
      <c r="P5246" s="1"/>
      <c r="Q5246" s="1"/>
      <c r="R5246" s="1"/>
      <c r="Z5246" s="103"/>
      <c r="AA5246" s="103"/>
      <c r="AB5246" s="1"/>
    </row>
    <row r="5247" spans="15:28">
      <c r="O5247" s="1"/>
      <c r="P5247" s="1"/>
      <c r="Q5247" s="1"/>
      <c r="R5247" s="1"/>
      <c r="Z5247" s="103"/>
      <c r="AA5247" s="103"/>
      <c r="AB5247" s="1"/>
    </row>
    <row r="5248" spans="15:28">
      <c r="O5248" s="1"/>
      <c r="P5248" s="1"/>
      <c r="Q5248" s="1"/>
      <c r="R5248" s="1"/>
      <c r="Z5248" s="103"/>
      <c r="AA5248" s="103"/>
      <c r="AB5248" s="1"/>
    </row>
    <row r="5249" spans="15:28">
      <c r="O5249" s="1"/>
      <c r="P5249" s="1"/>
      <c r="Q5249" s="1"/>
      <c r="R5249" s="1"/>
      <c r="Z5249" s="103"/>
      <c r="AA5249" s="103"/>
      <c r="AB5249" s="1"/>
    </row>
    <row r="5250" spans="15:28">
      <c r="O5250" s="1"/>
      <c r="P5250" s="1"/>
      <c r="Q5250" s="1"/>
      <c r="R5250" s="1"/>
      <c r="Z5250" s="103"/>
      <c r="AA5250" s="103"/>
      <c r="AB5250" s="1"/>
    </row>
    <row r="5251" spans="15:28">
      <c r="O5251" s="1"/>
      <c r="P5251" s="1"/>
      <c r="Q5251" s="1"/>
      <c r="R5251" s="1"/>
      <c r="Z5251" s="103"/>
      <c r="AA5251" s="103"/>
      <c r="AB5251" s="1"/>
    </row>
    <row r="5252" spans="15:28">
      <c r="O5252" s="1"/>
      <c r="P5252" s="1"/>
      <c r="Q5252" s="1"/>
      <c r="R5252" s="1"/>
      <c r="Z5252" s="103"/>
      <c r="AA5252" s="103"/>
      <c r="AB5252" s="1"/>
    </row>
    <row r="5253" spans="15:28">
      <c r="O5253" s="1"/>
      <c r="P5253" s="1"/>
      <c r="Q5253" s="1"/>
      <c r="R5253" s="1"/>
      <c r="Z5253" s="103"/>
      <c r="AA5253" s="103"/>
      <c r="AB5253" s="1"/>
    </row>
    <row r="5254" spans="15:28">
      <c r="O5254" s="1"/>
      <c r="P5254" s="1"/>
      <c r="Q5254" s="1"/>
      <c r="R5254" s="1"/>
      <c r="Z5254" s="103"/>
      <c r="AA5254" s="103"/>
      <c r="AB5254" s="1"/>
    </row>
    <row r="5255" spans="15:28">
      <c r="O5255" s="1"/>
      <c r="P5255" s="1"/>
      <c r="Q5255" s="1"/>
      <c r="R5255" s="1"/>
      <c r="Z5255" s="103"/>
      <c r="AA5255" s="103"/>
      <c r="AB5255" s="1"/>
    </row>
    <row r="5256" spans="15:28">
      <c r="O5256" s="1"/>
      <c r="P5256" s="1"/>
      <c r="Q5256" s="1"/>
      <c r="R5256" s="1"/>
      <c r="Z5256" s="103"/>
      <c r="AA5256" s="103"/>
      <c r="AB5256" s="1"/>
    </row>
    <row r="5257" spans="15:28">
      <c r="O5257" s="1"/>
      <c r="P5257" s="1"/>
      <c r="Q5257" s="1"/>
      <c r="R5257" s="1"/>
      <c r="Z5257" s="103"/>
      <c r="AA5257" s="103"/>
      <c r="AB5257" s="1"/>
    </row>
    <row r="5258" spans="15:28">
      <c r="O5258" s="1"/>
      <c r="P5258" s="1"/>
      <c r="Q5258" s="1"/>
      <c r="R5258" s="1"/>
      <c r="Z5258" s="103"/>
      <c r="AA5258" s="103"/>
      <c r="AB5258" s="1"/>
    </row>
    <row r="5259" spans="15:28">
      <c r="O5259" s="1"/>
      <c r="P5259" s="1"/>
      <c r="Q5259" s="1"/>
      <c r="R5259" s="1"/>
      <c r="Z5259" s="103"/>
      <c r="AA5259" s="103"/>
      <c r="AB5259" s="1"/>
    </row>
    <row r="5260" spans="15:28">
      <c r="O5260" s="1"/>
      <c r="P5260" s="1"/>
      <c r="Q5260" s="1"/>
      <c r="R5260" s="1"/>
      <c r="Z5260" s="103"/>
      <c r="AA5260" s="103"/>
      <c r="AB5260" s="1"/>
    </row>
    <row r="5261" spans="15:28">
      <c r="O5261" s="1"/>
      <c r="P5261" s="1"/>
      <c r="Q5261" s="1"/>
      <c r="R5261" s="1"/>
      <c r="Z5261" s="103"/>
      <c r="AA5261" s="103"/>
      <c r="AB5261" s="1"/>
    </row>
    <row r="5262" spans="15:28">
      <c r="O5262" s="1"/>
      <c r="P5262" s="1"/>
      <c r="Q5262" s="1"/>
      <c r="R5262" s="1"/>
      <c r="Z5262" s="103"/>
      <c r="AA5262" s="103"/>
      <c r="AB5262" s="1"/>
    </row>
    <row r="5263" spans="15:28">
      <c r="O5263" s="1"/>
      <c r="P5263" s="1"/>
      <c r="Q5263" s="1"/>
      <c r="R5263" s="1"/>
      <c r="Z5263" s="103"/>
      <c r="AA5263" s="103"/>
      <c r="AB5263" s="1"/>
    </row>
    <row r="5264" spans="15:28">
      <c r="O5264" s="1"/>
      <c r="P5264" s="1"/>
      <c r="Q5264" s="1"/>
      <c r="R5264" s="1"/>
      <c r="Z5264" s="103"/>
      <c r="AA5264" s="103"/>
      <c r="AB5264" s="1"/>
    </row>
    <row r="5265" spans="15:28">
      <c r="O5265" s="1"/>
      <c r="P5265" s="1"/>
      <c r="Q5265" s="1"/>
      <c r="R5265" s="1"/>
      <c r="Z5265" s="103"/>
      <c r="AA5265" s="103"/>
      <c r="AB5265" s="1"/>
    </row>
    <row r="5266" spans="15:28">
      <c r="O5266" s="1"/>
      <c r="P5266" s="1"/>
      <c r="Q5266" s="1"/>
      <c r="R5266" s="1"/>
      <c r="Z5266" s="103"/>
      <c r="AA5266" s="103"/>
      <c r="AB5266" s="1"/>
    </row>
    <row r="5267" spans="15:28">
      <c r="O5267" s="1"/>
      <c r="P5267" s="1"/>
      <c r="Q5267" s="1"/>
      <c r="R5267" s="1"/>
      <c r="Z5267" s="103"/>
      <c r="AA5267" s="103"/>
      <c r="AB5267" s="1"/>
    </row>
    <row r="5268" spans="15:28">
      <c r="O5268" s="1"/>
      <c r="P5268" s="1"/>
      <c r="Q5268" s="1"/>
      <c r="R5268" s="1"/>
      <c r="Z5268" s="103"/>
      <c r="AA5268" s="103"/>
      <c r="AB5268" s="1"/>
    </row>
    <row r="5269" spans="15:28">
      <c r="O5269" s="1"/>
      <c r="P5269" s="1"/>
      <c r="Q5269" s="1"/>
      <c r="R5269" s="1"/>
      <c r="Z5269" s="103"/>
      <c r="AA5269" s="103"/>
      <c r="AB5269" s="1"/>
    </row>
    <row r="5270" spans="15:28">
      <c r="O5270" s="1"/>
      <c r="P5270" s="1"/>
      <c r="Q5270" s="1"/>
      <c r="R5270" s="1"/>
      <c r="Z5270" s="103"/>
      <c r="AA5270" s="103"/>
      <c r="AB5270" s="1"/>
    </row>
    <row r="5271" spans="15:28">
      <c r="O5271" s="1"/>
      <c r="P5271" s="1"/>
      <c r="Q5271" s="1"/>
      <c r="R5271" s="1"/>
      <c r="Z5271" s="103"/>
      <c r="AA5271" s="103"/>
      <c r="AB5271" s="1"/>
    </row>
    <row r="5272" spans="15:28">
      <c r="O5272" s="1"/>
      <c r="P5272" s="1"/>
      <c r="Q5272" s="1"/>
      <c r="R5272" s="1"/>
      <c r="Z5272" s="103"/>
      <c r="AA5272" s="103"/>
      <c r="AB5272" s="1"/>
    </row>
    <row r="5273" spans="15:28">
      <c r="O5273" s="1"/>
      <c r="P5273" s="1"/>
      <c r="Q5273" s="1"/>
      <c r="R5273" s="1"/>
      <c r="Z5273" s="103"/>
      <c r="AA5273" s="103"/>
      <c r="AB5273" s="1"/>
    </row>
    <row r="5274" spans="15:28">
      <c r="O5274" s="1"/>
      <c r="P5274" s="1"/>
      <c r="Q5274" s="1"/>
      <c r="R5274" s="1"/>
      <c r="Z5274" s="103"/>
      <c r="AA5274" s="103"/>
      <c r="AB5274" s="1"/>
    </row>
    <row r="5275" spans="15:28">
      <c r="O5275" s="1"/>
      <c r="P5275" s="1"/>
      <c r="Q5275" s="1"/>
      <c r="R5275" s="1"/>
      <c r="Z5275" s="103"/>
      <c r="AA5275" s="103"/>
      <c r="AB5275" s="1"/>
    </row>
    <row r="5276" spans="15:28">
      <c r="O5276" s="1"/>
      <c r="P5276" s="1"/>
      <c r="Q5276" s="1"/>
      <c r="R5276" s="1"/>
      <c r="Z5276" s="103"/>
      <c r="AA5276" s="103"/>
      <c r="AB5276" s="1"/>
    </row>
    <row r="5277" spans="15:28">
      <c r="O5277" s="1"/>
      <c r="P5277" s="1"/>
      <c r="Q5277" s="1"/>
      <c r="R5277" s="1"/>
      <c r="Z5277" s="103"/>
      <c r="AA5277" s="103"/>
      <c r="AB5277" s="1"/>
    </row>
    <row r="5278" spans="15:28">
      <c r="O5278" s="1"/>
      <c r="P5278" s="1"/>
      <c r="Q5278" s="1"/>
      <c r="R5278" s="1"/>
      <c r="Z5278" s="103"/>
      <c r="AA5278" s="103"/>
      <c r="AB5278" s="1"/>
    </row>
    <row r="5279" spans="15:28">
      <c r="O5279" s="1"/>
      <c r="P5279" s="1"/>
      <c r="Q5279" s="1"/>
      <c r="R5279" s="1"/>
      <c r="Z5279" s="103"/>
      <c r="AA5279" s="103"/>
      <c r="AB5279" s="1"/>
    </row>
    <row r="5280" spans="15:28">
      <c r="O5280" s="1"/>
      <c r="P5280" s="1"/>
      <c r="Q5280" s="1"/>
      <c r="R5280" s="1"/>
      <c r="Z5280" s="103"/>
      <c r="AA5280" s="103"/>
      <c r="AB5280" s="1"/>
    </row>
    <row r="5281" spans="15:28">
      <c r="O5281" s="1"/>
      <c r="P5281" s="1"/>
      <c r="Q5281" s="1"/>
      <c r="R5281" s="1"/>
      <c r="Z5281" s="103"/>
      <c r="AA5281" s="103"/>
      <c r="AB5281" s="1"/>
    </row>
    <row r="5282" spans="15:28">
      <c r="O5282" s="1"/>
      <c r="P5282" s="1"/>
      <c r="Q5282" s="1"/>
      <c r="R5282" s="1"/>
      <c r="Z5282" s="103"/>
      <c r="AA5282" s="103"/>
      <c r="AB5282" s="1"/>
    </row>
    <row r="5283" spans="15:28">
      <c r="O5283" s="1"/>
      <c r="P5283" s="1"/>
      <c r="Q5283" s="1"/>
      <c r="R5283" s="1"/>
      <c r="Z5283" s="103"/>
      <c r="AA5283" s="103"/>
      <c r="AB5283" s="1"/>
    </row>
    <row r="5284" spans="15:28">
      <c r="O5284" s="1"/>
      <c r="P5284" s="1"/>
      <c r="Q5284" s="1"/>
      <c r="R5284" s="1"/>
      <c r="Z5284" s="103"/>
      <c r="AA5284" s="103"/>
      <c r="AB5284" s="1"/>
    </row>
    <row r="5285" spans="15:28">
      <c r="O5285" s="1"/>
      <c r="P5285" s="1"/>
      <c r="Q5285" s="1"/>
      <c r="R5285" s="1"/>
      <c r="Z5285" s="103"/>
      <c r="AA5285" s="103"/>
      <c r="AB5285" s="1"/>
    </row>
    <row r="5286" spans="15:28">
      <c r="O5286" s="1"/>
      <c r="P5286" s="1"/>
      <c r="Q5286" s="1"/>
      <c r="R5286" s="1"/>
      <c r="Z5286" s="103"/>
      <c r="AA5286" s="103"/>
      <c r="AB5286" s="1"/>
    </row>
    <row r="5287" spans="15:28">
      <c r="O5287" s="1"/>
      <c r="P5287" s="1"/>
      <c r="Q5287" s="1"/>
      <c r="R5287" s="1"/>
      <c r="Z5287" s="103"/>
      <c r="AA5287" s="103"/>
      <c r="AB5287" s="1"/>
    </row>
    <row r="5288" spans="15:28">
      <c r="O5288" s="1"/>
      <c r="P5288" s="1"/>
      <c r="Q5288" s="1"/>
      <c r="R5288" s="1"/>
      <c r="Z5288" s="103"/>
      <c r="AA5288" s="103"/>
      <c r="AB5288" s="1"/>
    </row>
    <row r="5289" spans="15:28">
      <c r="O5289" s="1"/>
      <c r="P5289" s="1"/>
      <c r="Q5289" s="1"/>
      <c r="R5289" s="1"/>
      <c r="Z5289" s="103"/>
      <c r="AA5289" s="103"/>
      <c r="AB5289" s="1"/>
    </row>
    <row r="5290" spans="15:28">
      <c r="O5290" s="1"/>
      <c r="P5290" s="1"/>
      <c r="Q5290" s="1"/>
      <c r="R5290" s="1"/>
      <c r="Z5290" s="103"/>
      <c r="AA5290" s="103"/>
      <c r="AB5290" s="1"/>
    </row>
    <row r="5291" spans="15:28">
      <c r="O5291" s="1"/>
      <c r="P5291" s="1"/>
      <c r="Q5291" s="1"/>
      <c r="R5291" s="1"/>
      <c r="Z5291" s="103"/>
      <c r="AA5291" s="103"/>
      <c r="AB5291" s="1"/>
    </row>
    <row r="5292" spans="15:28">
      <c r="O5292" s="1"/>
      <c r="P5292" s="1"/>
      <c r="Q5292" s="1"/>
      <c r="R5292" s="1"/>
      <c r="Z5292" s="103"/>
      <c r="AA5292" s="103"/>
      <c r="AB5292" s="1"/>
    </row>
    <row r="5293" spans="15:28">
      <c r="O5293" s="1"/>
      <c r="P5293" s="1"/>
      <c r="Q5293" s="1"/>
      <c r="R5293" s="1"/>
      <c r="Z5293" s="103"/>
      <c r="AA5293" s="103"/>
      <c r="AB5293" s="1"/>
    </row>
    <row r="5294" spans="15:28">
      <c r="O5294" s="1"/>
      <c r="P5294" s="1"/>
      <c r="Q5294" s="1"/>
      <c r="R5294" s="1"/>
      <c r="Z5294" s="103"/>
      <c r="AA5294" s="103"/>
      <c r="AB5294" s="1"/>
    </row>
    <row r="5295" spans="15:28">
      <c r="O5295" s="1"/>
      <c r="P5295" s="1"/>
      <c r="Q5295" s="1"/>
      <c r="R5295" s="1"/>
      <c r="Z5295" s="103"/>
      <c r="AA5295" s="103"/>
      <c r="AB5295" s="1"/>
    </row>
    <row r="5296" spans="15:28">
      <c r="O5296" s="1"/>
      <c r="P5296" s="1"/>
      <c r="Q5296" s="1"/>
      <c r="R5296" s="1"/>
      <c r="Z5296" s="103"/>
      <c r="AA5296" s="103"/>
      <c r="AB5296" s="1"/>
    </row>
    <row r="5297" spans="15:30">
      <c r="O5297" s="1"/>
      <c r="P5297" s="1"/>
      <c r="Q5297" s="1"/>
      <c r="R5297" s="1"/>
      <c r="Z5297" s="103"/>
      <c r="AA5297" s="103"/>
      <c r="AB5297" s="1"/>
    </row>
    <row r="5298" spans="15:30">
      <c r="O5298" s="1"/>
      <c r="P5298" s="1"/>
      <c r="Q5298" s="1"/>
      <c r="R5298" s="1"/>
      <c r="Z5298" s="103"/>
      <c r="AA5298" s="103"/>
      <c r="AB5298" s="1"/>
    </row>
    <row r="5299" spans="15:30">
      <c r="O5299" s="1"/>
      <c r="P5299" s="1"/>
      <c r="Q5299" s="1"/>
      <c r="R5299" s="1"/>
      <c r="Z5299" s="103"/>
      <c r="AA5299" s="103"/>
      <c r="AB5299" s="1"/>
      <c r="AD5299" s="102"/>
    </row>
    <row r="5300" spans="15:30">
      <c r="O5300" s="1"/>
      <c r="P5300" s="1"/>
      <c r="Q5300" s="1"/>
      <c r="R5300" s="1"/>
      <c r="Z5300" s="103"/>
      <c r="AA5300" s="103"/>
      <c r="AB5300" s="1"/>
    </row>
    <row r="5301" spans="15:30">
      <c r="O5301" s="1"/>
      <c r="P5301" s="1"/>
      <c r="Q5301" s="1"/>
      <c r="R5301" s="1"/>
      <c r="Z5301" s="103"/>
      <c r="AA5301" s="103"/>
      <c r="AB5301" s="1"/>
    </row>
    <row r="5302" spans="15:30">
      <c r="O5302" s="1"/>
      <c r="P5302" s="1"/>
      <c r="Q5302" s="1"/>
      <c r="R5302" s="1"/>
      <c r="Z5302" s="103"/>
      <c r="AA5302" s="103"/>
      <c r="AB5302" s="1"/>
    </row>
    <row r="5303" spans="15:30">
      <c r="O5303" s="1"/>
      <c r="P5303" s="1"/>
      <c r="Q5303" s="1"/>
      <c r="R5303" s="1"/>
      <c r="Z5303" s="103"/>
      <c r="AA5303" s="103"/>
      <c r="AB5303" s="1"/>
    </row>
    <row r="5304" spans="15:30">
      <c r="O5304" s="1"/>
      <c r="P5304" s="1"/>
      <c r="Q5304" s="1"/>
      <c r="R5304" s="1"/>
      <c r="Z5304" s="103"/>
      <c r="AA5304" s="103"/>
      <c r="AB5304" s="1"/>
    </row>
    <row r="5305" spans="15:30">
      <c r="O5305" s="1"/>
      <c r="P5305" s="1"/>
      <c r="Q5305" s="1"/>
      <c r="R5305" s="1"/>
      <c r="Z5305" s="103"/>
      <c r="AA5305" s="103"/>
      <c r="AB5305" s="1"/>
    </row>
    <row r="5306" spans="15:30">
      <c r="O5306" s="1"/>
      <c r="P5306" s="1"/>
      <c r="Q5306" s="1"/>
      <c r="R5306" s="1"/>
      <c r="Z5306" s="103"/>
      <c r="AA5306" s="103"/>
      <c r="AB5306" s="1"/>
    </row>
    <row r="5307" spans="15:30">
      <c r="O5307" s="1"/>
      <c r="P5307" s="1"/>
      <c r="Q5307" s="1"/>
      <c r="R5307" s="1"/>
      <c r="Z5307" s="103"/>
      <c r="AA5307" s="103"/>
      <c r="AB5307" s="1"/>
    </row>
    <row r="5308" spans="15:30">
      <c r="O5308" s="1"/>
      <c r="P5308" s="1"/>
      <c r="Q5308" s="1"/>
      <c r="R5308" s="1"/>
      <c r="Z5308" s="103"/>
      <c r="AA5308" s="103"/>
      <c r="AB5308" s="1"/>
    </row>
    <row r="5309" spans="15:30">
      <c r="O5309" s="1"/>
      <c r="P5309" s="1"/>
      <c r="Q5309" s="1"/>
      <c r="R5309" s="1"/>
      <c r="Z5309" s="103"/>
      <c r="AA5309" s="103"/>
      <c r="AB5309" s="1"/>
    </row>
    <row r="5310" spans="15:30">
      <c r="O5310" s="1"/>
      <c r="P5310" s="1"/>
      <c r="Q5310" s="1"/>
      <c r="R5310" s="1"/>
      <c r="Z5310" s="103"/>
      <c r="AA5310" s="103"/>
      <c r="AB5310" s="1"/>
    </row>
    <row r="5311" spans="15:30">
      <c r="O5311" s="1"/>
      <c r="P5311" s="1"/>
      <c r="Q5311" s="1"/>
      <c r="R5311" s="1"/>
      <c r="Z5311" s="103"/>
      <c r="AA5311" s="103"/>
      <c r="AB5311" s="1"/>
    </row>
    <row r="5312" spans="15:30">
      <c r="O5312" s="1"/>
      <c r="P5312" s="1"/>
      <c r="Q5312" s="1"/>
      <c r="R5312" s="1"/>
      <c r="Z5312" s="103"/>
      <c r="AA5312" s="103"/>
      <c r="AB5312" s="1"/>
    </row>
    <row r="5313" spans="15:28">
      <c r="O5313" s="1"/>
      <c r="P5313" s="1"/>
      <c r="Q5313" s="1"/>
      <c r="R5313" s="1"/>
      <c r="Z5313" s="103"/>
      <c r="AA5313" s="103"/>
      <c r="AB5313" s="1"/>
    </row>
    <row r="5314" spans="15:28">
      <c r="O5314" s="1"/>
      <c r="P5314" s="1"/>
      <c r="Q5314" s="1"/>
      <c r="R5314" s="1"/>
      <c r="Z5314" s="103"/>
      <c r="AA5314" s="103"/>
      <c r="AB5314" s="1"/>
    </row>
    <row r="5315" spans="15:28">
      <c r="O5315" s="1"/>
      <c r="P5315" s="1"/>
      <c r="Q5315" s="1"/>
      <c r="R5315" s="1"/>
      <c r="Z5315" s="103"/>
      <c r="AA5315" s="103"/>
      <c r="AB5315" s="1"/>
    </row>
    <row r="5316" spans="15:28">
      <c r="O5316" s="1"/>
      <c r="P5316" s="1"/>
      <c r="Q5316" s="1"/>
      <c r="R5316" s="1"/>
      <c r="Z5316" s="103"/>
      <c r="AA5316" s="103"/>
      <c r="AB5316" s="1"/>
    </row>
    <row r="5317" spans="15:28">
      <c r="O5317" s="1"/>
      <c r="P5317" s="1"/>
      <c r="Q5317" s="1"/>
      <c r="R5317" s="1"/>
      <c r="Z5317" s="103"/>
      <c r="AA5317" s="103"/>
      <c r="AB5317" s="1"/>
    </row>
    <row r="5318" spans="15:28">
      <c r="O5318" s="1"/>
      <c r="P5318" s="1"/>
      <c r="Q5318" s="1"/>
      <c r="R5318" s="1"/>
      <c r="Z5318" s="103"/>
      <c r="AA5318" s="103"/>
      <c r="AB5318" s="1"/>
    </row>
    <row r="5319" spans="15:28">
      <c r="O5319" s="1"/>
      <c r="P5319" s="1"/>
      <c r="Q5319" s="1"/>
      <c r="R5319" s="1"/>
      <c r="Z5319" s="103"/>
      <c r="AA5319" s="103"/>
      <c r="AB5319" s="1"/>
    </row>
    <row r="5320" spans="15:28">
      <c r="O5320" s="1"/>
      <c r="P5320" s="1"/>
      <c r="Q5320" s="1"/>
      <c r="R5320" s="1"/>
      <c r="Z5320" s="103"/>
      <c r="AA5320" s="103"/>
      <c r="AB5320" s="1"/>
    </row>
    <row r="5321" spans="15:28">
      <c r="O5321" s="1"/>
      <c r="P5321" s="1"/>
      <c r="Q5321" s="1"/>
      <c r="R5321" s="1"/>
      <c r="Z5321" s="103"/>
      <c r="AA5321" s="103"/>
      <c r="AB5321" s="1"/>
    </row>
    <row r="5322" spans="15:28">
      <c r="O5322" s="1"/>
      <c r="P5322" s="1"/>
      <c r="Q5322" s="1"/>
      <c r="R5322" s="1"/>
      <c r="Z5322" s="103"/>
      <c r="AA5322" s="103"/>
      <c r="AB5322" s="1"/>
    </row>
    <row r="5323" spans="15:28">
      <c r="O5323" s="1"/>
      <c r="P5323" s="1"/>
      <c r="Q5323" s="1"/>
      <c r="R5323" s="1"/>
      <c r="Z5323" s="103"/>
      <c r="AA5323" s="103"/>
      <c r="AB5323" s="1"/>
    </row>
    <row r="5324" spans="15:28">
      <c r="O5324" s="1"/>
      <c r="P5324" s="1"/>
      <c r="Q5324" s="1"/>
      <c r="R5324" s="1"/>
      <c r="Z5324" s="103"/>
      <c r="AA5324" s="103"/>
      <c r="AB5324" s="1"/>
    </row>
    <row r="5325" spans="15:28">
      <c r="O5325" s="1"/>
      <c r="P5325" s="1"/>
      <c r="Q5325" s="1"/>
      <c r="R5325" s="1"/>
      <c r="Z5325" s="103"/>
      <c r="AA5325" s="103"/>
      <c r="AB5325" s="1"/>
    </row>
    <row r="5326" spans="15:28">
      <c r="O5326" s="1"/>
      <c r="P5326" s="1"/>
      <c r="Q5326" s="1"/>
      <c r="R5326" s="1"/>
      <c r="Z5326" s="103"/>
      <c r="AA5326" s="103"/>
      <c r="AB5326" s="1"/>
    </row>
    <row r="5327" spans="15:28">
      <c r="O5327" s="1"/>
      <c r="P5327" s="1"/>
      <c r="Q5327" s="1"/>
      <c r="R5327" s="1"/>
      <c r="Z5327" s="103"/>
      <c r="AA5327" s="103"/>
      <c r="AB5327" s="1"/>
    </row>
    <row r="5328" spans="15:28">
      <c r="O5328" s="1"/>
      <c r="P5328" s="1"/>
      <c r="Q5328" s="1"/>
      <c r="R5328" s="1"/>
      <c r="Z5328" s="103"/>
      <c r="AA5328" s="103"/>
      <c r="AB5328" s="1"/>
    </row>
    <row r="5329" spans="15:28">
      <c r="O5329" s="1"/>
      <c r="P5329" s="1"/>
      <c r="Q5329" s="1"/>
      <c r="R5329" s="1"/>
      <c r="Z5329" s="103"/>
      <c r="AA5329" s="103"/>
      <c r="AB5329" s="1"/>
    </row>
    <row r="5330" spans="15:28">
      <c r="O5330" s="1"/>
      <c r="P5330" s="1"/>
      <c r="Q5330" s="1"/>
      <c r="R5330" s="1"/>
      <c r="Z5330" s="103"/>
      <c r="AA5330" s="103"/>
      <c r="AB5330" s="1"/>
    </row>
    <row r="5331" spans="15:28">
      <c r="O5331" s="1"/>
      <c r="P5331" s="1"/>
      <c r="Q5331" s="1"/>
      <c r="R5331" s="1"/>
      <c r="Z5331" s="103"/>
      <c r="AA5331" s="103"/>
      <c r="AB5331" s="1"/>
    </row>
    <row r="5332" spans="15:28">
      <c r="O5332" s="1"/>
      <c r="P5332" s="1"/>
      <c r="Q5332" s="1"/>
      <c r="R5332" s="1"/>
      <c r="Z5332" s="103"/>
      <c r="AA5332" s="103"/>
      <c r="AB5332" s="1"/>
    </row>
    <row r="5333" spans="15:28">
      <c r="O5333" s="1"/>
      <c r="P5333" s="1"/>
      <c r="Q5333" s="1"/>
      <c r="R5333" s="1"/>
      <c r="Z5333" s="103"/>
      <c r="AA5333" s="103"/>
      <c r="AB5333" s="1"/>
    </row>
    <row r="5334" spans="15:28">
      <c r="O5334" s="1"/>
      <c r="P5334" s="1"/>
      <c r="Q5334" s="1"/>
      <c r="R5334" s="1"/>
      <c r="Z5334" s="103"/>
      <c r="AA5334" s="103"/>
      <c r="AB5334" s="1"/>
    </row>
    <row r="5335" spans="15:28">
      <c r="O5335" s="1"/>
      <c r="P5335" s="1"/>
      <c r="Q5335" s="1"/>
      <c r="R5335" s="1"/>
      <c r="Z5335" s="103"/>
      <c r="AA5335" s="103"/>
      <c r="AB5335" s="1"/>
    </row>
    <row r="5336" spans="15:28">
      <c r="O5336" s="1"/>
      <c r="P5336" s="1"/>
      <c r="Q5336" s="1"/>
      <c r="R5336" s="1"/>
      <c r="Z5336" s="103"/>
      <c r="AA5336" s="103"/>
      <c r="AB5336" s="1"/>
    </row>
    <row r="5337" spans="15:28">
      <c r="O5337" s="1"/>
      <c r="P5337" s="1"/>
      <c r="Q5337" s="1"/>
      <c r="R5337" s="1"/>
      <c r="Z5337" s="103"/>
      <c r="AA5337" s="103"/>
      <c r="AB5337" s="1"/>
    </row>
    <row r="5338" spans="15:28">
      <c r="O5338" s="1"/>
      <c r="P5338" s="1"/>
      <c r="Q5338" s="1"/>
      <c r="R5338" s="1"/>
      <c r="Z5338" s="103"/>
      <c r="AA5338" s="103"/>
      <c r="AB5338" s="1"/>
    </row>
    <row r="5339" spans="15:28">
      <c r="O5339" s="1"/>
      <c r="P5339" s="1"/>
      <c r="Q5339" s="1"/>
      <c r="R5339" s="1"/>
      <c r="Z5339" s="103"/>
      <c r="AA5339" s="103"/>
      <c r="AB5339" s="1"/>
    </row>
    <row r="5340" spans="15:28">
      <c r="O5340" s="1"/>
      <c r="P5340" s="1"/>
      <c r="Q5340" s="1"/>
      <c r="R5340" s="1"/>
      <c r="Z5340" s="103"/>
      <c r="AA5340" s="103"/>
      <c r="AB5340" s="1"/>
    </row>
    <row r="5341" spans="15:28">
      <c r="O5341" s="1"/>
      <c r="P5341" s="1"/>
      <c r="Q5341" s="1"/>
      <c r="R5341" s="1"/>
      <c r="Z5341" s="103"/>
      <c r="AA5341" s="103"/>
      <c r="AB5341" s="1"/>
    </row>
    <row r="5342" spans="15:28">
      <c r="O5342" s="1"/>
      <c r="P5342" s="1"/>
      <c r="Q5342" s="1"/>
      <c r="R5342" s="1"/>
      <c r="Z5342" s="103"/>
      <c r="AA5342" s="103"/>
      <c r="AB5342" s="1"/>
    </row>
    <row r="5343" spans="15:28">
      <c r="O5343" s="1"/>
      <c r="P5343" s="1"/>
      <c r="Q5343" s="1"/>
      <c r="R5343" s="1"/>
      <c r="Z5343" s="103"/>
      <c r="AA5343" s="103"/>
      <c r="AB5343" s="1"/>
    </row>
    <row r="5344" spans="15:28">
      <c r="O5344" s="1"/>
      <c r="P5344" s="1"/>
      <c r="Q5344" s="1"/>
      <c r="R5344" s="1"/>
      <c r="Z5344" s="103"/>
      <c r="AA5344" s="103"/>
      <c r="AB5344" s="1"/>
    </row>
    <row r="5345" spans="15:30">
      <c r="O5345" s="1"/>
      <c r="P5345" s="1"/>
      <c r="Q5345" s="1"/>
      <c r="R5345" s="1"/>
      <c r="Z5345" s="103"/>
      <c r="AA5345" s="103"/>
      <c r="AB5345" s="1"/>
    </row>
    <row r="5346" spans="15:30">
      <c r="O5346" s="1"/>
      <c r="P5346" s="1"/>
      <c r="Q5346" s="1"/>
      <c r="R5346" s="1"/>
      <c r="Z5346" s="103"/>
      <c r="AA5346" s="103"/>
      <c r="AB5346" s="1"/>
    </row>
    <row r="5347" spans="15:30">
      <c r="O5347" s="1"/>
      <c r="P5347" s="1"/>
      <c r="Q5347" s="1"/>
      <c r="R5347" s="1"/>
      <c r="Z5347" s="103"/>
      <c r="AA5347" s="103"/>
      <c r="AB5347" s="1"/>
    </row>
    <row r="5348" spans="15:30">
      <c r="O5348" s="1"/>
      <c r="P5348" s="1"/>
      <c r="Q5348" s="1"/>
      <c r="R5348" s="1"/>
      <c r="Z5348" s="103"/>
      <c r="AA5348" s="103"/>
      <c r="AB5348" s="1"/>
    </row>
    <row r="5349" spans="15:30">
      <c r="O5349" s="1"/>
      <c r="P5349" s="1"/>
      <c r="Q5349" s="1"/>
      <c r="R5349" s="1"/>
      <c r="Z5349" s="103"/>
      <c r="AA5349" s="103"/>
      <c r="AB5349" s="1"/>
    </row>
    <row r="5350" spans="15:30">
      <c r="O5350" s="1"/>
      <c r="P5350" s="1"/>
      <c r="Q5350" s="1"/>
      <c r="R5350" s="1"/>
      <c r="Z5350" s="103"/>
      <c r="AA5350" s="103"/>
      <c r="AB5350" s="1"/>
    </row>
    <row r="5351" spans="15:30">
      <c r="O5351" s="1"/>
      <c r="P5351" s="1"/>
      <c r="Q5351" s="1"/>
      <c r="R5351" s="1"/>
      <c r="Z5351" s="103"/>
      <c r="AA5351" s="103"/>
      <c r="AB5351" s="1"/>
    </row>
    <row r="5352" spans="15:30">
      <c r="O5352" s="1"/>
      <c r="P5352" s="1"/>
      <c r="Q5352" s="1"/>
      <c r="R5352" s="1"/>
      <c r="Z5352" s="103"/>
      <c r="AA5352" s="103"/>
      <c r="AB5352" s="1"/>
    </row>
    <row r="5353" spans="15:30">
      <c r="O5353" s="1"/>
      <c r="P5353" s="1"/>
      <c r="Q5353" s="1"/>
      <c r="R5353" s="1"/>
      <c r="Z5353" s="103"/>
      <c r="AA5353" s="103"/>
      <c r="AB5353" s="1"/>
    </row>
    <row r="5354" spans="15:30">
      <c r="O5354" s="1"/>
      <c r="P5354" s="1"/>
      <c r="Q5354" s="1"/>
      <c r="R5354" s="1"/>
      <c r="Z5354" s="103"/>
      <c r="AA5354" s="103"/>
      <c r="AB5354" s="1"/>
      <c r="AD5354" s="102"/>
    </row>
    <row r="5355" spans="15:30">
      <c r="O5355" s="1"/>
      <c r="P5355" s="1"/>
      <c r="Q5355" s="1"/>
      <c r="R5355" s="1"/>
      <c r="Z5355" s="103"/>
      <c r="AA5355" s="103"/>
      <c r="AB5355" s="1"/>
    </row>
    <row r="5356" spans="15:30">
      <c r="O5356" s="1"/>
      <c r="P5356" s="1"/>
      <c r="Q5356" s="1"/>
      <c r="R5356" s="1"/>
      <c r="Z5356" s="103"/>
      <c r="AA5356" s="103"/>
      <c r="AB5356" s="1"/>
    </row>
    <row r="5357" spans="15:30">
      <c r="O5357" s="1"/>
      <c r="P5357" s="1"/>
      <c r="Q5357" s="1"/>
      <c r="R5357" s="1"/>
      <c r="Z5357" s="103"/>
      <c r="AA5357" s="103"/>
      <c r="AB5357" s="1"/>
    </row>
    <row r="5358" spans="15:30">
      <c r="O5358" s="1"/>
      <c r="P5358" s="1"/>
      <c r="Q5358" s="1"/>
      <c r="R5358" s="1"/>
      <c r="Z5358" s="103"/>
      <c r="AA5358" s="103"/>
      <c r="AB5358" s="1"/>
    </row>
    <row r="5359" spans="15:30">
      <c r="O5359" s="1"/>
      <c r="P5359" s="1"/>
      <c r="Q5359" s="1"/>
      <c r="R5359" s="1"/>
      <c r="Z5359" s="103"/>
      <c r="AA5359" s="103"/>
      <c r="AB5359" s="1"/>
    </row>
    <row r="5360" spans="15:30">
      <c r="O5360" s="1"/>
      <c r="P5360" s="1"/>
      <c r="Q5360" s="1"/>
      <c r="R5360" s="1"/>
      <c r="Z5360" s="103"/>
      <c r="AA5360" s="103"/>
      <c r="AB5360" s="1"/>
    </row>
    <row r="5361" spans="15:28">
      <c r="O5361" s="1"/>
      <c r="P5361" s="1"/>
      <c r="Q5361" s="1"/>
      <c r="R5361" s="1"/>
      <c r="Z5361" s="103"/>
      <c r="AA5361" s="103"/>
      <c r="AB5361" s="1"/>
    </row>
    <row r="5362" spans="15:28">
      <c r="O5362" s="1"/>
      <c r="P5362" s="1"/>
      <c r="Q5362" s="1"/>
      <c r="R5362" s="1"/>
      <c r="Z5362" s="103"/>
      <c r="AA5362" s="103"/>
      <c r="AB5362" s="1"/>
    </row>
    <row r="5363" spans="15:28">
      <c r="O5363" s="1"/>
      <c r="P5363" s="1"/>
      <c r="Q5363" s="1"/>
      <c r="R5363" s="1"/>
      <c r="Z5363" s="103"/>
      <c r="AA5363" s="103"/>
      <c r="AB5363" s="1"/>
    </row>
    <row r="5364" spans="15:28">
      <c r="O5364" s="1"/>
      <c r="P5364" s="1"/>
      <c r="Q5364" s="1"/>
      <c r="R5364" s="1"/>
      <c r="Z5364" s="103"/>
      <c r="AA5364" s="103"/>
      <c r="AB5364" s="1"/>
    </row>
    <row r="5365" spans="15:28">
      <c r="O5365" s="1"/>
      <c r="P5365" s="1"/>
      <c r="Q5365" s="1"/>
      <c r="R5365" s="1"/>
      <c r="Z5365" s="103"/>
      <c r="AA5365" s="103"/>
      <c r="AB5365" s="1"/>
    </row>
    <row r="5366" spans="15:28">
      <c r="O5366" s="1"/>
      <c r="P5366" s="1"/>
      <c r="Q5366" s="1"/>
      <c r="R5366" s="1"/>
      <c r="Z5366" s="103"/>
      <c r="AA5366" s="103"/>
      <c r="AB5366" s="1"/>
    </row>
    <row r="5367" spans="15:28">
      <c r="O5367" s="1"/>
      <c r="P5367" s="1"/>
      <c r="Q5367" s="1"/>
      <c r="R5367" s="1"/>
      <c r="Z5367" s="103"/>
      <c r="AA5367" s="103"/>
      <c r="AB5367" s="1"/>
    </row>
    <row r="5368" spans="15:28">
      <c r="O5368" s="1"/>
      <c r="P5368" s="1"/>
      <c r="Q5368" s="1"/>
      <c r="R5368" s="1"/>
      <c r="Z5368" s="103"/>
      <c r="AA5368" s="103"/>
      <c r="AB5368" s="1"/>
    </row>
    <row r="5369" spans="15:28">
      <c r="O5369" s="1"/>
      <c r="P5369" s="1"/>
      <c r="Q5369" s="1"/>
      <c r="R5369" s="1"/>
      <c r="Z5369" s="103"/>
      <c r="AA5369" s="103"/>
      <c r="AB5369" s="1"/>
    </row>
    <row r="5370" spans="15:28">
      <c r="O5370" s="1"/>
      <c r="P5370" s="1"/>
      <c r="Q5370" s="1"/>
      <c r="R5370" s="1"/>
      <c r="Z5370" s="103"/>
      <c r="AA5370" s="103"/>
      <c r="AB5370" s="1"/>
    </row>
    <row r="5371" spans="15:28">
      <c r="O5371" s="1"/>
      <c r="P5371" s="1"/>
      <c r="Q5371" s="1"/>
      <c r="R5371" s="1"/>
      <c r="Z5371" s="103"/>
      <c r="AA5371" s="103"/>
      <c r="AB5371" s="1"/>
    </row>
    <row r="5372" spans="15:28">
      <c r="O5372" s="1"/>
      <c r="P5372" s="1"/>
      <c r="Q5372" s="1"/>
      <c r="R5372" s="1"/>
      <c r="Z5372" s="103"/>
      <c r="AA5372" s="103"/>
      <c r="AB5372" s="1"/>
    </row>
    <row r="5373" spans="15:28">
      <c r="O5373" s="1"/>
      <c r="P5373" s="1"/>
      <c r="Q5373" s="1"/>
      <c r="R5373" s="1"/>
      <c r="Z5373" s="103"/>
      <c r="AA5373" s="103"/>
      <c r="AB5373" s="1"/>
    </row>
    <row r="5374" spans="15:28">
      <c r="O5374" s="1"/>
      <c r="P5374" s="1"/>
      <c r="Q5374" s="1"/>
      <c r="R5374" s="1"/>
      <c r="Z5374" s="103"/>
      <c r="AA5374" s="103"/>
      <c r="AB5374" s="1"/>
    </row>
    <row r="5375" spans="15:28">
      <c r="O5375" s="1"/>
      <c r="P5375" s="1"/>
      <c r="Q5375" s="1"/>
      <c r="R5375" s="1"/>
      <c r="Z5375" s="103"/>
      <c r="AA5375" s="103"/>
      <c r="AB5375" s="1"/>
    </row>
    <row r="5376" spans="15:28">
      <c r="O5376" s="1"/>
      <c r="P5376" s="1"/>
      <c r="Q5376" s="1"/>
      <c r="R5376" s="1"/>
      <c r="Z5376" s="103"/>
      <c r="AA5376" s="103"/>
      <c r="AB5376" s="1"/>
    </row>
    <row r="5377" spans="15:30">
      <c r="O5377" s="1"/>
      <c r="P5377" s="1"/>
      <c r="Q5377" s="1"/>
      <c r="R5377" s="1"/>
      <c r="Z5377" s="103"/>
      <c r="AA5377" s="103"/>
      <c r="AB5377" s="1"/>
    </row>
    <row r="5378" spans="15:30">
      <c r="O5378" s="1"/>
      <c r="P5378" s="1"/>
      <c r="Q5378" s="1"/>
      <c r="R5378" s="1"/>
      <c r="Z5378" s="103"/>
      <c r="AA5378" s="103"/>
      <c r="AB5378" s="1"/>
      <c r="AD5378" s="102"/>
    </row>
    <row r="5379" spans="15:30">
      <c r="O5379" s="1"/>
      <c r="P5379" s="1"/>
      <c r="Q5379" s="1"/>
      <c r="R5379" s="1"/>
      <c r="Z5379" s="103"/>
      <c r="AA5379" s="103"/>
      <c r="AB5379" s="1"/>
    </row>
    <row r="5380" spans="15:30">
      <c r="O5380" s="1"/>
      <c r="P5380" s="1"/>
      <c r="Q5380" s="1"/>
      <c r="R5380" s="1"/>
      <c r="Z5380" s="103"/>
      <c r="AA5380" s="103"/>
      <c r="AB5380" s="1"/>
    </row>
    <row r="5381" spans="15:30">
      <c r="O5381" s="1"/>
      <c r="P5381" s="1"/>
      <c r="Q5381" s="1"/>
      <c r="R5381" s="1"/>
      <c r="Z5381" s="103"/>
      <c r="AA5381" s="103"/>
      <c r="AB5381" s="1"/>
    </row>
    <row r="5382" spans="15:30">
      <c r="O5382" s="1"/>
      <c r="P5382" s="1"/>
      <c r="Q5382" s="1"/>
      <c r="R5382" s="1"/>
      <c r="Z5382" s="103"/>
      <c r="AA5382" s="103"/>
      <c r="AB5382" s="1"/>
      <c r="AD5382" s="102"/>
    </row>
    <row r="5383" spans="15:30">
      <c r="O5383" s="1"/>
      <c r="P5383" s="1"/>
      <c r="Q5383" s="1"/>
      <c r="R5383" s="1"/>
      <c r="Z5383" s="103"/>
      <c r="AA5383" s="103"/>
      <c r="AB5383" s="1"/>
    </row>
    <row r="5384" spans="15:30">
      <c r="O5384" s="1"/>
      <c r="P5384" s="1"/>
      <c r="Q5384" s="1"/>
      <c r="R5384" s="1"/>
      <c r="Z5384" s="103"/>
      <c r="AA5384" s="103"/>
      <c r="AB5384" s="1"/>
    </row>
    <row r="5385" spans="15:30">
      <c r="O5385" s="1"/>
      <c r="P5385" s="1"/>
      <c r="Q5385" s="1"/>
      <c r="R5385" s="1"/>
      <c r="Z5385" s="103"/>
      <c r="AA5385" s="103"/>
      <c r="AB5385" s="1"/>
    </row>
    <row r="5386" spans="15:30">
      <c r="O5386" s="1"/>
      <c r="P5386" s="1"/>
      <c r="Q5386" s="1"/>
      <c r="R5386" s="1"/>
      <c r="Z5386" s="103"/>
      <c r="AA5386" s="103"/>
      <c r="AB5386" s="1"/>
    </row>
    <row r="5387" spans="15:30">
      <c r="O5387" s="1"/>
      <c r="P5387" s="1"/>
      <c r="Q5387" s="1"/>
      <c r="R5387" s="1"/>
      <c r="Z5387" s="103"/>
      <c r="AA5387" s="103"/>
      <c r="AB5387" s="1"/>
    </row>
    <row r="5388" spans="15:30">
      <c r="O5388" s="1"/>
      <c r="P5388" s="1"/>
      <c r="Q5388" s="1"/>
      <c r="R5388" s="1"/>
      <c r="Z5388" s="103"/>
      <c r="AA5388" s="103"/>
      <c r="AB5388" s="1"/>
    </row>
    <row r="5389" spans="15:30">
      <c r="O5389" s="1"/>
      <c r="P5389" s="1"/>
      <c r="Q5389" s="1"/>
      <c r="R5389" s="1"/>
      <c r="Z5389" s="103"/>
      <c r="AA5389" s="103"/>
      <c r="AB5389" s="1"/>
    </row>
    <row r="5390" spans="15:30">
      <c r="O5390" s="1"/>
      <c r="P5390" s="1"/>
      <c r="Q5390" s="1"/>
      <c r="R5390" s="1"/>
      <c r="Z5390" s="103"/>
      <c r="AA5390" s="103"/>
      <c r="AB5390" s="1"/>
    </row>
    <row r="5391" spans="15:30">
      <c r="O5391" s="1"/>
      <c r="P5391" s="1"/>
      <c r="Q5391" s="1"/>
      <c r="R5391" s="1"/>
      <c r="Z5391" s="103"/>
      <c r="AA5391" s="103"/>
      <c r="AB5391" s="1"/>
    </row>
    <row r="5392" spans="15:30">
      <c r="O5392" s="1"/>
      <c r="P5392" s="1"/>
      <c r="Q5392" s="1"/>
      <c r="R5392" s="1"/>
      <c r="Z5392" s="103"/>
      <c r="AA5392" s="103"/>
      <c r="AB5392" s="1"/>
    </row>
    <row r="5393" spans="15:30">
      <c r="O5393" s="1"/>
      <c r="P5393" s="1"/>
      <c r="Q5393" s="1"/>
      <c r="R5393" s="1"/>
      <c r="Z5393" s="103"/>
      <c r="AA5393" s="103"/>
      <c r="AB5393" s="1"/>
    </row>
    <row r="5394" spans="15:30">
      <c r="O5394" s="1"/>
      <c r="P5394" s="1"/>
      <c r="Q5394" s="1"/>
      <c r="R5394" s="1"/>
      <c r="Z5394" s="103"/>
      <c r="AA5394" s="103"/>
      <c r="AB5394" s="1"/>
    </row>
    <row r="5395" spans="15:30">
      <c r="O5395" s="1"/>
      <c r="P5395" s="1"/>
      <c r="Q5395" s="1"/>
      <c r="R5395" s="1"/>
      <c r="Z5395" s="103"/>
      <c r="AA5395" s="103"/>
      <c r="AB5395" s="1"/>
    </row>
    <row r="5396" spans="15:30">
      <c r="O5396" s="1"/>
      <c r="P5396" s="1"/>
      <c r="Q5396" s="1"/>
      <c r="R5396" s="1"/>
      <c r="Z5396" s="103"/>
      <c r="AA5396" s="103"/>
      <c r="AB5396" s="1"/>
    </row>
    <row r="5397" spans="15:30">
      <c r="O5397" s="1"/>
      <c r="P5397" s="1"/>
      <c r="Q5397" s="1"/>
      <c r="R5397" s="1"/>
      <c r="Z5397" s="103"/>
      <c r="AA5397" s="103"/>
      <c r="AB5397" s="1"/>
    </row>
    <row r="5398" spans="15:30">
      <c r="O5398" s="1"/>
      <c r="P5398" s="1"/>
      <c r="Q5398" s="1"/>
      <c r="R5398" s="1"/>
      <c r="Z5398" s="103"/>
      <c r="AA5398" s="103"/>
      <c r="AB5398" s="1"/>
    </row>
    <row r="5399" spans="15:30">
      <c r="O5399" s="1"/>
      <c r="P5399" s="1"/>
      <c r="Q5399" s="1"/>
      <c r="R5399" s="1"/>
      <c r="Z5399" s="103"/>
      <c r="AA5399" s="103"/>
      <c r="AB5399" s="1"/>
    </row>
    <row r="5400" spans="15:30">
      <c r="O5400" s="1"/>
      <c r="P5400" s="1"/>
      <c r="Q5400" s="1"/>
      <c r="R5400" s="1"/>
      <c r="Z5400" s="103"/>
      <c r="AA5400" s="103"/>
      <c r="AB5400" s="1"/>
    </row>
    <row r="5401" spans="15:30">
      <c r="O5401" s="1"/>
      <c r="P5401" s="1"/>
      <c r="Q5401" s="1"/>
      <c r="R5401" s="1"/>
      <c r="Z5401" s="103"/>
      <c r="AA5401" s="103"/>
      <c r="AB5401" s="1"/>
    </row>
    <row r="5402" spans="15:30">
      <c r="O5402" s="1"/>
      <c r="P5402" s="1"/>
      <c r="Q5402" s="1"/>
      <c r="R5402" s="1"/>
      <c r="Z5402" s="103"/>
      <c r="AA5402" s="103"/>
      <c r="AB5402" s="1"/>
    </row>
    <row r="5403" spans="15:30">
      <c r="O5403" s="1"/>
      <c r="P5403" s="1"/>
      <c r="Q5403" s="1"/>
      <c r="R5403" s="1"/>
      <c r="Z5403" s="103"/>
      <c r="AA5403" s="103"/>
      <c r="AB5403" s="1"/>
    </row>
    <row r="5404" spans="15:30">
      <c r="O5404" s="1"/>
      <c r="P5404" s="1"/>
      <c r="Q5404" s="1"/>
      <c r="R5404" s="1"/>
      <c r="Z5404" s="103"/>
      <c r="AA5404" s="103"/>
      <c r="AB5404" s="1"/>
    </row>
    <row r="5405" spans="15:30">
      <c r="O5405" s="1"/>
      <c r="P5405" s="1"/>
      <c r="Q5405" s="1"/>
      <c r="R5405" s="1"/>
      <c r="Z5405" s="103"/>
      <c r="AA5405" s="103"/>
      <c r="AB5405" s="1"/>
    </row>
    <row r="5406" spans="15:30">
      <c r="O5406" s="1"/>
      <c r="P5406" s="1"/>
      <c r="Q5406" s="1"/>
      <c r="R5406" s="1"/>
      <c r="Z5406" s="103"/>
      <c r="AA5406" s="103"/>
      <c r="AB5406" s="1"/>
    </row>
    <row r="5407" spans="15:30">
      <c r="O5407" s="1"/>
      <c r="P5407" s="1"/>
      <c r="Q5407" s="1"/>
      <c r="R5407" s="1"/>
      <c r="Z5407" s="103"/>
      <c r="AA5407" s="103"/>
      <c r="AB5407" s="1"/>
    </row>
    <row r="5408" spans="15:30">
      <c r="O5408" s="1"/>
      <c r="P5408" s="1"/>
      <c r="Q5408" s="1"/>
      <c r="R5408" s="1"/>
      <c r="Z5408" s="103"/>
      <c r="AA5408" s="103"/>
      <c r="AB5408" s="1"/>
      <c r="AD5408" s="102"/>
    </row>
    <row r="5409" spans="15:28">
      <c r="O5409" s="1"/>
      <c r="P5409" s="1"/>
      <c r="Q5409" s="1"/>
      <c r="R5409" s="1"/>
      <c r="Z5409" s="103"/>
      <c r="AA5409" s="103"/>
      <c r="AB5409" s="1"/>
    </row>
    <row r="5410" spans="15:28">
      <c r="O5410" s="1"/>
      <c r="P5410" s="1"/>
      <c r="Q5410" s="1"/>
      <c r="R5410" s="1"/>
      <c r="Z5410" s="103"/>
      <c r="AA5410" s="103"/>
      <c r="AB5410" s="1"/>
    </row>
    <row r="5411" spans="15:28">
      <c r="O5411" s="1"/>
      <c r="P5411" s="1"/>
      <c r="Q5411" s="1"/>
      <c r="R5411" s="1"/>
      <c r="Z5411" s="103"/>
      <c r="AA5411" s="103"/>
      <c r="AB5411" s="1"/>
    </row>
    <row r="5412" spans="15:28">
      <c r="O5412" s="1"/>
      <c r="P5412" s="1"/>
      <c r="Q5412" s="1"/>
      <c r="R5412" s="1"/>
      <c r="Z5412" s="103"/>
      <c r="AA5412" s="103"/>
      <c r="AB5412" s="1"/>
    </row>
    <row r="5413" spans="15:28">
      <c r="O5413" s="1"/>
      <c r="P5413" s="1"/>
      <c r="Q5413" s="1"/>
      <c r="R5413" s="1"/>
      <c r="Z5413" s="103"/>
      <c r="AA5413" s="103"/>
      <c r="AB5413" s="1"/>
    </row>
    <row r="5414" spans="15:28">
      <c r="O5414" s="1"/>
      <c r="P5414" s="1"/>
      <c r="Q5414" s="1"/>
      <c r="R5414" s="1"/>
      <c r="Z5414" s="103"/>
      <c r="AA5414" s="103"/>
      <c r="AB5414" s="1"/>
    </row>
    <row r="5415" spans="15:28">
      <c r="O5415" s="1"/>
      <c r="P5415" s="1"/>
      <c r="Q5415" s="1"/>
      <c r="R5415" s="1"/>
      <c r="Z5415" s="103"/>
      <c r="AA5415" s="103"/>
      <c r="AB5415" s="1"/>
    </row>
    <row r="5416" spans="15:28">
      <c r="O5416" s="1"/>
      <c r="P5416" s="1"/>
      <c r="Q5416" s="1"/>
      <c r="R5416" s="1"/>
      <c r="Z5416" s="103"/>
      <c r="AA5416" s="103"/>
      <c r="AB5416" s="1"/>
    </row>
    <row r="5417" spans="15:28">
      <c r="O5417" s="1"/>
      <c r="P5417" s="1"/>
      <c r="Q5417" s="1"/>
      <c r="R5417" s="1"/>
      <c r="Z5417" s="103"/>
      <c r="AA5417" s="103"/>
      <c r="AB5417" s="1"/>
    </row>
    <row r="5418" spans="15:28">
      <c r="O5418" s="1"/>
      <c r="P5418" s="1"/>
      <c r="Q5418" s="1"/>
      <c r="R5418" s="1"/>
      <c r="Z5418" s="103"/>
      <c r="AA5418" s="103"/>
      <c r="AB5418" s="1"/>
    </row>
    <row r="5419" spans="15:28">
      <c r="O5419" s="1"/>
      <c r="P5419" s="1"/>
      <c r="Q5419" s="1"/>
      <c r="R5419" s="1"/>
      <c r="Z5419" s="103"/>
      <c r="AA5419" s="103"/>
      <c r="AB5419" s="1"/>
    </row>
    <row r="5420" spans="15:28">
      <c r="O5420" s="1"/>
      <c r="P5420" s="1"/>
      <c r="Q5420" s="1"/>
      <c r="R5420" s="1"/>
      <c r="Z5420" s="103"/>
      <c r="AA5420" s="103"/>
      <c r="AB5420" s="1"/>
    </row>
    <row r="5421" spans="15:28">
      <c r="O5421" s="1"/>
      <c r="P5421" s="1"/>
      <c r="Q5421" s="1"/>
      <c r="R5421" s="1"/>
      <c r="Z5421" s="103"/>
      <c r="AA5421" s="103"/>
      <c r="AB5421" s="1"/>
    </row>
    <row r="5422" spans="15:28">
      <c r="O5422" s="1"/>
      <c r="P5422" s="1"/>
      <c r="Q5422" s="1"/>
      <c r="R5422" s="1"/>
      <c r="Z5422" s="103"/>
      <c r="AA5422" s="103"/>
      <c r="AB5422" s="1"/>
    </row>
    <row r="5423" spans="15:28">
      <c r="O5423" s="1"/>
      <c r="P5423" s="1"/>
      <c r="Q5423" s="1"/>
      <c r="R5423" s="1"/>
      <c r="Z5423" s="103"/>
      <c r="AA5423" s="103"/>
      <c r="AB5423" s="1"/>
    </row>
    <row r="5424" spans="15:28">
      <c r="O5424" s="1"/>
      <c r="P5424" s="1"/>
      <c r="Q5424" s="1"/>
      <c r="R5424" s="1"/>
      <c r="Z5424" s="103"/>
      <c r="AA5424" s="103"/>
      <c r="AB5424" s="1"/>
    </row>
    <row r="5425" spans="15:28">
      <c r="O5425" s="1"/>
      <c r="P5425" s="1"/>
      <c r="Q5425" s="1"/>
      <c r="R5425" s="1"/>
      <c r="Z5425" s="103"/>
      <c r="AA5425" s="103"/>
      <c r="AB5425" s="1"/>
    </row>
    <row r="5426" spans="15:28">
      <c r="O5426" s="1"/>
      <c r="P5426" s="1"/>
      <c r="Q5426" s="1"/>
      <c r="R5426" s="1"/>
      <c r="Z5426" s="103"/>
      <c r="AA5426" s="103"/>
      <c r="AB5426" s="1"/>
    </row>
    <row r="5427" spans="15:28">
      <c r="O5427" s="1"/>
      <c r="P5427" s="1"/>
      <c r="Q5427" s="1"/>
      <c r="R5427" s="1"/>
      <c r="Z5427" s="103"/>
      <c r="AA5427" s="103"/>
      <c r="AB5427" s="1"/>
    </row>
    <row r="5428" spans="15:28">
      <c r="O5428" s="1"/>
      <c r="P5428" s="1"/>
      <c r="Q5428" s="1"/>
      <c r="R5428" s="1"/>
      <c r="Z5428" s="103"/>
      <c r="AA5428" s="103"/>
      <c r="AB5428" s="1"/>
    </row>
    <row r="5429" spans="15:28">
      <c r="O5429" s="1"/>
      <c r="P5429" s="1"/>
      <c r="Q5429" s="1"/>
      <c r="R5429" s="1"/>
      <c r="Z5429" s="103"/>
      <c r="AA5429" s="103"/>
      <c r="AB5429" s="1"/>
    </row>
    <row r="5430" spans="15:28">
      <c r="O5430" s="1"/>
      <c r="P5430" s="1"/>
      <c r="Q5430" s="1"/>
      <c r="R5430" s="1"/>
      <c r="Z5430" s="103"/>
      <c r="AA5430" s="103"/>
      <c r="AB5430" s="1"/>
    </row>
    <row r="5431" spans="15:28">
      <c r="O5431" s="1"/>
      <c r="P5431" s="1"/>
      <c r="Q5431" s="1"/>
      <c r="R5431" s="1"/>
      <c r="Z5431" s="103"/>
      <c r="AA5431" s="103"/>
      <c r="AB5431" s="1"/>
    </row>
    <row r="5432" spans="15:28">
      <c r="O5432" s="1"/>
      <c r="P5432" s="1"/>
      <c r="Q5432" s="1"/>
      <c r="R5432" s="1"/>
      <c r="Z5432" s="103"/>
      <c r="AA5432" s="103"/>
      <c r="AB5432" s="1"/>
    </row>
    <row r="5433" spans="15:28">
      <c r="O5433" s="1"/>
      <c r="P5433" s="1"/>
      <c r="Q5433" s="1"/>
      <c r="R5433" s="1"/>
      <c r="Z5433" s="103"/>
      <c r="AA5433" s="103"/>
      <c r="AB5433" s="1"/>
    </row>
    <row r="5434" spans="15:28">
      <c r="O5434" s="1"/>
      <c r="P5434" s="1"/>
      <c r="Q5434" s="1"/>
      <c r="R5434" s="1"/>
      <c r="Z5434" s="103"/>
      <c r="AA5434" s="103"/>
      <c r="AB5434" s="1"/>
    </row>
    <row r="5435" spans="15:28">
      <c r="O5435" s="1"/>
      <c r="P5435" s="1"/>
      <c r="Q5435" s="1"/>
      <c r="R5435" s="1"/>
      <c r="Z5435" s="103"/>
      <c r="AA5435" s="103"/>
      <c r="AB5435" s="1"/>
    </row>
    <row r="5436" spans="15:28">
      <c r="O5436" s="1"/>
      <c r="P5436" s="1"/>
      <c r="Q5436" s="1"/>
      <c r="R5436" s="1"/>
      <c r="Z5436" s="103"/>
      <c r="AA5436" s="103"/>
      <c r="AB5436" s="1"/>
    </row>
    <row r="5437" spans="15:28">
      <c r="O5437" s="1"/>
      <c r="P5437" s="1"/>
      <c r="Q5437" s="1"/>
      <c r="R5437" s="1"/>
      <c r="Z5437" s="103"/>
      <c r="AA5437" s="103"/>
      <c r="AB5437" s="1"/>
    </row>
    <row r="5438" spans="15:28">
      <c r="O5438" s="1"/>
      <c r="P5438" s="1"/>
      <c r="Q5438" s="1"/>
      <c r="R5438" s="1"/>
      <c r="Z5438" s="103"/>
      <c r="AA5438" s="103"/>
      <c r="AB5438" s="1"/>
    </row>
    <row r="5439" spans="15:28">
      <c r="O5439" s="1"/>
      <c r="P5439" s="1"/>
      <c r="Q5439" s="1"/>
      <c r="R5439" s="1"/>
      <c r="Z5439" s="103"/>
      <c r="AA5439" s="103"/>
      <c r="AB5439" s="1"/>
    </row>
    <row r="5440" spans="15:28">
      <c r="O5440" s="1"/>
      <c r="P5440" s="1"/>
      <c r="Q5440" s="1"/>
      <c r="R5440" s="1"/>
      <c r="Z5440" s="103"/>
      <c r="AA5440" s="103"/>
      <c r="AB5440" s="1"/>
    </row>
    <row r="5441" spans="15:30">
      <c r="O5441" s="1"/>
      <c r="P5441" s="1"/>
      <c r="Q5441" s="1"/>
      <c r="R5441" s="1"/>
      <c r="Z5441" s="103"/>
      <c r="AA5441" s="103"/>
      <c r="AB5441" s="1"/>
    </row>
    <row r="5442" spans="15:30">
      <c r="O5442" s="1"/>
      <c r="P5442" s="1"/>
      <c r="Q5442" s="1"/>
      <c r="R5442" s="1"/>
      <c r="Z5442" s="103"/>
      <c r="AA5442" s="103"/>
      <c r="AB5442" s="1"/>
    </row>
    <row r="5443" spans="15:30">
      <c r="O5443" s="1"/>
      <c r="P5443" s="1"/>
      <c r="Q5443" s="1"/>
      <c r="R5443" s="1"/>
      <c r="Z5443" s="103"/>
      <c r="AA5443" s="103"/>
      <c r="AB5443" s="1"/>
    </row>
    <row r="5444" spans="15:30">
      <c r="O5444" s="1"/>
      <c r="P5444" s="1"/>
      <c r="Q5444" s="1"/>
      <c r="R5444" s="1"/>
      <c r="Z5444" s="103"/>
      <c r="AA5444" s="103"/>
      <c r="AB5444" s="1"/>
    </row>
    <row r="5445" spans="15:30">
      <c r="O5445" s="1"/>
      <c r="P5445" s="1"/>
      <c r="Q5445" s="1"/>
      <c r="R5445" s="1"/>
      <c r="Z5445" s="103"/>
      <c r="AA5445" s="103"/>
      <c r="AB5445" s="1"/>
    </row>
    <row r="5446" spans="15:30">
      <c r="O5446" s="1"/>
      <c r="P5446" s="1"/>
      <c r="Q5446" s="1"/>
      <c r="R5446" s="1"/>
      <c r="Z5446" s="103"/>
      <c r="AA5446" s="103"/>
      <c r="AB5446" s="1"/>
      <c r="AD5446" s="102"/>
    </row>
    <row r="5447" spans="15:30">
      <c r="O5447" s="1"/>
      <c r="P5447" s="1"/>
      <c r="Q5447" s="1"/>
      <c r="R5447" s="1"/>
      <c r="Z5447" s="103"/>
      <c r="AA5447" s="103"/>
      <c r="AB5447" s="1"/>
    </row>
    <row r="5448" spans="15:30">
      <c r="O5448" s="1"/>
      <c r="P5448" s="1"/>
      <c r="Q5448" s="1"/>
      <c r="R5448" s="1"/>
      <c r="Z5448" s="103"/>
      <c r="AA5448" s="103"/>
      <c r="AB5448" s="1"/>
    </row>
    <row r="5449" spans="15:30">
      <c r="O5449" s="1"/>
      <c r="P5449" s="1"/>
      <c r="Q5449" s="1"/>
      <c r="R5449" s="1"/>
      <c r="Z5449" s="103"/>
      <c r="AA5449" s="103"/>
      <c r="AB5449" s="1"/>
      <c r="AD5449" s="102"/>
    </row>
    <row r="5450" spans="15:30">
      <c r="O5450" s="1"/>
      <c r="P5450" s="1"/>
      <c r="Q5450" s="1"/>
      <c r="R5450" s="1"/>
      <c r="Z5450" s="103"/>
      <c r="AA5450" s="103"/>
      <c r="AB5450" s="1"/>
    </row>
    <row r="5451" spans="15:30">
      <c r="O5451" s="1"/>
      <c r="P5451" s="1"/>
      <c r="Q5451" s="1"/>
      <c r="R5451" s="1"/>
      <c r="Z5451" s="103"/>
      <c r="AA5451" s="103"/>
      <c r="AB5451" s="1"/>
    </row>
    <row r="5452" spans="15:30">
      <c r="O5452" s="1"/>
      <c r="P5452" s="1"/>
      <c r="Q5452" s="1"/>
      <c r="R5452" s="1"/>
      <c r="Z5452" s="103"/>
      <c r="AA5452" s="103"/>
      <c r="AB5452" s="1"/>
    </row>
    <row r="5453" spans="15:30">
      <c r="O5453" s="1"/>
      <c r="P5453" s="1"/>
      <c r="Q5453" s="1"/>
      <c r="R5453" s="1"/>
      <c r="Z5453" s="103"/>
      <c r="AA5453" s="103"/>
      <c r="AB5453" s="1"/>
    </row>
    <row r="5454" spans="15:30">
      <c r="O5454" s="1"/>
      <c r="P5454" s="1"/>
      <c r="Q5454" s="1"/>
      <c r="R5454" s="1"/>
      <c r="Z5454" s="103"/>
      <c r="AA5454" s="103"/>
      <c r="AB5454" s="1"/>
    </row>
    <row r="5455" spans="15:30">
      <c r="O5455" s="1"/>
      <c r="P5455" s="1"/>
      <c r="Q5455" s="1"/>
      <c r="R5455" s="1"/>
      <c r="Z5455" s="103"/>
      <c r="AA5455" s="103"/>
      <c r="AB5455" s="1"/>
    </row>
    <row r="5456" spans="15:30">
      <c r="O5456" s="1"/>
      <c r="P5456" s="1"/>
      <c r="Q5456" s="1"/>
      <c r="R5456" s="1"/>
      <c r="Z5456" s="103"/>
      <c r="AA5456" s="103"/>
      <c r="AB5456" s="1"/>
      <c r="AD5456" s="102"/>
    </row>
    <row r="5457" spans="15:30">
      <c r="O5457" s="1"/>
      <c r="P5457" s="1"/>
      <c r="Q5457" s="1"/>
      <c r="R5457" s="1"/>
      <c r="Z5457" s="103"/>
      <c r="AA5457" s="103"/>
      <c r="AB5457" s="1"/>
    </row>
    <row r="5458" spans="15:30">
      <c r="O5458" s="1"/>
      <c r="P5458" s="1"/>
      <c r="Q5458" s="1"/>
      <c r="R5458" s="1"/>
      <c r="Z5458" s="103"/>
      <c r="AA5458" s="103"/>
      <c r="AB5458" s="1"/>
    </row>
    <row r="5459" spans="15:30">
      <c r="O5459" s="1"/>
      <c r="P5459" s="1"/>
      <c r="Q5459" s="1"/>
      <c r="R5459" s="1"/>
      <c r="Z5459" s="103"/>
      <c r="AA5459" s="103"/>
      <c r="AB5459" s="1"/>
    </row>
    <row r="5460" spans="15:30">
      <c r="O5460" s="1"/>
      <c r="P5460" s="1"/>
      <c r="Q5460" s="1"/>
      <c r="R5460" s="1"/>
      <c r="Z5460" s="103"/>
      <c r="AA5460" s="103"/>
      <c r="AB5460" s="1"/>
    </row>
    <row r="5461" spans="15:30">
      <c r="O5461" s="1"/>
      <c r="P5461" s="1"/>
      <c r="Q5461" s="1"/>
      <c r="R5461" s="1"/>
      <c r="Z5461" s="103"/>
      <c r="AA5461" s="103"/>
      <c r="AB5461" s="1"/>
    </row>
    <row r="5462" spans="15:30">
      <c r="O5462" s="1"/>
      <c r="P5462" s="1"/>
      <c r="Q5462" s="1"/>
      <c r="R5462" s="1"/>
      <c r="Z5462" s="103"/>
      <c r="AA5462" s="103"/>
      <c r="AB5462" s="1"/>
      <c r="AD5462" s="102"/>
    </row>
    <row r="5463" spans="15:30">
      <c r="O5463" s="1"/>
      <c r="P5463" s="1"/>
      <c r="Q5463" s="1"/>
      <c r="R5463" s="1"/>
      <c r="Z5463" s="103"/>
      <c r="AA5463" s="103"/>
      <c r="AB5463" s="1"/>
    </row>
    <row r="5464" spans="15:30">
      <c r="O5464" s="1"/>
      <c r="P5464" s="1"/>
      <c r="Q5464" s="1"/>
      <c r="R5464" s="1"/>
      <c r="Z5464" s="103"/>
      <c r="AA5464" s="103"/>
      <c r="AB5464" s="1"/>
    </row>
    <row r="5465" spans="15:30">
      <c r="O5465" s="1"/>
      <c r="P5465" s="1"/>
      <c r="Q5465" s="1"/>
      <c r="R5465" s="1"/>
      <c r="Z5465" s="103"/>
      <c r="AA5465" s="103"/>
      <c r="AB5465" s="1"/>
    </row>
    <row r="5466" spans="15:30">
      <c r="O5466" s="1"/>
      <c r="P5466" s="1"/>
      <c r="Q5466" s="1"/>
      <c r="R5466" s="1"/>
      <c r="Z5466" s="103"/>
      <c r="AA5466" s="103"/>
      <c r="AB5466" s="1"/>
    </row>
    <row r="5467" spans="15:30">
      <c r="O5467" s="1"/>
      <c r="P5467" s="1"/>
      <c r="Q5467" s="1"/>
      <c r="R5467" s="1"/>
      <c r="Z5467" s="103"/>
      <c r="AA5467" s="103"/>
      <c r="AB5467" s="1"/>
    </row>
    <row r="5468" spans="15:30">
      <c r="O5468" s="1"/>
      <c r="P5468" s="1"/>
      <c r="Q5468" s="1"/>
      <c r="R5468" s="1"/>
      <c r="Z5468" s="103"/>
      <c r="AA5468" s="103"/>
      <c r="AB5468" s="1"/>
    </row>
    <row r="5469" spans="15:30">
      <c r="O5469" s="1"/>
      <c r="P5469" s="1"/>
      <c r="Q5469" s="1"/>
      <c r="R5469" s="1"/>
      <c r="Z5469" s="103"/>
      <c r="AA5469" s="103"/>
      <c r="AB5469" s="1"/>
    </row>
    <row r="5470" spans="15:30">
      <c r="O5470" s="1"/>
      <c r="P5470" s="1"/>
      <c r="Q5470" s="1"/>
      <c r="R5470" s="1"/>
      <c r="Z5470" s="103"/>
      <c r="AA5470" s="103"/>
      <c r="AB5470" s="1"/>
    </row>
    <row r="5471" spans="15:30">
      <c r="O5471" s="1"/>
      <c r="P5471" s="1"/>
      <c r="Q5471" s="1"/>
      <c r="R5471" s="1"/>
      <c r="Z5471" s="103"/>
      <c r="AA5471" s="103"/>
      <c r="AB5471" s="1"/>
    </row>
    <row r="5472" spans="15:30">
      <c r="O5472" s="1"/>
      <c r="P5472" s="1"/>
      <c r="Q5472" s="1"/>
      <c r="R5472" s="1"/>
      <c r="Z5472" s="103"/>
      <c r="AA5472" s="103"/>
      <c r="AB5472" s="1"/>
    </row>
    <row r="5473" spans="15:28">
      <c r="O5473" s="1"/>
      <c r="P5473" s="1"/>
      <c r="Q5473" s="1"/>
      <c r="R5473" s="1"/>
      <c r="Z5473" s="103"/>
      <c r="AA5473" s="103"/>
      <c r="AB5473" s="1"/>
    </row>
    <row r="5474" spans="15:28">
      <c r="O5474" s="1"/>
      <c r="P5474" s="1"/>
      <c r="Q5474" s="1"/>
      <c r="R5474" s="1"/>
      <c r="Z5474" s="103"/>
      <c r="AA5474" s="103"/>
      <c r="AB5474" s="1"/>
    </row>
    <row r="5475" spans="15:28">
      <c r="O5475" s="1"/>
      <c r="P5475" s="1"/>
      <c r="Q5475" s="1"/>
      <c r="R5475" s="1"/>
      <c r="Z5475" s="103"/>
      <c r="AA5475" s="103"/>
      <c r="AB5475" s="1"/>
    </row>
    <row r="5476" spans="15:28">
      <c r="O5476" s="1"/>
      <c r="P5476" s="1"/>
      <c r="Q5476" s="1"/>
      <c r="R5476" s="1"/>
      <c r="Z5476" s="103"/>
      <c r="AA5476" s="103"/>
      <c r="AB5476" s="1"/>
    </row>
    <row r="5477" spans="15:28">
      <c r="O5477" s="1"/>
      <c r="P5477" s="1"/>
      <c r="Q5477" s="1"/>
      <c r="R5477" s="1"/>
      <c r="Z5477" s="103"/>
      <c r="AA5477" s="103"/>
      <c r="AB5477" s="1"/>
    </row>
    <row r="5478" spans="15:28">
      <c r="O5478" s="1"/>
      <c r="P5478" s="1"/>
      <c r="Q5478" s="1"/>
      <c r="R5478" s="1"/>
      <c r="Z5478" s="103"/>
      <c r="AA5478" s="103"/>
      <c r="AB5478" s="1"/>
    </row>
    <row r="5479" spans="15:28">
      <c r="O5479" s="1"/>
      <c r="P5479" s="1"/>
      <c r="Q5479" s="1"/>
      <c r="R5479" s="1"/>
      <c r="Z5479" s="103"/>
      <c r="AA5479" s="103"/>
      <c r="AB5479" s="1"/>
    </row>
    <row r="5480" spans="15:28">
      <c r="O5480" s="1"/>
      <c r="P5480" s="1"/>
      <c r="Q5480" s="1"/>
      <c r="R5480" s="1"/>
      <c r="Z5480" s="103"/>
      <c r="AA5480" s="103"/>
      <c r="AB5480" s="1"/>
    </row>
    <row r="5481" spans="15:28">
      <c r="O5481" s="1"/>
      <c r="P5481" s="1"/>
      <c r="Q5481" s="1"/>
      <c r="R5481" s="1"/>
      <c r="Z5481" s="103"/>
      <c r="AA5481" s="103"/>
      <c r="AB5481" s="1"/>
    </row>
    <row r="5482" spans="15:28">
      <c r="O5482" s="1"/>
      <c r="P5482" s="1"/>
      <c r="Q5482" s="1"/>
      <c r="R5482" s="1"/>
      <c r="Z5482" s="103"/>
      <c r="AA5482" s="103"/>
      <c r="AB5482" s="1"/>
    </row>
    <row r="5483" spans="15:28">
      <c r="O5483" s="1"/>
      <c r="P5483" s="1"/>
      <c r="Q5483" s="1"/>
      <c r="R5483" s="1"/>
      <c r="Z5483" s="103"/>
      <c r="AA5483" s="103"/>
      <c r="AB5483" s="1"/>
    </row>
    <row r="5484" spans="15:28">
      <c r="O5484" s="1"/>
      <c r="P5484" s="1"/>
      <c r="Q5484" s="1"/>
      <c r="R5484" s="1"/>
      <c r="Z5484" s="103"/>
      <c r="AA5484" s="103"/>
      <c r="AB5484" s="1"/>
    </row>
    <row r="5485" spans="15:28">
      <c r="O5485" s="1"/>
      <c r="P5485" s="1"/>
      <c r="Q5485" s="1"/>
      <c r="R5485" s="1"/>
      <c r="Z5485" s="103"/>
      <c r="AA5485" s="103"/>
      <c r="AB5485" s="1"/>
    </row>
    <row r="5486" spans="15:28">
      <c r="O5486" s="1"/>
      <c r="P5486" s="1"/>
      <c r="Q5486" s="1"/>
      <c r="R5486" s="1"/>
      <c r="Z5486" s="103"/>
      <c r="AA5486" s="103"/>
      <c r="AB5486" s="1"/>
    </row>
    <row r="5487" spans="15:28">
      <c r="O5487" s="1"/>
      <c r="P5487" s="1"/>
      <c r="Q5487" s="1"/>
      <c r="R5487" s="1"/>
      <c r="Z5487" s="103"/>
      <c r="AA5487" s="103"/>
      <c r="AB5487" s="1"/>
    </row>
    <row r="5488" spans="15:28">
      <c r="O5488" s="1"/>
      <c r="P5488" s="1"/>
      <c r="Q5488" s="1"/>
      <c r="R5488" s="1"/>
      <c r="Z5488" s="103"/>
      <c r="AA5488" s="103"/>
      <c r="AB5488" s="1"/>
    </row>
    <row r="5489" spans="15:30">
      <c r="O5489" s="1"/>
      <c r="P5489" s="1"/>
      <c r="Q5489" s="1"/>
      <c r="R5489" s="1"/>
      <c r="Z5489" s="103"/>
      <c r="AA5489" s="103"/>
      <c r="AB5489" s="1"/>
    </row>
    <row r="5490" spans="15:30">
      <c r="O5490" s="1"/>
      <c r="P5490" s="1"/>
      <c r="Q5490" s="1"/>
      <c r="R5490" s="1"/>
      <c r="Z5490" s="103"/>
      <c r="AA5490" s="103"/>
      <c r="AB5490" s="1"/>
    </row>
    <row r="5491" spans="15:30">
      <c r="O5491" s="1"/>
      <c r="P5491" s="1"/>
      <c r="Q5491" s="1"/>
      <c r="R5491" s="1"/>
      <c r="Z5491" s="103"/>
      <c r="AA5491" s="103"/>
      <c r="AB5491" s="1"/>
    </row>
    <row r="5492" spans="15:30">
      <c r="O5492" s="1"/>
      <c r="P5492" s="1"/>
      <c r="Q5492" s="1"/>
      <c r="R5492" s="1"/>
      <c r="Z5492" s="103"/>
      <c r="AA5492" s="103"/>
      <c r="AB5492" s="1"/>
    </row>
    <row r="5493" spans="15:30">
      <c r="O5493" s="1"/>
      <c r="P5493" s="1"/>
      <c r="Q5493" s="1"/>
      <c r="R5493" s="1"/>
      <c r="Z5493" s="103"/>
      <c r="AA5493" s="103"/>
      <c r="AB5493" s="1"/>
    </row>
    <row r="5494" spans="15:30">
      <c r="O5494" s="1"/>
      <c r="P5494" s="1"/>
      <c r="Q5494" s="1"/>
      <c r="R5494" s="1"/>
      <c r="Z5494" s="103"/>
      <c r="AA5494" s="103"/>
      <c r="AB5494" s="1"/>
    </row>
    <row r="5495" spans="15:30">
      <c r="O5495" s="1"/>
      <c r="P5495" s="1"/>
      <c r="Q5495" s="1"/>
      <c r="R5495" s="1"/>
      <c r="Z5495" s="103"/>
      <c r="AA5495" s="103"/>
      <c r="AB5495" s="1"/>
    </row>
    <row r="5496" spans="15:30">
      <c r="O5496" s="1"/>
      <c r="P5496" s="1"/>
      <c r="Q5496" s="1"/>
      <c r="R5496" s="1"/>
      <c r="Z5496" s="103"/>
      <c r="AA5496" s="103"/>
      <c r="AB5496" s="1"/>
    </row>
    <row r="5497" spans="15:30">
      <c r="O5497" s="1"/>
      <c r="P5497" s="1"/>
      <c r="Q5497" s="1"/>
      <c r="R5497" s="1"/>
      <c r="Z5497" s="103"/>
      <c r="AA5497" s="103"/>
      <c r="AB5497" s="1"/>
    </row>
    <row r="5498" spans="15:30">
      <c r="O5498" s="1"/>
      <c r="P5498" s="1"/>
      <c r="Q5498" s="1"/>
      <c r="R5498" s="1"/>
      <c r="Z5498" s="103"/>
      <c r="AA5498" s="103"/>
      <c r="AB5498" s="1"/>
    </row>
    <row r="5499" spans="15:30">
      <c r="O5499" s="1"/>
      <c r="P5499" s="1"/>
      <c r="Q5499" s="1"/>
      <c r="R5499" s="1"/>
      <c r="Z5499" s="103"/>
      <c r="AA5499" s="103"/>
      <c r="AB5499" s="1"/>
    </row>
    <row r="5500" spans="15:30">
      <c r="O5500" s="1"/>
      <c r="P5500" s="1"/>
      <c r="Q5500" s="1"/>
      <c r="R5500" s="1"/>
      <c r="Z5500" s="103"/>
      <c r="AA5500" s="103"/>
      <c r="AB5500" s="1"/>
      <c r="AD5500" s="102"/>
    </row>
    <row r="5501" spans="15:30">
      <c r="O5501" s="1"/>
      <c r="P5501" s="1"/>
      <c r="Q5501" s="1"/>
      <c r="R5501" s="1"/>
      <c r="Z5501" s="103"/>
      <c r="AA5501" s="103"/>
      <c r="AB5501" s="1"/>
    </row>
    <row r="5502" spans="15:30">
      <c r="O5502" s="1"/>
      <c r="P5502" s="1"/>
      <c r="Q5502" s="1"/>
      <c r="R5502" s="1"/>
      <c r="Z5502" s="103"/>
      <c r="AA5502" s="103"/>
      <c r="AB5502" s="1"/>
    </row>
    <row r="5503" spans="15:30">
      <c r="O5503" s="1"/>
      <c r="P5503" s="1"/>
      <c r="Q5503" s="1"/>
      <c r="R5503" s="1"/>
      <c r="Z5503" s="103"/>
      <c r="AA5503" s="103"/>
      <c r="AB5503" s="1"/>
    </row>
    <row r="5504" spans="15:30">
      <c r="O5504" s="1"/>
      <c r="P5504" s="1"/>
      <c r="Q5504" s="1"/>
      <c r="R5504" s="1"/>
      <c r="Z5504" s="103"/>
      <c r="AA5504" s="103"/>
      <c r="AB5504" s="1"/>
    </row>
    <row r="5505" spans="15:28">
      <c r="O5505" s="1"/>
      <c r="P5505" s="1"/>
      <c r="Q5505" s="1"/>
      <c r="R5505" s="1"/>
      <c r="Z5505" s="103"/>
      <c r="AA5505" s="103"/>
      <c r="AB5505" s="1"/>
    </row>
    <row r="5506" spans="15:28">
      <c r="O5506" s="1"/>
      <c r="P5506" s="1"/>
      <c r="Q5506" s="1"/>
      <c r="R5506" s="1"/>
      <c r="Z5506" s="103"/>
      <c r="AA5506" s="103"/>
      <c r="AB5506" s="1"/>
    </row>
    <row r="5507" spans="15:28">
      <c r="O5507" s="1"/>
      <c r="P5507" s="1"/>
      <c r="Q5507" s="1"/>
      <c r="R5507" s="1"/>
      <c r="Z5507" s="103"/>
      <c r="AA5507" s="103"/>
      <c r="AB5507" s="1"/>
    </row>
    <row r="5508" spans="15:28">
      <c r="O5508" s="1"/>
      <c r="P5508" s="1"/>
      <c r="Q5508" s="1"/>
      <c r="R5508" s="1"/>
      <c r="Z5508" s="103"/>
      <c r="AA5508" s="103"/>
      <c r="AB5508" s="1"/>
    </row>
    <row r="5509" spans="15:28">
      <c r="O5509" s="1"/>
      <c r="P5509" s="1"/>
      <c r="Q5509" s="1"/>
      <c r="R5509" s="1"/>
      <c r="Z5509" s="103"/>
      <c r="AA5509" s="103"/>
      <c r="AB5509" s="1"/>
    </row>
    <row r="5510" spans="15:28">
      <c r="O5510" s="1"/>
      <c r="P5510" s="1"/>
      <c r="Q5510" s="1"/>
      <c r="R5510" s="1"/>
      <c r="Z5510" s="103"/>
      <c r="AA5510" s="103"/>
      <c r="AB5510" s="1"/>
    </row>
    <row r="5511" spans="15:28">
      <c r="O5511" s="1"/>
      <c r="P5511" s="1"/>
      <c r="Q5511" s="1"/>
      <c r="R5511" s="1"/>
      <c r="Z5511" s="103"/>
      <c r="AA5511" s="103"/>
      <c r="AB5511" s="1"/>
    </row>
    <row r="5512" spans="15:28">
      <c r="O5512" s="1"/>
      <c r="P5512" s="1"/>
      <c r="Q5512" s="1"/>
      <c r="R5512" s="1"/>
      <c r="Z5512" s="103"/>
      <c r="AA5512" s="103"/>
      <c r="AB5512" s="1"/>
    </row>
    <row r="5513" spans="15:28">
      <c r="O5513" s="1"/>
      <c r="P5513" s="1"/>
      <c r="Q5513" s="1"/>
      <c r="R5513" s="1"/>
      <c r="Z5513" s="103"/>
      <c r="AA5513" s="103"/>
      <c r="AB5513" s="1"/>
    </row>
    <row r="5514" spans="15:28">
      <c r="O5514" s="1"/>
      <c r="P5514" s="1"/>
      <c r="Q5514" s="1"/>
      <c r="R5514" s="1"/>
      <c r="Z5514" s="103"/>
      <c r="AA5514" s="103"/>
      <c r="AB5514" s="1"/>
    </row>
    <row r="5515" spans="15:28">
      <c r="O5515" s="1"/>
      <c r="P5515" s="1"/>
      <c r="Q5515" s="1"/>
      <c r="R5515" s="1"/>
      <c r="Z5515" s="103"/>
      <c r="AA5515" s="103"/>
      <c r="AB5515" s="1"/>
    </row>
    <row r="5516" spans="15:28">
      <c r="O5516" s="1"/>
      <c r="P5516" s="1"/>
      <c r="Q5516" s="1"/>
      <c r="R5516" s="1"/>
      <c r="Z5516" s="103"/>
      <c r="AA5516" s="103"/>
      <c r="AB5516" s="1"/>
    </row>
    <row r="5517" spans="15:28">
      <c r="O5517" s="1"/>
      <c r="P5517" s="1"/>
      <c r="Q5517" s="1"/>
      <c r="R5517" s="1"/>
      <c r="Z5517" s="103"/>
      <c r="AA5517" s="103"/>
      <c r="AB5517" s="1"/>
    </row>
    <row r="5518" spans="15:28">
      <c r="O5518" s="1"/>
      <c r="P5518" s="1"/>
      <c r="Q5518" s="1"/>
      <c r="R5518" s="1"/>
      <c r="Z5518" s="103"/>
      <c r="AA5518" s="103"/>
      <c r="AB5518" s="1"/>
    </row>
    <row r="5519" spans="15:28">
      <c r="O5519" s="1"/>
      <c r="P5519" s="1"/>
      <c r="Q5519" s="1"/>
      <c r="R5519" s="1"/>
      <c r="Z5519" s="103"/>
      <c r="AA5519" s="103"/>
      <c r="AB5519" s="1"/>
    </row>
    <row r="5520" spans="15:28">
      <c r="O5520" s="1"/>
      <c r="P5520" s="1"/>
      <c r="Q5520" s="1"/>
      <c r="R5520" s="1"/>
      <c r="Z5520" s="103"/>
      <c r="AA5520" s="103"/>
      <c r="AB5520" s="1"/>
    </row>
    <row r="5521" spans="15:30">
      <c r="O5521" s="1"/>
      <c r="P5521" s="1"/>
      <c r="Q5521" s="1"/>
      <c r="R5521" s="1"/>
      <c r="Z5521" s="103"/>
      <c r="AA5521" s="103"/>
      <c r="AB5521" s="1"/>
    </row>
    <row r="5522" spans="15:30">
      <c r="O5522" s="1"/>
      <c r="P5522" s="1"/>
      <c r="Q5522" s="1"/>
      <c r="R5522" s="1"/>
      <c r="Z5522" s="103"/>
      <c r="AA5522" s="103"/>
      <c r="AB5522" s="1"/>
      <c r="AD5522" s="102"/>
    </row>
    <row r="5523" spans="15:30">
      <c r="O5523" s="1"/>
      <c r="P5523" s="1"/>
      <c r="Q5523" s="1"/>
      <c r="R5523" s="1"/>
      <c r="Z5523" s="103"/>
      <c r="AA5523" s="103"/>
      <c r="AB5523" s="1"/>
    </row>
    <row r="5524" spans="15:30">
      <c r="O5524" s="1"/>
      <c r="P5524" s="1"/>
      <c r="Q5524" s="1"/>
      <c r="R5524" s="1"/>
      <c r="Z5524" s="103"/>
      <c r="AA5524" s="103"/>
      <c r="AB5524" s="1"/>
    </row>
    <row r="5525" spans="15:30">
      <c r="O5525" s="1"/>
      <c r="P5525" s="1"/>
      <c r="Q5525" s="1"/>
      <c r="R5525" s="1"/>
      <c r="Z5525" s="103"/>
      <c r="AA5525" s="103"/>
      <c r="AB5525" s="1"/>
    </row>
    <row r="5526" spans="15:30">
      <c r="O5526" s="1"/>
      <c r="P5526" s="1"/>
      <c r="Q5526" s="1"/>
      <c r="R5526" s="1"/>
      <c r="Z5526" s="103"/>
      <c r="AA5526" s="103"/>
      <c r="AB5526" s="1"/>
    </row>
    <row r="5527" spans="15:30">
      <c r="O5527" s="1"/>
      <c r="P5527" s="1"/>
      <c r="Q5527" s="1"/>
      <c r="R5527" s="1"/>
      <c r="Z5527" s="103"/>
      <c r="AA5527" s="103"/>
      <c r="AB5527" s="1"/>
    </row>
    <row r="5528" spans="15:30">
      <c r="O5528" s="1"/>
      <c r="P5528" s="1"/>
      <c r="Q5528" s="1"/>
      <c r="R5528" s="1"/>
      <c r="Z5528" s="103"/>
      <c r="AA5528" s="103"/>
      <c r="AB5528" s="1"/>
    </row>
    <row r="5529" spans="15:30">
      <c r="O5529" s="1"/>
      <c r="P5529" s="1"/>
      <c r="Q5529" s="1"/>
      <c r="R5529" s="1"/>
      <c r="Z5529" s="103"/>
      <c r="AA5529" s="103"/>
      <c r="AB5529" s="1"/>
    </row>
    <row r="5530" spans="15:30">
      <c r="O5530" s="1"/>
      <c r="P5530" s="1"/>
      <c r="Q5530" s="1"/>
      <c r="R5530" s="1"/>
      <c r="Z5530" s="103"/>
      <c r="AA5530" s="103"/>
      <c r="AB5530" s="1"/>
    </row>
    <row r="5531" spans="15:30">
      <c r="O5531" s="1"/>
      <c r="P5531" s="1"/>
      <c r="Q5531" s="1"/>
      <c r="R5531" s="1"/>
      <c r="Z5531" s="103"/>
      <c r="AA5531" s="103"/>
      <c r="AB5531" s="1"/>
    </row>
    <row r="5532" spans="15:30">
      <c r="O5532" s="1"/>
      <c r="P5532" s="1"/>
      <c r="Q5532" s="1"/>
      <c r="R5532" s="1"/>
      <c r="Z5532" s="103"/>
      <c r="AA5532" s="103"/>
      <c r="AB5532" s="1"/>
    </row>
    <row r="5533" spans="15:30">
      <c r="O5533" s="1"/>
      <c r="P5533" s="1"/>
      <c r="Q5533" s="1"/>
      <c r="R5533" s="1"/>
      <c r="Z5533" s="103"/>
      <c r="AA5533" s="103"/>
      <c r="AB5533" s="1"/>
    </row>
    <row r="5534" spans="15:30">
      <c r="O5534" s="1"/>
      <c r="P5534" s="1"/>
      <c r="Q5534" s="1"/>
      <c r="R5534" s="1"/>
      <c r="Z5534" s="103"/>
      <c r="AA5534" s="103"/>
      <c r="AB5534" s="1"/>
    </row>
    <row r="5535" spans="15:30">
      <c r="O5535" s="1"/>
      <c r="P5535" s="1"/>
      <c r="Q5535" s="1"/>
      <c r="R5535" s="1"/>
      <c r="Z5535" s="103"/>
      <c r="AA5535" s="103"/>
      <c r="AB5535" s="1"/>
    </row>
    <row r="5536" spans="15:30">
      <c r="O5536" s="1"/>
      <c r="P5536" s="1"/>
      <c r="Q5536" s="1"/>
      <c r="R5536" s="1"/>
      <c r="Z5536" s="103"/>
      <c r="AA5536" s="103"/>
      <c r="AB5536" s="1"/>
    </row>
    <row r="5537" spans="15:28">
      <c r="O5537" s="1"/>
      <c r="P5537" s="1"/>
      <c r="Q5537" s="1"/>
      <c r="R5537" s="1"/>
      <c r="Z5537" s="103"/>
      <c r="AA5537" s="103"/>
      <c r="AB5537" s="1"/>
    </row>
    <row r="5538" spans="15:28">
      <c r="O5538" s="1"/>
      <c r="P5538" s="1"/>
      <c r="Q5538" s="1"/>
      <c r="R5538" s="1"/>
      <c r="Z5538" s="103"/>
      <c r="AA5538" s="103"/>
      <c r="AB5538" s="1"/>
    </row>
    <row r="5539" spans="15:28">
      <c r="O5539" s="1"/>
      <c r="P5539" s="1"/>
      <c r="Q5539" s="1"/>
      <c r="R5539" s="1"/>
      <c r="Z5539" s="103"/>
      <c r="AA5539" s="103"/>
      <c r="AB5539" s="1"/>
    </row>
    <row r="5540" spans="15:28">
      <c r="O5540" s="1"/>
      <c r="P5540" s="1"/>
      <c r="Q5540" s="1"/>
      <c r="R5540" s="1"/>
      <c r="Z5540" s="103"/>
      <c r="AA5540" s="103"/>
      <c r="AB5540" s="1"/>
    </row>
    <row r="5541" spans="15:28">
      <c r="O5541" s="1"/>
      <c r="P5541" s="1"/>
      <c r="Q5541" s="1"/>
      <c r="R5541" s="1"/>
      <c r="Z5541" s="103"/>
      <c r="AA5541" s="103"/>
      <c r="AB5541" s="1"/>
    </row>
    <row r="5542" spans="15:28">
      <c r="O5542" s="1"/>
      <c r="P5542" s="1"/>
      <c r="Q5542" s="1"/>
      <c r="R5542" s="1"/>
      <c r="Z5542" s="103"/>
      <c r="AA5542" s="103"/>
      <c r="AB5542" s="1"/>
    </row>
    <row r="5543" spans="15:28">
      <c r="O5543" s="1"/>
      <c r="P5543" s="1"/>
      <c r="Q5543" s="1"/>
      <c r="R5543" s="1"/>
      <c r="Z5543" s="103"/>
      <c r="AA5543" s="103"/>
      <c r="AB5543" s="1"/>
    </row>
    <row r="5544" spans="15:28">
      <c r="O5544" s="1"/>
      <c r="P5544" s="1"/>
      <c r="Q5544" s="1"/>
      <c r="R5544" s="1"/>
      <c r="Z5544" s="103"/>
      <c r="AA5544" s="103"/>
      <c r="AB5544" s="1"/>
    </row>
    <row r="5545" spans="15:28">
      <c r="O5545" s="1"/>
      <c r="P5545" s="1"/>
      <c r="Q5545" s="1"/>
      <c r="R5545" s="1"/>
      <c r="Z5545" s="103"/>
      <c r="AA5545" s="103"/>
      <c r="AB5545" s="1"/>
    </row>
    <row r="5546" spans="15:28">
      <c r="O5546" s="1"/>
      <c r="P5546" s="1"/>
      <c r="Q5546" s="1"/>
      <c r="R5546" s="1"/>
      <c r="Z5546" s="103"/>
      <c r="AA5546" s="103"/>
      <c r="AB5546" s="1"/>
    </row>
    <row r="5547" spans="15:28">
      <c r="O5547" s="1"/>
      <c r="P5547" s="1"/>
      <c r="Q5547" s="1"/>
      <c r="R5547" s="1"/>
      <c r="Z5547" s="103"/>
      <c r="AA5547" s="103"/>
      <c r="AB5547" s="1"/>
    </row>
    <row r="5548" spans="15:28">
      <c r="O5548" s="1"/>
      <c r="P5548" s="1"/>
      <c r="Q5548" s="1"/>
      <c r="R5548" s="1"/>
      <c r="Z5548" s="103"/>
      <c r="AA5548" s="103"/>
      <c r="AB5548" s="1"/>
    </row>
    <row r="5549" spans="15:28">
      <c r="O5549" s="1"/>
      <c r="P5549" s="1"/>
      <c r="Q5549" s="1"/>
      <c r="R5549" s="1"/>
      <c r="Z5549" s="103"/>
      <c r="AA5549" s="103"/>
      <c r="AB5549" s="1"/>
    </row>
    <row r="5550" spans="15:28">
      <c r="O5550" s="1"/>
      <c r="P5550" s="1"/>
      <c r="Q5550" s="1"/>
      <c r="R5550" s="1"/>
      <c r="Z5550" s="103"/>
      <c r="AA5550" s="103"/>
      <c r="AB5550" s="1"/>
    </row>
    <row r="5551" spans="15:28">
      <c r="O5551" s="1"/>
      <c r="P5551" s="1"/>
      <c r="Q5551" s="1"/>
      <c r="R5551" s="1"/>
      <c r="Z5551" s="103"/>
      <c r="AA5551" s="103"/>
      <c r="AB5551" s="1"/>
    </row>
    <row r="5552" spans="15:28">
      <c r="O5552" s="1"/>
      <c r="P5552" s="1"/>
      <c r="Q5552" s="1"/>
      <c r="R5552" s="1"/>
      <c r="Z5552" s="103"/>
      <c r="AA5552" s="103"/>
      <c r="AB5552" s="1"/>
    </row>
    <row r="5553" spans="15:30">
      <c r="O5553" s="1"/>
      <c r="P5553" s="1"/>
      <c r="Q5553" s="1"/>
      <c r="R5553" s="1"/>
      <c r="Z5553" s="103"/>
      <c r="AA5553" s="103"/>
      <c r="AB5553" s="1"/>
    </row>
    <row r="5554" spans="15:30">
      <c r="O5554" s="1"/>
      <c r="P5554" s="1"/>
      <c r="Q5554" s="1"/>
      <c r="R5554" s="1"/>
      <c r="Z5554" s="103"/>
      <c r="AA5554" s="103"/>
      <c r="AB5554" s="1"/>
    </row>
    <row r="5555" spans="15:30">
      <c r="O5555" s="1"/>
      <c r="P5555" s="1"/>
      <c r="Q5555" s="1"/>
      <c r="R5555" s="1"/>
      <c r="Z5555" s="103"/>
      <c r="AA5555" s="103"/>
      <c r="AB5555" s="1"/>
      <c r="AD5555" s="102"/>
    </row>
    <row r="5556" spans="15:30">
      <c r="O5556" s="1"/>
      <c r="P5556" s="1"/>
      <c r="Q5556" s="1"/>
      <c r="R5556" s="1"/>
      <c r="Z5556" s="103"/>
      <c r="AA5556" s="103"/>
      <c r="AB5556" s="1"/>
    </row>
    <row r="5557" spans="15:30">
      <c r="O5557" s="1"/>
      <c r="P5557" s="1"/>
      <c r="Q5557" s="1"/>
      <c r="R5557" s="1"/>
      <c r="Z5557" s="103"/>
      <c r="AA5557" s="103"/>
      <c r="AB5557" s="1"/>
    </row>
    <row r="5558" spans="15:30">
      <c r="O5558" s="1"/>
      <c r="P5558" s="1"/>
      <c r="Q5558" s="1"/>
      <c r="R5558" s="1"/>
      <c r="Z5558" s="103"/>
      <c r="AA5558" s="103"/>
      <c r="AB5558" s="1"/>
      <c r="AD5558" s="102"/>
    </row>
    <row r="5559" spans="15:30">
      <c r="O5559" s="1"/>
      <c r="P5559" s="1"/>
      <c r="Q5559" s="1"/>
      <c r="R5559" s="1"/>
      <c r="Z5559" s="103"/>
      <c r="AA5559" s="103"/>
      <c r="AB5559" s="1"/>
      <c r="AD5559" s="102"/>
    </row>
    <row r="5560" spans="15:30">
      <c r="O5560" s="1"/>
      <c r="P5560" s="1"/>
      <c r="Q5560" s="1"/>
      <c r="R5560" s="1"/>
      <c r="Z5560" s="103"/>
      <c r="AA5560" s="103"/>
      <c r="AB5560" s="1"/>
    </row>
    <row r="5561" spans="15:30">
      <c r="O5561" s="1"/>
      <c r="P5561" s="1"/>
      <c r="Q5561" s="1"/>
      <c r="R5561" s="1"/>
      <c r="Z5561" s="103"/>
      <c r="AA5561" s="103"/>
      <c r="AB5561" s="1"/>
    </row>
    <row r="5562" spans="15:30">
      <c r="O5562" s="1"/>
      <c r="P5562" s="1"/>
      <c r="Q5562" s="1"/>
      <c r="R5562" s="1"/>
      <c r="Z5562" s="103"/>
      <c r="AA5562" s="103"/>
      <c r="AB5562" s="1"/>
    </row>
    <row r="5563" spans="15:30">
      <c r="O5563" s="1"/>
      <c r="P5563" s="1"/>
      <c r="Q5563" s="1"/>
      <c r="R5563" s="1"/>
      <c r="Z5563" s="103"/>
      <c r="AA5563" s="103"/>
      <c r="AB5563" s="1"/>
    </row>
    <row r="5564" spans="15:30">
      <c r="O5564" s="1"/>
      <c r="P5564" s="1"/>
      <c r="Q5564" s="1"/>
      <c r="R5564" s="1"/>
      <c r="Z5564" s="103"/>
      <c r="AA5564" s="103"/>
      <c r="AB5564" s="1"/>
    </row>
    <row r="5565" spans="15:30">
      <c r="O5565" s="1"/>
      <c r="P5565" s="1"/>
      <c r="Q5565" s="1"/>
      <c r="R5565" s="1"/>
      <c r="Z5565" s="103"/>
      <c r="AA5565" s="103"/>
      <c r="AB5565" s="1"/>
    </row>
    <row r="5566" spans="15:30">
      <c r="O5566" s="1"/>
      <c r="P5566" s="1"/>
      <c r="Q5566" s="1"/>
      <c r="R5566" s="1"/>
      <c r="Z5566" s="103"/>
      <c r="AA5566" s="103"/>
      <c r="AB5566" s="1"/>
    </row>
    <row r="5567" spans="15:30">
      <c r="O5567" s="1"/>
      <c r="P5567" s="1"/>
      <c r="Q5567" s="1"/>
      <c r="R5567" s="1"/>
      <c r="Z5567" s="103"/>
      <c r="AA5567" s="103"/>
      <c r="AB5567" s="1"/>
    </row>
    <row r="5568" spans="15:30">
      <c r="O5568" s="1"/>
      <c r="P5568" s="1"/>
      <c r="Q5568" s="1"/>
      <c r="R5568" s="1"/>
      <c r="Z5568" s="103"/>
      <c r="AA5568" s="103"/>
      <c r="AB5568" s="1"/>
    </row>
    <row r="5569" spans="15:28">
      <c r="O5569" s="1"/>
      <c r="P5569" s="1"/>
      <c r="Q5569" s="1"/>
      <c r="R5569" s="1"/>
      <c r="Z5569" s="103"/>
      <c r="AA5569" s="103"/>
      <c r="AB5569" s="1"/>
    </row>
    <row r="5570" spans="15:28">
      <c r="O5570" s="1"/>
      <c r="P5570" s="1"/>
      <c r="Q5570" s="1"/>
      <c r="R5570" s="1"/>
      <c r="Z5570" s="103"/>
      <c r="AA5570" s="103"/>
      <c r="AB5570" s="1"/>
    </row>
    <row r="5571" spans="15:28">
      <c r="O5571" s="1"/>
      <c r="P5571" s="1"/>
      <c r="Q5571" s="1"/>
      <c r="R5571" s="1"/>
      <c r="Z5571" s="103"/>
      <c r="AA5571" s="103"/>
      <c r="AB5571" s="1"/>
    </row>
    <row r="5572" spans="15:28">
      <c r="O5572" s="1"/>
      <c r="P5572" s="1"/>
      <c r="Q5572" s="1"/>
      <c r="R5572" s="1"/>
      <c r="Z5572" s="103"/>
      <c r="AA5572" s="103"/>
      <c r="AB5572" s="1"/>
    </row>
    <row r="5573" spans="15:28">
      <c r="O5573" s="1"/>
      <c r="P5573" s="1"/>
      <c r="Q5573" s="1"/>
      <c r="R5573" s="1"/>
      <c r="Z5573" s="103"/>
      <c r="AA5573" s="103"/>
      <c r="AB5573" s="1"/>
    </row>
    <row r="5574" spans="15:28">
      <c r="O5574" s="1"/>
      <c r="P5574" s="1"/>
      <c r="Q5574" s="1"/>
      <c r="R5574" s="1"/>
      <c r="Z5574" s="103"/>
      <c r="AA5574" s="103"/>
      <c r="AB5574" s="1"/>
    </row>
    <row r="5575" spans="15:28">
      <c r="O5575" s="1"/>
      <c r="P5575" s="1"/>
      <c r="Q5575" s="1"/>
      <c r="R5575" s="1"/>
      <c r="Z5575" s="103"/>
      <c r="AA5575" s="103"/>
      <c r="AB5575" s="1"/>
    </row>
    <row r="5576" spans="15:28">
      <c r="O5576" s="1"/>
      <c r="P5576" s="1"/>
      <c r="Q5576" s="1"/>
      <c r="R5576" s="1"/>
      <c r="Z5576" s="103"/>
      <c r="AA5576" s="103"/>
      <c r="AB5576" s="1"/>
    </row>
    <row r="5577" spans="15:28">
      <c r="O5577" s="1"/>
      <c r="P5577" s="1"/>
      <c r="Q5577" s="1"/>
      <c r="R5577" s="1"/>
      <c r="Z5577" s="103"/>
      <c r="AA5577" s="103"/>
      <c r="AB5577" s="1"/>
    </row>
    <row r="5578" spans="15:28">
      <c r="O5578" s="1"/>
      <c r="P5578" s="1"/>
      <c r="Q5578" s="1"/>
      <c r="R5578" s="1"/>
      <c r="Z5578" s="103"/>
      <c r="AA5578" s="103"/>
      <c r="AB5578" s="1"/>
    </row>
    <row r="5579" spans="15:28">
      <c r="O5579" s="1"/>
      <c r="P5579" s="1"/>
      <c r="Q5579" s="1"/>
      <c r="R5579" s="1"/>
      <c r="Z5579" s="103"/>
      <c r="AA5579" s="103"/>
      <c r="AB5579" s="1"/>
    </row>
    <row r="5580" spans="15:28">
      <c r="O5580" s="1"/>
      <c r="P5580" s="1"/>
      <c r="Q5580" s="1"/>
      <c r="R5580" s="1"/>
      <c r="Z5580" s="103"/>
      <c r="AA5580" s="103"/>
      <c r="AB5580" s="1"/>
    </row>
    <row r="5581" spans="15:28">
      <c r="O5581" s="1"/>
      <c r="P5581" s="1"/>
      <c r="Q5581" s="1"/>
      <c r="R5581" s="1"/>
      <c r="Z5581" s="103"/>
      <c r="AA5581" s="103"/>
      <c r="AB5581" s="1"/>
    </row>
    <row r="5582" spans="15:28">
      <c r="O5582" s="1"/>
      <c r="P5582" s="1"/>
      <c r="Q5582" s="1"/>
      <c r="R5582" s="1"/>
      <c r="Z5582" s="103"/>
      <c r="AA5582" s="103"/>
      <c r="AB5582" s="1"/>
    </row>
    <row r="5583" spans="15:28">
      <c r="O5583" s="1"/>
      <c r="P5583" s="1"/>
      <c r="Q5583" s="1"/>
      <c r="R5583" s="1"/>
      <c r="Z5583" s="103"/>
      <c r="AA5583" s="103"/>
      <c r="AB5583" s="1"/>
    </row>
    <row r="5584" spans="15:28">
      <c r="O5584" s="1"/>
      <c r="P5584" s="1"/>
      <c r="Q5584" s="1"/>
      <c r="R5584" s="1"/>
      <c r="Z5584" s="103"/>
      <c r="AA5584" s="103"/>
      <c r="AB5584" s="1"/>
    </row>
    <row r="5585" spans="15:28">
      <c r="O5585" s="1"/>
      <c r="P5585" s="1"/>
      <c r="Q5585" s="1"/>
      <c r="R5585" s="1"/>
      <c r="Z5585" s="103"/>
      <c r="AA5585" s="103"/>
      <c r="AB5585" s="1"/>
    </row>
    <row r="5586" spans="15:28">
      <c r="O5586" s="1"/>
      <c r="P5586" s="1"/>
      <c r="Q5586" s="1"/>
      <c r="R5586" s="1"/>
      <c r="Z5586" s="103"/>
      <c r="AA5586" s="103"/>
      <c r="AB5586" s="1"/>
    </row>
    <row r="5587" spans="15:28">
      <c r="O5587" s="1"/>
      <c r="P5587" s="1"/>
      <c r="Q5587" s="1"/>
      <c r="R5587" s="1"/>
      <c r="Z5587" s="103"/>
      <c r="AA5587" s="103"/>
      <c r="AB5587" s="1"/>
    </row>
    <row r="5588" spans="15:28">
      <c r="O5588" s="1"/>
      <c r="P5588" s="1"/>
      <c r="Q5588" s="1"/>
      <c r="R5588" s="1"/>
      <c r="Z5588" s="103"/>
      <c r="AA5588" s="103"/>
      <c r="AB5588" s="1"/>
    </row>
    <row r="5589" spans="15:28">
      <c r="O5589" s="1"/>
      <c r="P5589" s="1"/>
      <c r="Q5589" s="1"/>
      <c r="R5589" s="1"/>
      <c r="Z5589" s="103"/>
      <c r="AA5589" s="103"/>
      <c r="AB5589" s="1"/>
    </row>
    <row r="5590" spans="15:28">
      <c r="O5590" s="1"/>
      <c r="P5590" s="1"/>
      <c r="Q5590" s="1"/>
      <c r="R5590" s="1"/>
      <c r="Z5590" s="103"/>
      <c r="AA5590" s="103"/>
      <c r="AB5590" s="1"/>
    </row>
    <row r="5591" spans="15:28">
      <c r="O5591" s="1"/>
      <c r="P5591" s="1"/>
      <c r="Q5591" s="1"/>
      <c r="R5591" s="1"/>
      <c r="Z5591" s="103"/>
      <c r="AA5591" s="103"/>
      <c r="AB5591" s="1"/>
    </row>
    <row r="5592" spans="15:28">
      <c r="O5592" s="1"/>
      <c r="P5592" s="1"/>
      <c r="Q5592" s="1"/>
      <c r="R5592" s="1"/>
      <c r="Z5592" s="103"/>
      <c r="AA5592" s="103"/>
      <c r="AB5592" s="1"/>
    </row>
    <row r="5593" spans="15:28">
      <c r="O5593" s="1"/>
      <c r="P5593" s="1"/>
      <c r="Q5593" s="1"/>
      <c r="R5593" s="1"/>
      <c r="Z5593" s="103"/>
      <c r="AA5593" s="103"/>
      <c r="AB5593" s="1"/>
    </row>
    <row r="5594" spans="15:28">
      <c r="O5594" s="1"/>
      <c r="P5594" s="1"/>
      <c r="Q5594" s="1"/>
      <c r="R5594" s="1"/>
      <c r="Z5594" s="103"/>
      <c r="AA5594" s="103"/>
      <c r="AB5594" s="1"/>
    </row>
    <row r="5595" spans="15:28">
      <c r="O5595" s="1"/>
      <c r="P5595" s="1"/>
      <c r="Q5595" s="1"/>
      <c r="R5595" s="1"/>
      <c r="Z5595" s="103"/>
      <c r="AA5595" s="103"/>
      <c r="AB5595" s="1"/>
    </row>
    <row r="5596" spans="15:28">
      <c r="O5596" s="1"/>
      <c r="P5596" s="1"/>
      <c r="Q5596" s="1"/>
      <c r="R5596" s="1"/>
      <c r="Z5596" s="103"/>
      <c r="AA5596" s="103"/>
      <c r="AB5596" s="1"/>
    </row>
    <row r="5597" spans="15:28">
      <c r="O5597" s="1"/>
      <c r="P5597" s="1"/>
      <c r="Q5597" s="1"/>
      <c r="R5597" s="1"/>
      <c r="Z5597" s="103"/>
      <c r="AA5597" s="103"/>
      <c r="AB5597" s="1"/>
    </row>
    <row r="5598" spans="15:28">
      <c r="O5598" s="1"/>
      <c r="P5598" s="1"/>
      <c r="Q5598" s="1"/>
      <c r="R5598" s="1"/>
      <c r="Z5598" s="103"/>
      <c r="AA5598" s="103"/>
      <c r="AB5598" s="1"/>
    </row>
    <row r="5599" spans="15:28">
      <c r="O5599" s="1"/>
      <c r="P5599" s="1"/>
      <c r="Q5599" s="1"/>
      <c r="R5599" s="1"/>
      <c r="Z5599" s="103"/>
      <c r="AA5599" s="103"/>
      <c r="AB5599" s="1"/>
    </row>
    <row r="5600" spans="15:28">
      <c r="O5600" s="1"/>
      <c r="P5600" s="1"/>
      <c r="Q5600" s="1"/>
      <c r="R5600" s="1"/>
      <c r="Z5600" s="103"/>
      <c r="AA5600" s="103"/>
      <c r="AB5600" s="1"/>
    </row>
    <row r="5601" spans="15:28">
      <c r="O5601" s="1"/>
      <c r="P5601" s="1"/>
      <c r="Q5601" s="1"/>
      <c r="R5601" s="1"/>
      <c r="Z5601" s="103"/>
      <c r="AA5601" s="103"/>
      <c r="AB5601" s="1"/>
    </row>
    <row r="5602" spans="15:28">
      <c r="O5602" s="1"/>
      <c r="P5602" s="1"/>
      <c r="Q5602" s="1"/>
      <c r="R5602" s="1"/>
      <c r="Z5602" s="103"/>
      <c r="AA5602" s="103"/>
      <c r="AB5602" s="1"/>
    </row>
    <row r="5603" spans="15:28">
      <c r="O5603" s="1"/>
      <c r="P5603" s="1"/>
      <c r="Q5603" s="1"/>
      <c r="R5603" s="1"/>
      <c r="Z5603" s="103"/>
      <c r="AA5603" s="103"/>
      <c r="AB5603" s="1"/>
    </row>
    <row r="5604" spans="15:28">
      <c r="O5604" s="1"/>
      <c r="P5604" s="1"/>
      <c r="Q5604" s="1"/>
      <c r="R5604" s="1"/>
      <c r="Z5604" s="103"/>
      <c r="AA5604" s="103"/>
      <c r="AB5604" s="1"/>
    </row>
    <row r="5605" spans="15:28">
      <c r="O5605" s="1"/>
      <c r="P5605" s="1"/>
      <c r="Q5605" s="1"/>
      <c r="R5605" s="1"/>
      <c r="Z5605" s="103"/>
      <c r="AA5605" s="103"/>
      <c r="AB5605" s="1"/>
    </row>
    <row r="5606" spans="15:28">
      <c r="O5606" s="1"/>
      <c r="P5606" s="1"/>
      <c r="Q5606" s="1"/>
      <c r="R5606" s="1"/>
      <c r="Z5606" s="103"/>
      <c r="AA5606" s="103"/>
      <c r="AB5606" s="1"/>
    </row>
    <row r="5607" spans="15:28">
      <c r="O5607" s="1"/>
      <c r="P5607" s="1"/>
      <c r="Q5607" s="1"/>
      <c r="R5607" s="1"/>
      <c r="Z5607" s="103"/>
      <c r="AA5607" s="103"/>
      <c r="AB5607" s="1"/>
    </row>
    <row r="5608" spans="15:28">
      <c r="O5608" s="1"/>
      <c r="P5608" s="1"/>
      <c r="Q5608" s="1"/>
      <c r="R5608" s="1"/>
      <c r="Z5608" s="103"/>
      <c r="AA5608" s="103"/>
      <c r="AB5608" s="1"/>
    </row>
    <row r="5609" spans="15:28">
      <c r="O5609" s="1"/>
      <c r="P5609" s="1"/>
      <c r="Q5609" s="1"/>
      <c r="R5609" s="1"/>
      <c r="Z5609" s="103"/>
      <c r="AA5609" s="103"/>
      <c r="AB5609" s="1"/>
    </row>
    <row r="5610" spans="15:28">
      <c r="O5610" s="1"/>
      <c r="P5610" s="1"/>
      <c r="Q5610" s="1"/>
      <c r="R5610" s="1"/>
      <c r="Z5610" s="103"/>
      <c r="AA5610" s="103"/>
      <c r="AB5610" s="1"/>
    </row>
    <row r="5611" spans="15:28">
      <c r="O5611" s="1"/>
      <c r="P5611" s="1"/>
      <c r="Q5611" s="1"/>
      <c r="R5611" s="1"/>
      <c r="Z5611" s="103"/>
      <c r="AA5611" s="103"/>
      <c r="AB5611" s="1"/>
    </row>
    <row r="5612" spans="15:28">
      <c r="O5612" s="1"/>
      <c r="P5612" s="1"/>
      <c r="Q5612" s="1"/>
      <c r="R5612" s="1"/>
      <c r="Z5612" s="103"/>
      <c r="AA5612" s="103"/>
      <c r="AB5612" s="1"/>
    </row>
    <row r="5613" spans="15:28">
      <c r="O5613" s="1"/>
      <c r="P5613" s="1"/>
      <c r="Q5613" s="1"/>
      <c r="R5613" s="1"/>
      <c r="Z5613" s="103"/>
      <c r="AA5613" s="103"/>
      <c r="AB5613" s="1"/>
    </row>
    <row r="5614" spans="15:28">
      <c r="O5614" s="1"/>
      <c r="P5614" s="1"/>
      <c r="Q5614" s="1"/>
      <c r="R5614" s="1"/>
      <c r="Z5614" s="103"/>
      <c r="AA5614" s="103"/>
      <c r="AB5614" s="1"/>
    </row>
    <row r="5615" spans="15:28">
      <c r="O5615" s="1"/>
      <c r="P5615" s="1"/>
      <c r="Q5615" s="1"/>
      <c r="R5615" s="1"/>
      <c r="Z5615" s="103"/>
      <c r="AA5615" s="103"/>
      <c r="AB5615" s="1"/>
    </row>
    <row r="5616" spans="15:28">
      <c r="O5616" s="1"/>
      <c r="P5616" s="1"/>
      <c r="Q5616" s="1"/>
      <c r="R5616" s="1"/>
      <c r="Z5616" s="103"/>
      <c r="AA5616" s="103"/>
      <c r="AB5616" s="1"/>
    </row>
    <row r="5617" spans="15:30">
      <c r="O5617" s="1"/>
      <c r="P5617" s="1"/>
      <c r="Q5617" s="1"/>
      <c r="R5617" s="1"/>
      <c r="Z5617" s="103"/>
      <c r="AA5617" s="103"/>
      <c r="AB5617" s="1"/>
    </row>
    <row r="5618" spans="15:30">
      <c r="O5618" s="1"/>
      <c r="P5618" s="1"/>
      <c r="Q5618" s="1"/>
      <c r="R5618" s="1"/>
      <c r="Z5618" s="103"/>
      <c r="AA5618" s="103"/>
      <c r="AB5618" s="1"/>
    </row>
    <row r="5619" spans="15:30">
      <c r="O5619" s="1"/>
      <c r="P5619" s="1"/>
      <c r="Q5619" s="1"/>
      <c r="R5619" s="1"/>
      <c r="Z5619" s="103"/>
      <c r="AA5619" s="103"/>
      <c r="AB5619" s="1"/>
      <c r="AD5619" s="102"/>
    </row>
    <row r="5620" spans="15:30">
      <c r="O5620" s="1"/>
      <c r="P5620" s="1"/>
      <c r="Q5620" s="1"/>
      <c r="R5620" s="1"/>
      <c r="Z5620" s="103"/>
      <c r="AA5620" s="103"/>
      <c r="AB5620" s="1"/>
    </row>
    <row r="5621" spans="15:30">
      <c r="O5621" s="1"/>
      <c r="P5621" s="1"/>
      <c r="Q5621" s="1"/>
      <c r="R5621" s="1"/>
      <c r="Z5621" s="103"/>
      <c r="AA5621" s="103"/>
      <c r="AB5621" s="1"/>
    </row>
    <row r="5622" spans="15:30">
      <c r="O5622" s="1"/>
      <c r="P5622" s="1"/>
      <c r="Q5622" s="1"/>
      <c r="R5622" s="1"/>
      <c r="Z5622" s="103"/>
      <c r="AA5622" s="103"/>
      <c r="AB5622" s="1"/>
    </row>
    <row r="5623" spans="15:30">
      <c r="O5623" s="1"/>
      <c r="P5623" s="1"/>
      <c r="Q5623" s="1"/>
      <c r="R5623" s="1"/>
      <c r="Z5623" s="103"/>
      <c r="AA5623" s="103"/>
      <c r="AB5623" s="1"/>
    </row>
    <row r="5624" spans="15:30">
      <c r="O5624" s="1"/>
      <c r="P5624" s="1"/>
      <c r="Q5624" s="1"/>
      <c r="R5624" s="1"/>
      <c r="Z5624" s="103"/>
      <c r="AA5624" s="103"/>
      <c r="AB5624" s="1"/>
    </row>
    <row r="5625" spans="15:30">
      <c r="O5625" s="1"/>
      <c r="P5625" s="1"/>
      <c r="Q5625" s="1"/>
      <c r="R5625" s="1"/>
      <c r="Z5625" s="103"/>
      <c r="AA5625" s="103"/>
      <c r="AB5625" s="1"/>
    </row>
    <row r="5626" spans="15:30">
      <c r="O5626" s="1"/>
      <c r="P5626" s="1"/>
      <c r="Q5626" s="1"/>
      <c r="R5626" s="1"/>
      <c r="Z5626" s="103"/>
      <c r="AA5626" s="103"/>
      <c r="AB5626" s="1"/>
    </row>
    <row r="5627" spans="15:30">
      <c r="O5627" s="1"/>
      <c r="P5627" s="1"/>
      <c r="Q5627" s="1"/>
      <c r="R5627" s="1"/>
      <c r="Z5627" s="103"/>
      <c r="AA5627" s="103"/>
      <c r="AB5627" s="1"/>
    </row>
    <row r="5628" spans="15:30">
      <c r="O5628" s="1"/>
      <c r="P5628" s="1"/>
      <c r="Q5628" s="1"/>
      <c r="R5628" s="1"/>
      <c r="Z5628" s="103"/>
      <c r="AA5628" s="103"/>
      <c r="AB5628" s="1"/>
    </row>
    <row r="5629" spans="15:30">
      <c r="O5629" s="1"/>
      <c r="P5629" s="1"/>
      <c r="Q5629" s="1"/>
      <c r="R5629" s="1"/>
      <c r="Z5629" s="103"/>
      <c r="AA5629" s="103"/>
      <c r="AB5629" s="1"/>
    </row>
    <row r="5630" spans="15:30">
      <c r="O5630" s="1"/>
      <c r="P5630" s="1"/>
      <c r="Q5630" s="1"/>
      <c r="R5630" s="1"/>
      <c r="Z5630" s="103"/>
      <c r="AA5630" s="103"/>
      <c r="AB5630" s="1"/>
    </row>
    <row r="5631" spans="15:30">
      <c r="O5631" s="1"/>
      <c r="P5631" s="1"/>
      <c r="Q5631" s="1"/>
      <c r="R5631" s="1"/>
      <c r="Z5631" s="103"/>
      <c r="AA5631" s="103"/>
      <c r="AB5631" s="1"/>
    </row>
    <row r="5632" spans="15:30">
      <c r="O5632" s="1"/>
      <c r="P5632" s="1"/>
      <c r="Q5632" s="1"/>
      <c r="R5632" s="1"/>
      <c r="Z5632" s="103"/>
      <c r="AA5632" s="103"/>
      <c r="AB5632" s="1"/>
    </row>
    <row r="5633" spans="15:28">
      <c r="O5633" s="1"/>
      <c r="P5633" s="1"/>
      <c r="Q5633" s="1"/>
      <c r="R5633" s="1"/>
      <c r="Z5633" s="103"/>
      <c r="AA5633" s="103"/>
      <c r="AB5633" s="1"/>
    </row>
    <row r="5634" spans="15:28">
      <c r="O5634" s="1"/>
      <c r="P5634" s="1"/>
      <c r="Q5634" s="1"/>
      <c r="R5634" s="1"/>
      <c r="Z5634" s="103"/>
      <c r="AA5634" s="103"/>
      <c r="AB5634" s="1"/>
    </row>
    <row r="5635" spans="15:28">
      <c r="O5635" s="1"/>
      <c r="P5635" s="1"/>
      <c r="Q5635" s="1"/>
      <c r="R5635" s="1"/>
      <c r="Z5635" s="103"/>
      <c r="AA5635" s="103"/>
      <c r="AB5635" s="1"/>
    </row>
    <row r="5636" spans="15:28">
      <c r="O5636" s="1"/>
      <c r="P5636" s="1"/>
      <c r="Q5636" s="1"/>
      <c r="R5636" s="1"/>
      <c r="Z5636" s="103"/>
      <c r="AA5636" s="103"/>
      <c r="AB5636" s="1"/>
    </row>
    <row r="5637" spans="15:28">
      <c r="O5637" s="1"/>
      <c r="P5637" s="1"/>
      <c r="Q5637" s="1"/>
      <c r="R5637" s="1"/>
      <c r="Z5637" s="103"/>
      <c r="AA5637" s="103"/>
      <c r="AB5637" s="1"/>
    </row>
    <row r="5638" spans="15:28">
      <c r="O5638" s="1"/>
      <c r="P5638" s="1"/>
      <c r="Q5638" s="1"/>
      <c r="R5638" s="1"/>
      <c r="Z5638" s="103"/>
      <c r="AA5638" s="103"/>
      <c r="AB5638" s="1"/>
    </row>
    <row r="5639" spans="15:28">
      <c r="O5639" s="1"/>
      <c r="P5639" s="1"/>
      <c r="Q5639" s="1"/>
      <c r="R5639" s="1"/>
      <c r="Z5639" s="103"/>
      <c r="AA5639" s="103"/>
      <c r="AB5639" s="1"/>
    </row>
    <row r="5640" spans="15:28">
      <c r="O5640" s="1"/>
      <c r="P5640" s="1"/>
      <c r="Q5640" s="1"/>
      <c r="R5640" s="1"/>
      <c r="Z5640" s="103"/>
      <c r="AA5640" s="103"/>
      <c r="AB5640" s="1"/>
    </row>
    <row r="5641" spans="15:28">
      <c r="O5641" s="1"/>
      <c r="P5641" s="1"/>
      <c r="Q5641" s="1"/>
      <c r="R5641" s="1"/>
      <c r="Z5641" s="103"/>
      <c r="AA5641" s="103"/>
      <c r="AB5641" s="1"/>
    </row>
    <row r="5642" spans="15:28">
      <c r="O5642" s="1"/>
      <c r="P5642" s="1"/>
      <c r="Q5642" s="1"/>
      <c r="R5642" s="1"/>
      <c r="Z5642" s="103"/>
      <c r="AA5642" s="103"/>
      <c r="AB5642" s="1"/>
    </row>
    <row r="5643" spans="15:28">
      <c r="O5643" s="1"/>
      <c r="P5643" s="1"/>
      <c r="Q5643" s="1"/>
      <c r="R5643" s="1"/>
      <c r="Z5643" s="103"/>
      <c r="AA5643" s="103"/>
      <c r="AB5643" s="1"/>
    </row>
    <row r="5644" spans="15:28">
      <c r="O5644" s="1"/>
      <c r="P5644" s="1"/>
      <c r="Q5644" s="1"/>
      <c r="R5644" s="1"/>
      <c r="Z5644" s="103"/>
      <c r="AA5644" s="103"/>
      <c r="AB5644" s="1"/>
    </row>
    <row r="5645" spans="15:28">
      <c r="O5645" s="1"/>
      <c r="P5645" s="1"/>
      <c r="Q5645" s="1"/>
      <c r="R5645" s="1"/>
      <c r="Z5645" s="103"/>
      <c r="AA5645" s="103"/>
      <c r="AB5645" s="1"/>
    </row>
    <row r="5646" spans="15:28">
      <c r="O5646" s="1"/>
      <c r="P5646" s="1"/>
      <c r="Q5646" s="1"/>
      <c r="R5646" s="1"/>
      <c r="Z5646" s="103"/>
      <c r="AA5646" s="103"/>
      <c r="AB5646" s="1"/>
    </row>
    <row r="5647" spans="15:28">
      <c r="O5647" s="1"/>
      <c r="P5647" s="1"/>
      <c r="Q5647" s="1"/>
      <c r="R5647" s="1"/>
      <c r="Z5647" s="103"/>
      <c r="AA5647" s="103"/>
      <c r="AB5647" s="1"/>
    </row>
    <row r="5648" spans="15:28">
      <c r="O5648" s="1"/>
      <c r="P5648" s="1"/>
      <c r="Q5648" s="1"/>
      <c r="R5648" s="1"/>
      <c r="Z5648" s="103"/>
      <c r="AA5648" s="103"/>
      <c r="AB5648" s="1"/>
    </row>
    <row r="5649" spans="15:30">
      <c r="O5649" s="1"/>
      <c r="P5649" s="1"/>
      <c r="Q5649" s="1"/>
      <c r="R5649" s="1"/>
      <c r="Z5649" s="103"/>
      <c r="AA5649" s="103"/>
      <c r="AB5649" s="1"/>
    </row>
    <row r="5650" spans="15:30">
      <c r="O5650" s="1"/>
      <c r="P5650" s="1"/>
      <c r="Q5650" s="1"/>
      <c r="R5650" s="1"/>
      <c r="Z5650" s="103"/>
      <c r="AA5650" s="103"/>
      <c r="AB5650" s="1"/>
    </row>
    <row r="5651" spans="15:30">
      <c r="O5651" s="1"/>
      <c r="P5651" s="1"/>
      <c r="Q5651" s="1"/>
      <c r="R5651" s="1"/>
      <c r="Z5651" s="103"/>
      <c r="AA5651" s="103"/>
      <c r="AB5651" s="1"/>
    </row>
    <row r="5652" spans="15:30">
      <c r="O5652" s="1"/>
      <c r="P5652" s="1"/>
      <c r="Q5652" s="1"/>
      <c r="R5652" s="1"/>
      <c r="Z5652" s="103"/>
      <c r="AA5652" s="103"/>
      <c r="AB5652" s="1"/>
    </row>
    <row r="5653" spans="15:30">
      <c r="O5653" s="1"/>
      <c r="P5653" s="1"/>
      <c r="Q5653" s="1"/>
      <c r="R5653" s="1"/>
      <c r="Z5653" s="103"/>
      <c r="AA5653" s="103"/>
      <c r="AB5653" s="1"/>
    </row>
    <row r="5654" spans="15:30">
      <c r="O5654" s="1"/>
      <c r="P5654" s="1"/>
      <c r="Q5654" s="1"/>
      <c r="R5654" s="1"/>
      <c r="Z5654" s="103"/>
      <c r="AA5654" s="103"/>
      <c r="AB5654" s="1"/>
    </row>
    <row r="5655" spans="15:30">
      <c r="O5655" s="1"/>
      <c r="P5655" s="1"/>
      <c r="Q5655" s="1"/>
      <c r="R5655" s="1"/>
      <c r="Z5655" s="103"/>
      <c r="AA5655" s="103"/>
      <c r="AB5655" s="1"/>
    </row>
    <row r="5656" spans="15:30">
      <c r="O5656" s="1"/>
      <c r="P5656" s="1"/>
      <c r="Q5656" s="1"/>
      <c r="R5656" s="1"/>
      <c r="Z5656" s="103"/>
      <c r="AA5656" s="103"/>
      <c r="AB5656" s="1"/>
    </row>
    <row r="5657" spans="15:30">
      <c r="O5657" s="1"/>
      <c r="P5657" s="1"/>
      <c r="Q5657" s="1"/>
      <c r="R5657" s="1"/>
      <c r="Z5657" s="103"/>
      <c r="AA5657" s="103"/>
      <c r="AB5657" s="1"/>
    </row>
    <row r="5658" spans="15:30">
      <c r="O5658" s="1"/>
      <c r="P5658" s="1"/>
      <c r="Q5658" s="1"/>
      <c r="R5658" s="1"/>
      <c r="Z5658" s="103"/>
      <c r="AA5658" s="103"/>
      <c r="AB5658" s="1"/>
      <c r="AD5658" s="102"/>
    </row>
    <row r="5659" spans="15:30">
      <c r="O5659" s="1"/>
      <c r="P5659" s="1"/>
      <c r="Q5659" s="1"/>
      <c r="R5659" s="1"/>
      <c r="Z5659" s="103"/>
      <c r="AA5659" s="103"/>
      <c r="AB5659" s="1"/>
    </row>
    <row r="5660" spans="15:30">
      <c r="O5660" s="1"/>
      <c r="P5660" s="1"/>
      <c r="Q5660" s="1"/>
      <c r="R5660" s="1"/>
      <c r="Z5660" s="103"/>
      <c r="AA5660" s="103"/>
      <c r="AB5660" s="1"/>
    </row>
    <row r="5661" spans="15:30">
      <c r="O5661" s="1"/>
      <c r="P5661" s="1"/>
      <c r="Q5661" s="1"/>
      <c r="R5661" s="1"/>
      <c r="Z5661" s="103"/>
      <c r="AA5661" s="103"/>
      <c r="AB5661" s="1"/>
    </row>
    <row r="5662" spans="15:30">
      <c r="O5662" s="1"/>
      <c r="P5662" s="1"/>
      <c r="Q5662" s="1"/>
      <c r="R5662" s="1"/>
      <c r="Z5662" s="103"/>
      <c r="AA5662" s="103"/>
      <c r="AB5662" s="1"/>
    </row>
    <row r="5663" spans="15:30">
      <c r="O5663" s="1"/>
      <c r="P5663" s="1"/>
      <c r="Q5663" s="1"/>
      <c r="R5663" s="1"/>
      <c r="Z5663" s="103"/>
      <c r="AA5663" s="103"/>
      <c r="AB5663" s="1"/>
    </row>
    <row r="5664" spans="15:30">
      <c r="O5664" s="1"/>
      <c r="P5664" s="1"/>
      <c r="Q5664" s="1"/>
      <c r="R5664" s="1"/>
      <c r="Z5664" s="103"/>
      <c r="AA5664" s="103"/>
      <c r="AB5664" s="1"/>
    </row>
    <row r="5665" spans="15:28">
      <c r="O5665" s="1"/>
      <c r="P5665" s="1"/>
      <c r="Q5665" s="1"/>
      <c r="R5665" s="1"/>
      <c r="Z5665" s="103"/>
      <c r="AA5665" s="103"/>
      <c r="AB5665" s="1"/>
    </row>
    <row r="5666" spans="15:28">
      <c r="O5666" s="1"/>
      <c r="P5666" s="1"/>
      <c r="Q5666" s="1"/>
      <c r="R5666" s="1"/>
      <c r="Z5666" s="103"/>
      <c r="AA5666" s="103"/>
      <c r="AB5666" s="1"/>
    </row>
    <row r="5667" spans="15:28">
      <c r="O5667" s="1"/>
      <c r="P5667" s="1"/>
      <c r="Q5667" s="1"/>
      <c r="R5667" s="1"/>
      <c r="Z5667" s="103"/>
      <c r="AA5667" s="103"/>
      <c r="AB5667" s="1"/>
    </row>
    <row r="5668" spans="15:28">
      <c r="O5668" s="1"/>
      <c r="P5668" s="1"/>
      <c r="Q5668" s="1"/>
      <c r="R5668" s="1"/>
      <c r="Z5668" s="103"/>
      <c r="AA5668" s="103"/>
      <c r="AB5668" s="1"/>
    </row>
    <row r="5669" spans="15:28">
      <c r="O5669" s="1"/>
      <c r="P5669" s="1"/>
      <c r="Q5669" s="1"/>
      <c r="R5669" s="1"/>
      <c r="Z5669" s="103"/>
      <c r="AA5669" s="103"/>
      <c r="AB5669" s="1"/>
    </row>
    <row r="5670" spans="15:28">
      <c r="O5670" s="1"/>
      <c r="P5670" s="1"/>
      <c r="Q5670" s="1"/>
      <c r="R5670" s="1"/>
      <c r="Z5670" s="103"/>
      <c r="AA5670" s="103"/>
      <c r="AB5670" s="1"/>
    </row>
    <row r="5671" spans="15:28">
      <c r="O5671" s="1"/>
      <c r="P5671" s="1"/>
      <c r="Q5671" s="1"/>
      <c r="R5671" s="1"/>
      <c r="Z5671" s="103"/>
      <c r="AA5671" s="103"/>
      <c r="AB5671" s="1"/>
    </row>
    <row r="5672" spans="15:28">
      <c r="O5672" s="1"/>
      <c r="P5672" s="1"/>
      <c r="Q5672" s="1"/>
      <c r="R5672" s="1"/>
      <c r="Z5672" s="103"/>
      <c r="AA5672" s="103"/>
      <c r="AB5672" s="1"/>
    </row>
    <row r="5673" spans="15:28">
      <c r="O5673" s="1"/>
      <c r="P5673" s="1"/>
      <c r="Q5673" s="1"/>
      <c r="R5673" s="1"/>
      <c r="Z5673" s="103"/>
      <c r="AA5673" s="103"/>
      <c r="AB5673" s="1"/>
    </row>
    <row r="5674" spans="15:28">
      <c r="O5674" s="1"/>
      <c r="P5674" s="1"/>
      <c r="Q5674" s="1"/>
      <c r="R5674" s="1"/>
      <c r="Z5674" s="103"/>
      <c r="AA5674" s="103"/>
      <c r="AB5674" s="1"/>
    </row>
    <row r="5675" spans="15:28">
      <c r="O5675" s="1"/>
      <c r="P5675" s="1"/>
      <c r="Q5675" s="1"/>
      <c r="R5675" s="1"/>
      <c r="Z5675" s="103"/>
      <c r="AA5675" s="103"/>
      <c r="AB5675" s="1"/>
    </row>
    <row r="5676" spans="15:28">
      <c r="O5676" s="1"/>
      <c r="P5676" s="1"/>
      <c r="Q5676" s="1"/>
      <c r="R5676" s="1"/>
      <c r="Z5676" s="103"/>
      <c r="AA5676" s="103"/>
      <c r="AB5676" s="1"/>
    </row>
    <row r="5677" spans="15:28">
      <c r="O5677" s="1"/>
      <c r="P5677" s="1"/>
      <c r="Q5677" s="1"/>
      <c r="R5677" s="1"/>
      <c r="Z5677" s="103"/>
      <c r="AA5677" s="103"/>
      <c r="AB5677" s="1"/>
    </row>
    <row r="5678" spans="15:28">
      <c r="O5678" s="1"/>
      <c r="P5678" s="1"/>
      <c r="Q5678" s="1"/>
      <c r="R5678" s="1"/>
      <c r="Z5678" s="103"/>
      <c r="AA5678" s="103"/>
      <c r="AB5678" s="1"/>
    </row>
    <row r="5679" spans="15:28">
      <c r="O5679" s="1"/>
      <c r="P5679" s="1"/>
      <c r="Q5679" s="1"/>
      <c r="R5679" s="1"/>
      <c r="Z5679" s="103"/>
      <c r="AA5679" s="103"/>
      <c r="AB5679" s="1"/>
    </row>
    <row r="5680" spans="15:28">
      <c r="O5680" s="1"/>
      <c r="P5680" s="1"/>
      <c r="Q5680" s="1"/>
      <c r="R5680" s="1"/>
      <c r="Z5680" s="103"/>
      <c r="AA5680" s="103"/>
      <c r="AB5680" s="1"/>
    </row>
    <row r="5681" spans="15:28">
      <c r="O5681" s="1"/>
      <c r="P5681" s="1"/>
      <c r="Q5681" s="1"/>
      <c r="R5681" s="1"/>
      <c r="Z5681" s="103"/>
      <c r="AA5681" s="103"/>
      <c r="AB5681" s="1"/>
    </row>
    <row r="5682" spans="15:28">
      <c r="O5682" s="1"/>
      <c r="P5682" s="1"/>
      <c r="Q5682" s="1"/>
      <c r="R5682" s="1"/>
      <c r="Z5682" s="103"/>
      <c r="AA5682" s="103"/>
      <c r="AB5682" s="1"/>
    </row>
    <row r="5683" spans="15:28">
      <c r="O5683" s="1"/>
      <c r="P5683" s="1"/>
      <c r="Q5683" s="1"/>
      <c r="R5683" s="1"/>
      <c r="Z5683" s="103"/>
      <c r="AA5683" s="103"/>
      <c r="AB5683" s="1"/>
    </row>
    <row r="5684" spans="15:28">
      <c r="O5684" s="1"/>
      <c r="P5684" s="1"/>
      <c r="Q5684" s="1"/>
      <c r="R5684" s="1"/>
      <c r="Z5684" s="103"/>
      <c r="AA5684" s="103"/>
      <c r="AB5684" s="1"/>
    </row>
    <row r="5685" spans="15:28">
      <c r="O5685" s="1"/>
      <c r="P5685" s="1"/>
      <c r="Q5685" s="1"/>
      <c r="R5685" s="1"/>
      <c r="Z5685" s="103"/>
      <c r="AA5685" s="103"/>
      <c r="AB5685" s="1"/>
    </row>
    <row r="5686" spans="15:28">
      <c r="O5686" s="1"/>
      <c r="P5686" s="1"/>
      <c r="Q5686" s="1"/>
      <c r="R5686" s="1"/>
      <c r="Z5686" s="103"/>
      <c r="AA5686" s="103"/>
      <c r="AB5686" s="1"/>
    </row>
    <row r="5687" spans="15:28">
      <c r="O5687" s="1"/>
      <c r="P5687" s="1"/>
      <c r="Q5687" s="1"/>
      <c r="R5687" s="1"/>
      <c r="Z5687" s="103"/>
      <c r="AA5687" s="103"/>
      <c r="AB5687" s="1"/>
    </row>
    <row r="5688" spans="15:28">
      <c r="O5688" s="1"/>
      <c r="P5688" s="1"/>
      <c r="Q5688" s="1"/>
      <c r="R5688" s="1"/>
      <c r="Z5688" s="103"/>
      <c r="AA5688" s="103"/>
      <c r="AB5688" s="1"/>
    </row>
    <row r="5689" spans="15:28">
      <c r="O5689" s="1"/>
      <c r="P5689" s="1"/>
      <c r="Q5689" s="1"/>
      <c r="R5689" s="1"/>
      <c r="Z5689" s="103"/>
      <c r="AA5689" s="103"/>
      <c r="AB5689" s="1"/>
    </row>
    <row r="5690" spans="15:28">
      <c r="O5690" s="1"/>
      <c r="P5690" s="1"/>
      <c r="Q5690" s="1"/>
      <c r="R5690" s="1"/>
      <c r="Z5690" s="103"/>
      <c r="AA5690" s="103"/>
      <c r="AB5690" s="1"/>
    </row>
    <row r="5691" spans="15:28">
      <c r="O5691" s="1"/>
      <c r="P5691" s="1"/>
      <c r="Q5691" s="1"/>
      <c r="R5691" s="1"/>
      <c r="Z5691" s="103"/>
      <c r="AA5691" s="103"/>
      <c r="AB5691" s="1"/>
    </row>
    <row r="5692" spans="15:28">
      <c r="O5692" s="1"/>
      <c r="P5692" s="1"/>
      <c r="Q5692" s="1"/>
      <c r="R5692" s="1"/>
      <c r="Z5692" s="103"/>
      <c r="AA5692" s="103"/>
      <c r="AB5692" s="1"/>
    </row>
    <row r="5693" spans="15:28">
      <c r="O5693" s="1"/>
      <c r="P5693" s="1"/>
      <c r="Q5693" s="1"/>
      <c r="R5693" s="1"/>
      <c r="Z5693" s="103"/>
      <c r="AA5693" s="103"/>
      <c r="AB5693" s="1"/>
    </row>
    <row r="5694" spans="15:28">
      <c r="O5694" s="1"/>
      <c r="P5694" s="1"/>
      <c r="Q5694" s="1"/>
      <c r="R5694" s="1"/>
      <c r="Z5694" s="103"/>
      <c r="AA5694" s="103"/>
      <c r="AB5694" s="1"/>
    </row>
    <row r="5695" spans="15:28">
      <c r="O5695" s="1"/>
      <c r="P5695" s="1"/>
      <c r="Q5695" s="1"/>
      <c r="R5695" s="1"/>
      <c r="Z5695" s="103"/>
      <c r="AA5695" s="103"/>
      <c r="AB5695" s="1"/>
    </row>
    <row r="5696" spans="15:28">
      <c r="O5696" s="1"/>
      <c r="P5696" s="1"/>
      <c r="Q5696" s="1"/>
      <c r="R5696" s="1"/>
      <c r="Z5696" s="103"/>
      <c r="AA5696" s="103"/>
      <c r="AB5696" s="1"/>
    </row>
    <row r="5697" spans="15:30">
      <c r="O5697" s="1"/>
      <c r="P5697" s="1"/>
      <c r="Q5697" s="1"/>
      <c r="R5697" s="1"/>
      <c r="Z5697" s="103"/>
      <c r="AA5697" s="103"/>
      <c r="AB5697" s="1"/>
    </row>
    <row r="5698" spans="15:30">
      <c r="O5698" s="1"/>
      <c r="P5698" s="1"/>
      <c r="Q5698" s="1"/>
      <c r="R5698" s="1"/>
      <c r="Z5698" s="103"/>
      <c r="AA5698" s="103"/>
      <c r="AB5698" s="1"/>
    </row>
    <row r="5699" spans="15:30">
      <c r="O5699" s="1"/>
      <c r="P5699" s="1"/>
      <c r="Q5699" s="1"/>
      <c r="R5699" s="1"/>
      <c r="Z5699" s="103"/>
      <c r="AA5699" s="103"/>
      <c r="AB5699" s="1"/>
    </row>
    <row r="5700" spans="15:30">
      <c r="O5700" s="1"/>
      <c r="P5700" s="1"/>
      <c r="Q5700" s="1"/>
      <c r="R5700" s="1"/>
      <c r="Z5700" s="103"/>
      <c r="AA5700" s="103"/>
      <c r="AB5700" s="1"/>
      <c r="AD5700" s="102"/>
    </row>
    <row r="5701" spans="15:30">
      <c r="O5701" s="1"/>
      <c r="P5701" s="1"/>
      <c r="Q5701" s="1"/>
      <c r="R5701" s="1"/>
      <c r="Z5701" s="103"/>
      <c r="AA5701" s="103"/>
      <c r="AB5701" s="1"/>
    </row>
    <row r="5702" spans="15:30">
      <c r="O5702" s="1"/>
      <c r="P5702" s="1"/>
      <c r="Q5702" s="1"/>
      <c r="R5702" s="1"/>
      <c r="Z5702" s="103"/>
      <c r="AA5702" s="103"/>
      <c r="AB5702" s="1"/>
    </row>
    <row r="5703" spans="15:30">
      <c r="O5703" s="1"/>
      <c r="P5703" s="1"/>
      <c r="Q5703" s="1"/>
      <c r="R5703" s="1"/>
      <c r="Z5703" s="103"/>
      <c r="AA5703" s="103"/>
      <c r="AB5703" s="1"/>
    </row>
    <row r="5704" spans="15:30">
      <c r="O5704" s="1"/>
      <c r="P5704" s="1"/>
      <c r="Q5704" s="1"/>
      <c r="R5704" s="1"/>
      <c r="Z5704" s="103"/>
      <c r="AA5704" s="103"/>
      <c r="AB5704" s="1"/>
      <c r="AD5704" s="102"/>
    </row>
    <row r="5705" spans="15:30">
      <c r="O5705" s="1"/>
      <c r="P5705" s="1"/>
      <c r="Q5705" s="1"/>
      <c r="R5705" s="1"/>
      <c r="Z5705" s="103"/>
      <c r="AA5705" s="103"/>
      <c r="AB5705" s="1"/>
    </row>
    <row r="5706" spans="15:30">
      <c r="O5706" s="1"/>
      <c r="P5706" s="1"/>
      <c r="Q5706" s="1"/>
      <c r="R5706" s="1"/>
      <c r="Z5706" s="103"/>
      <c r="AA5706" s="103"/>
      <c r="AB5706" s="1"/>
    </row>
    <row r="5707" spans="15:30">
      <c r="O5707" s="1"/>
      <c r="P5707" s="1"/>
      <c r="Q5707" s="1"/>
      <c r="R5707" s="1"/>
      <c r="Z5707" s="103"/>
      <c r="AA5707" s="103"/>
      <c r="AB5707" s="1"/>
    </row>
    <row r="5708" spans="15:30">
      <c r="O5708" s="1"/>
      <c r="P5708" s="1"/>
      <c r="Q5708" s="1"/>
      <c r="R5708" s="1"/>
      <c r="Z5708" s="103"/>
      <c r="AA5708" s="103"/>
      <c r="AB5708" s="1"/>
    </row>
    <row r="5709" spans="15:30">
      <c r="O5709" s="1"/>
      <c r="P5709" s="1"/>
      <c r="Q5709" s="1"/>
      <c r="R5709" s="1"/>
      <c r="Z5709" s="103"/>
      <c r="AA5709" s="103"/>
      <c r="AB5709" s="1"/>
    </row>
    <row r="5710" spans="15:30">
      <c r="O5710" s="1"/>
      <c r="P5710" s="1"/>
      <c r="Q5710" s="1"/>
      <c r="R5710" s="1"/>
      <c r="Z5710" s="103"/>
      <c r="AA5710" s="103"/>
      <c r="AB5710" s="1"/>
    </row>
    <row r="5711" spans="15:30">
      <c r="O5711" s="1"/>
      <c r="P5711" s="1"/>
      <c r="Q5711" s="1"/>
      <c r="R5711" s="1"/>
      <c r="Z5711" s="103"/>
      <c r="AA5711" s="103"/>
      <c r="AB5711" s="1"/>
    </row>
    <row r="5712" spans="15:30">
      <c r="O5712" s="1"/>
      <c r="P5712" s="1"/>
      <c r="Q5712" s="1"/>
      <c r="R5712" s="1"/>
      <c r="Z5712" s="103"/>
      <c r="AA5712" s="103"/>
      <c r="AB5712" s="1"/>
    </row>
    <row r="5713" spans="15:30">
      <c r="O5713" s="1"/>
      <c r="P5713" s="1"/>
      <c r="Q5713" s="1"/>
      <c r="R5713" s="1"/>
      <c r="Z5713" s="103"/>
      <c r="AA5713" s="103"/>
      <c r="AB5713" s="1"/>
    </row>
    <row r="5714" spans="15:30">
      <c r="O5714" s="1"/>
      <c r="P5714" s="1"/>
      <c r="Q5714" s="1"/>
      <c r="R5714" s="1"/>
      <c r="Z5714" s="103"/>
      <c r="AA5714" s="103"/>
      <c r="AB5714" s="1"/>
    </row>
    <row r="5715" spans="15:30">
      <c r="O5715" s="1"/>
      <c r="P5715" s="1"/>
      <c r="Q5715" s="1"/>
      <c r="R5715" s="1"/>
      <c r="Z5715" s="103"/>
      <c r="AA5715" s="103"/>
      <c r="AB5715" s="1"/>
    </row>
    <row r="5716" spans="15:30">
      <c r="O5716" s="1"/>
      <c r="P5716" s="1"/>
      <c r="Q5716" s="1"/>
      <c r="R5716" s="1"/>
      <c r="Z5716" s="103"/>
      <c r="AA5716" s="103"/>
      <c r="AB5716" s="1"/>
    </row>
    <row r="5717" spans="15:30">
      <c r="O5717" s="1"/>
      <c r="P5717" s="1"/>
      <c r="Q5717" s="1"/>
      <c r="R5717" s="1"/>
      <c r="Z5717" s="103"/>
      <c r="AA5717" s="103"/>
      <c r="AB5717" s="1"/>
    </row>
    <row r="5718" spans="15:30">
      <c r="O5718" s="1"/>
      <c r="P5718" s="1"/>
      <c r="Q5718" s="1"/>
      <c r="R5718" s="1"/>
      <c r="Z5718" s="103"/>
      <c r="AA5718" s="103"/>
      <c r="AB5718" s="1"/>
    </row>
    <row r="5719" spans="15:30">
      <c r="O5719" s="1"/>
      <c r="P5719" s="1"/>
      <c r="Q5719" s="1"/>
      <c r="R5719" s="1"/>
      <c r="Z5719" s="103"/>
      <c r="AA5719" s="103"/>
      <c r="AB5719" s="1"/>
    </row>
    <row r="5720" spans="15:30">
      <c r="O5720" s="1"/>
      <c r="P5720" s="1"/>
      <c r="Q5720" s="1"/>
      <c r="R5720" s="1"/>
      <c r="Z5720" s="103"/>
      <c r="AA5720" s="103"/>
      <c r="AB5720" s="1"/>
    </row>
    <row r="5721" spans="15:30">
      <c r="O5721" s="1"/>
      <c r="P5721" s="1"/>
      <c r="Q5721" s="1"/>
      <c r="R5721" s="1"/>
      <c r="Z5721" s="103"/>
      <c r="AA5721" s="103"/>
      <c r="AB5721" s="1"/>
    </row>
    <row r="5722" spans="15:30">
      <c r="O5722" s="1"/>
      <c r="P5722" s="1"/>
      <c r="Q5722" s="1"/>
      <c r="R5722" s="1"/>
      <c r="Z5722" s="103"/>
      <c r="AA5722" s="103"/>
      <c r="AB5722" s="1"/>
    </row>
    <row r="5723" spans="15:30">
      <c r="O5723" s="1"/>
      <c r="P5723" s="1"/>
      <c r="Q5723" s="1"/>
      <c r="R5723" s="1"/>
      <c r="Z5723" s="103"/>
      <c r="AA5723" s="103"/>
      <c r="AB5723" s="1"/>
    </row>
    <row r="5724" spans="15:30">
      <c r="O5724" s="1"/>
      <c r="P5724" s="1"/>
      <c r="Q5724" s="1"/>
      <c r="R5724" s="1"/>
      <c r="Z5724" s="103"/>
      <c r="AA5724" s="103"/>
      <c r="AB5724" s="1"/>
    </row>
    <row r="5725" spans="15:30">
      <c r="O5725" s="1"/>
      <c r="P5725" s="1"/>
      <c r="Q5725" s="1"/>
      <c r="R5725" s="1"/>
      <c r="Z5725" s="103"/>
      <c r="AA5725" s="103"/>
      <c r="AB5725" s="1"/>
    </row>
    <row r="5726" spans="15:30">
      <c r="O5726" s="1"/>
      <c r="P5726" s="1"/>
      <c r="Q5726" s="1"/>
      <c r="R5726" s="1"/>
      <c r="Z5726" s="103"/>
      <c r="AA5726" s="103"/>
      <c r="AB5726" s="1"/>
      <c r="AD5726" s="102"/>
    </row>
    <row r="5727" spans="15:30">
      <c r="O5727" s="1"/>
      <c r="P5727" s="1"/>
      <c r="Q5727" s="1"/>
      <c r="R5727" s="1"/>
      <c r="Z5727" s="103"/>
      <c r="AA5727" s="103"/>
      <c r="AB5727" s="1"/>
    </row>
    <row r="5728" spans="15:30">
      <c r="O5728" s="1"/>
      <c r="P5728" s="1"/>
      <c r="Q5728" s="1"/>
      <c r="R5728" s="1"/>
      <c r="Z5728" s="103"/>
      <c r="AA5728" s="103"/>
      <c r="AB5728" s="1"/>
    </row>
    <row r="5729" spans="15:28">
      <c r="O5729" s="1"/>
      <c r="P5729" s="1"/>
      <c r="Q5729" s="1"/>
      <c r="R5729" s="1"/>
      <c r="Z5729" s="103"/>
      <c r="AA5729" s="103"/>
      <c r="AB5729" s="1"/>
    </row>
    <row r="5730" spans="15:28">
      <c r="O5730" s="1"/>
      <c r="P5730" s="1"/>
      <c r="Q5730" s="1"/>
      <c r="R5730" s="1"/>
      <c r="Z5730" s="103"/>
      <c r="AA5730" s="103"/>
      <c r="AB5730" s="1"/>
    </row>
    <row r="5731" spans="15:28">
      <c r="O5731" s="1"/>
      <c r="P5731" s="1"/>
      <c r="Q5731" s="1"/>
      <c r="R5731" s="1"/>
      <c r="Z5731" s="103"/>
      <c r="AA5731" s="103"/>
      <c r="AB5731" s="1"/>
    </row>
    <row r="5732" spans="15:28">
      <c r="O5732" s="1"/>
      <c r="P5732" s="1"/>
      <c r="Q5732" s="1"/>
      <c r="R5732" s="1"/>
      <c r="Z5732" s="103"/>
      <c r="AA5732" s="103"/>
      <c r="AB5732" s="1"/>
    </row>
    <row r="5733" spans="15:28">
      <c r="O5733" s="1"/>
      <c r="P5733" s="1"/>
      <c r="Q5733" s="1"/>
      <c r="R5733" s="1"/>
      <c r="Z5733" s="103"/>
      <c r="AA5733" s="103"/>
      <c r="AB5733" s="1"/>
    </row>
    <row r="5734" spans="15:28">
      <c r="O5734" s="1"/>
      <c r="P5734" s="1"/>
      <c r="Q5734" s="1"/>
      <c r="R5734" s="1"/>
      <c r="Z5734" s="103"/>
      <c r="AA5734" s="103"/>
      <c r="AB5734" s="1"/>
    </row>
    <row r="5735" spans="15:28">
      <c r="O5735" s="1"/>
      <c r="P5735" s="1"/>
      <c r="Q5735" s="1"/>
      <c r="R5735" s="1"/>
      <c r="Z5735" s="103"/>
      <c r="AA5735" s="103"/>
      <c r="AB5735" s="1"/>
    </row>
    <row r="5736" spans="15:28">
      <c r="O5736" s="1"/>
      <c r="P5736" s="1"/>
      <c r="Q5736" s="1"/>
      <c r="R5736" s="1"/>
      <c r="Z5736" s="103"/>
      <c r="AA5736" s="103"/>
      <c r="AB5736" s="1"/>
    </row>
    <row r="5737" spans="15:28">
      <c r="O5737" s="1"/>
      <c r="P5737" s="1"/>
      <c r="Q5737" s="1"/>
      <c r="R5737" s="1"/>
      <c r="Z5737" s="103"/>
      <c r="AA5737" s="103"/>
      <c r="AB5737" s="1"/>
    </row>
    <row r="5738" spans="15:28">
      <c r="O5738" s="1"/>
      <c r="P5738" s="1"/>
      <c r="Q5738" s="1"/>
      <c r="R5738" s="1"/>
      <c r="Z5738" s="103"/>
      <c r="AA5738" s="103"/>
      <c r="AB5738" s="1"/>
    </row>
    <row r="5739" spans="15:28">
      <c r="O5739" s="1"/>
      <c r="P5739" s="1"/>
      <c r="Q5739" s="1"/>
      <c r="R5739" s="1"/>
      <c r="Z5739" s="103"/>
      <c r="AA5739" s="103"/>
      <c r="AB5739" s="1"/>
    </row>
    <row r="5740" spans="15:28">
      <c r="O5740" s="1"/>
      <c r="P5740" s="1"/>
      <c r="Q5740" s="1"/>
      <c r="R5740" s="1"/>
      <c r="Z5740" s="103"/>
      <c r="AA5740" s="103"/>
      <c r="AB5740" s="1"/>
    </row>
    <row r="5741" spans="15:28">
      <c r="O5741" s="1"/>
      <c r="P5741" s="1"/>
      <c r="Q5741" s="1"/>
      <c r="R5741" s="1"/>
      <c r="Z5741" s="103"/>
      <c r="AA5741" s="103"/>
      <c r="AB5741" s="1"/>
    </row>
    <row r="5742" spans="15:28">
      <c r="O5742" s="1"/>
      <c r="P5742" s="1"/>
      <c r="Q5742" s="1"/>
      <c r="R5742" s="1"/>
      <c r="Z5742" s="103"/>
      <c r="AA5742" s="103"/>
      <c r="AB5742" s="1"/>
    </row>
    <row r="5743" spans="15:28">
      <c r="O5743" s="1"/>
      <c r="P5743" s="1"/>
      <c r="Q5743" s="1"/>
      <c r="R5743" s="1"/>
      <c r="Z5743" s="103"/>
      <c r="AA5743" s="103"/>
      <c r="AB5743" s="1"/>
    </row>
    <row r="5744" spans="15:28">
      <c r="O5744" s="1"/>
      <c r="P5744" s="1"/>
      <c r="Q5744" s="1"/>
      <c r="R5744" s="1"/>
      <c r="Z5744" s="103"/>
      <c r="AA5744" s="103"/>
      <c r="AB5744" s="1"/>
    </row>
    <row r="5745" spans="15:30">
      <c r="O5745" s="1"/>
      <c r="P5745" s="1"/>
      <c r="Q5745" s="1"/>
      <c r="R5745" s="1"/>
      <c r="Z5745" s="103"/>
      <c r="AA5745" s="103"/>
      <c r="AB5745" s="1"/>
    </row>
    <row r="5746" spans="15:30">
      <c r="O5746" s="1"/>
      <c r="P5746" s="1"/>
      <c r="Q5746" s="1"/>
      <c r="R5746" s="1"/>
      <c r="Z5746" s="103"/>
      <c r="AA5746" s="103"/>
      <c r="AB5746" s="1"/>
    </row>
    <row r="5747" spans="15:30">
      <c r="O5747" s="1"/>
      <c r="P5747" s="1"/>
      <c r="Q5747" s="1"/>
      <c r="R5747" s="1"/>
      <c r="Z5747" s="103"/>
      <c r="AA5747" s="103"/>
      <c r="AB5747" s="1"/>
    </row>
    <row r="5748" spans="15:30">
      <c r="O5748" s="1"/>
      <c r="P5748" s="1"/>
      <c r="Q5748" s="1"/>
      <c r="R5748" s="1"/>
      <c r="Z5748" s="103"/>
      <c r="AA5748" s="103"/>
      <c r="AB5748" s="1"/>
    </row>
    <row r="5749" spans="15:30">
      <c r="O5749" s="1"/>
      <c r="P5749" s="1"/>
      <c r="Q5749" s="1"/>
      <c r="R5749" s="1"/>
      <c r="Z5749" s="103"/>
      <c r="AA5749" s="103"/>
      <c r="AB5749" s="1"/>
    </row>
    <row r="5750" spans="15:30">
      <c r="O5750" s="1"/>
      <c r="P5750" s="1"/>
      <c r="Q5750" s="1"/>
      <c r="R5750" s="1"/>
      <c r="Z5750" s="103"/>
      <c r="AA5750" s="103"/>
      <c r="AB5750" s="1"/>
    </row>
    <row r="5751" spans="15:30">
      <c r="O5751" s="1"/>
      <c r="P5751" s="1"/>
      <c r="Q5751" s="1"/>
      <c r="R5751" s="1"/>
      <c r="Z5751" s="103"/>
      <c r="AA5751" s="103"/>
      <c r="AB5751" s="1"/>
    </row>
    <row r="5752" spans="15:30">
      <c r="O5752" s="1"/>
      <c r="P5752" s="1"/>
      <c r="Q5752" s="1"/>
      <c r="R5752" s="1"/>
      <c r="Z5752" s="103"/>
      <c r="AA5752" s="103"/>
      <c r="AB5752" s="1"/>
    </row>
    <row r="5753" spans="15:30">
      <c r="O5753" s="1"/>
      <c r="P5753" s="1"/>
      <c r="Q5753" s="1"/>
      <c r="R5753" s="1"/>
      <c r="Z5753" s="103"/>
      <c r="AA5753" s="103"/>
      <c r="AB5753" s="1"/>
    </row>
    <row r="5754" spans="15:30">
      <c r="O5754" s="1"/>
      <c r="P5754" s="1"/>
      <c r="Q5754" s="1"/>
      <c r="R5754" s="1"/>
      <c r="Z5754" s="103"/>
      <c r="AA5754" s="103"/>
      <c r="AB5754" s="1"/>
      <c r="AD5754" s="102"/>
    </row>
    <row r="5755" spans="15:30">
      <c r="O5755" s="1"/>
      <c r="P5755" s="1"/>
      <c r="Q5755" s="1"/>
      <c r="R5755" s="1"/>
      <c r="Z5755" s="103"/>
      <c r="AA5755" s="103"/>
      <c r="AB5755" s="1"/>
    </row>
    <row r="5756" spans="15:30">
      <c r="O5756" s="1"/>
      <c r="P5756" s="1"/>
      <c r="Q5756" s="1"/>
      <c r="R5756" s="1"/>
      <c r="Z5756" s="103"/>
      <c r="AA5756" s="103"/>
      <c r="AB5756" s="1"/>
    </row>
    <row r="5757" spans="15:30">
      <c r="O5757" s="1"/>
      <c r="P5757" s="1"/>
      <c r="Q5757" s="1"/>
      <c r="R5757" s="1"/>
      <c r="Z5757" s="103"/>
      <c r="AA5757" s="103"/>
      <c r="AB5757" s="1"/>
    </row>
    <row r="5758" spans="15:30">
      <c r="O5758" s="1"/>
      <c r="P5758" s="1"/>
      <c r="Q5758" s="1"/>
      <c r="R5758" s="1"/>
      <c r="Z5758" s="103"/>
      <c r="AA5758" s="103"/>
      <c r="AB5758" s="1"/>
    </row>
    <row r="5759" spans="15:30">
      <c r="O5759" s="1"/>
      <c r="P5759" s="1"/>
      <c r="Q5759" s="1"/>
      <c r="R5759" s="1"/>
      <c r="Z5759" s="103"/>
      <c r="AA5759" s="103"/>
      <c r="AB5759" s="1"/>
    </row>
    <row r="5760" spans="15:30">
      <c r="O5760" s="1"/>
      <c r="P5760" s="1"/>
      <c r="Q5760" s="1"/>
      <c r="R5760" s="1"/>
      <c r="Z5760" s="103"/>
      <c r="AA5760" s="103"/>
      <c r="AB5760" s="1"/>
    </row>
    <row r="5761" spans="15:30">
      <c r="O5761" s="1"/>
      <c r="P5761" s="1"/>
      <c r="Q5761" s="1"/>
      <c r="R5761" s="1"/>
      <c r="Z5761" s="103"/>
      <c r="AA5761" s="103"/>
      <c r="AB5761" s="1"/>
    </row>
    <row r="5762" spans="15:30">
      <c r="O5762" s="1"/>
      <c r="P5762" s="1"/>
      <c r="Q5762" s="1"/>
      <c r="R5762" s="1"/>
      <c r="Z5762" s="103"/>
      <c r="AA5762" s="103"/>
      <c r="AB5762" s="1"/>
    </row>
    <row r="5763" spans="15:30">
      <c r="O5763" s="1"/>
      <c r="P5763" s="1"/>
      <c r="Q5763" s="1"/>
      <c r="R5763" s="1"/>
      <c r="Z5763" s="103"/>
      <c r="AA5763" s="103"/>
      <c r="AB5763" s="1"/>
    </row>
    <row r="5764" spans="15:30">
      <c r="O5764" s="1"/>
      <c r="P5764" s="1"/>
      <c r="Q5764" s="1"/>
      <c r="R5764" s="1"/>
      <c r="Z5764" s="103"/>
      <c r="AA5764" s="103"/>
      <c r="AB5764" s="1"/>
    </row>
    <row r="5765" spans="15:30">
      <c r="O5765" s="1"/>
      <c r="P5765" s="1"/>
      <c r="Q5765" s="1"/>
      <c r="R5765" s="1"/>
      <c r="Z5765" s="103"/>
      <c r="AA5765" s="103"/>
      <c r="AB5765" s="1"/>
    </row>
    <row r="5766" spans="15:30">
      <c r="O5766" s="1"/>
      <c r="P5766" s="1"/>
      <c r="Q5766" s="1"/>
      <c r="R5766" s="1"/>
      <c r="Z5766" s="103"/>
      <c r="AA5766" s="103"/>
      <c r="AB5766" s="1"/>
    </row>
    <row r="5767" spans="15:30">
      <c r="O5767" s="1"/>
      <c r="P5767" s="1"/>
      <c r="Q5767" s="1"/>
      <c r="R5767" s="1"/>
      <c r="Z5767" s="103"/>
      <c r="AA5767" s="103"/>
      <c r="AB5767" s="1"/>
    </row>
    <row r="5768" spans="15:30">
      <c r="O5768" s="1"/>
      <c r="P5768" s="1"/>
      <c r="Q5768" s="1"/>
      <c r="R5768" s="1"/>
      <c r="Z5768" s="103"/>
      <c r="AA5768" s="103"/>
      <c r="AB5768" s="1"/>
    </row>
    <row r="5769" spans="15:30">
      <c r="O5769" s="1"/>
      <c r="P5769" s="1"/>
      <c r="Q5769" s="1"/>
      <c r="R5769" s="1"/>
      <c r="Z5769" s="103"/>
      <c r="AA5769" s="103"/>
      <c r="AB5769" s="1"/>
    </row>
    <row r="5770" spans="15:30">
      <c r="O5770" s="1"/>
      <c r="P5770" s="1"/>
      <c r="Q5770" s="1"/>
      <c r="R5770" s="1"/>
      <c r="Z5770" s="103"/>
      <c r="AA5770" s="103"/>
      <c r="AB5770" s="1"/>
    </row>
    <row r="5771" spans="15:30">
      <c r="O5771" s="1"/>
      <c r="P5771" s="1"/>
      <c r="Q5771" s="1"/>
      <c r="R5771" s="1"/>
      <c r="Z5771" s="103"/>
      <c r="AA5771" s="103"/>
      <c r="AB5771" s="1"/>
    </row>
    <row r="5772" spans="15:30">
      <c r="O5772" s="1"/>
      <c r="P5772" s="1"/>
      <c r="Q5772" s="1"/>
      <c r="R5772" s="1"/>
      <c r="Z5772" s="103"/>
      <c r="AA5772" s="103"/>
      <c r="AB5772" s="1"/>
    </row>
    <row r="5773" spans="15:30">
      <c r="O5773" s="1"/>
      <c r="P5773" s="1"/>
      <c r="Q5773" s="1"/>
      <c r="R5773" s="1"/>
      <c r="Z5773" s="103"/>
      <c r="AA5773" s="103"/>
      <c r="AB5773" s="1"/>
    </row>
    <row r="5774" spans="15:30">
      <c r="O5774" s="1"/>
      <c r="P5774" s="1"/>
      <c r="Q5774" s="1"/>
      <c r="R5774" s="1"/>
      <c r="Z5774" s="103"/>
      <c r="AA5774" s="103"/>
      <c r="AB5774" s="1"/>
    </row>
    <row r="5775" spans="15:30">
      <c r="O5775" s="1"/>
      <c r="P5775" s="1"/>
      <c r="Q5775" s="1"/>
      <c r="R5775" s="1"/>
      <c r="Z5775" s="103"/>
      <c r="AA5775" s="103"/>
      <c r="AB5775" s="1"/>
      <c r="AD5775" s="102"/>
    </row>
    <row r="5776" spans="15:30">
      <c r="O5776" s="1"/>
      <c r="P5776" s="1"/>
      <c r="Q5776" s="1"/>
      <c r="R5776" s="1"/>
      <c r="Z5776" s="103"/>
      <c r="AA5776" s="103"/>
      <c r="AB5776" s="1"/>
    </row>
    <row r="5777" spans="15:28">
      <c r="O5777" s="1"/>
      <c r="P5777" s="1"/>
      <c r="Q5777" s="1"/>
      <c r="R5777" s="1"/>
      <c r="Z5777" s="103"/>
      <c r="AA5777" s="103"/>
      <c r="AB5777" s="1"/>
    </row>
    <row r="5778" spans="15:28">
      <c r="O5778" s="1"/>
      <c r="P5778" s="1"/>
      <c r="Q5778" s="1"/>
      <c r="R5778" s="1"/>
      <c r="Z5778" s="103"/>
      <c r="AA5778" s="103"/>
      <c r="AB5778" s="1"/>
    </row>
    <row r="5779" spans="15:28">
      <c r="O5779" s="1"/>
      <c r="P5779" s="1"/>
      <c r="Q5779" s="1"/>
      <c r="R5779" s="1"/>
      <c r="Z5779" s="103"/>
      <c r="AA5779" s="103"/>
      <c r="AB5779" s="1"/>
    </row>
    <row r="5780" spans="15:28">
      <c r="O5780" s="1"/>
      <c r="P5780" s="1"/>
      <c r="Q5780" s="1"/>
      <c r="R5780" s="1"/>
      <c r="Z5780" s="103"/>
      <c r="AA5780" s="103"/>
      <c r="AB5780" s="1"/>
    </row>
    <row r="5781" spans="15:28">
      <c r="O5781" s="1"/>
      <c r="P5781" s="1"/>
      <c r="Q5781" s="1"/>
      <c r="R5781" s="1"/>
      <c r="Z5781" s="103"/>
      <c r="AA5781" s="103"/>
      <c r="AB5781" s="1"/>
    </row>
    <row r="5782" spans="15:28">
      <c r="O5782" s="1"/>
      <c r="P5782" s="1"/>
      <c r="Q5782" s="1"/>
      <c r="R5782" s="1"/>
      <c r="Z5782" s="103"/>
      <c r="AA5782" s="103"/>
      <c r="AB5782" s="1"/>
    </row>
    <row r="5783" spans="15:28">
      <c r="O5783" s="1"/>
      <c r="P5783" s="1"/>
      <c r="Q5783" s="1"/>
      <c r="R5783" s="1"/>
      <c r="Z5783" s="103"/>
      <c r="AA5783" s="103"/>
      <c r="AB5783" s="1"/>
    </row>
    <row r="5784" spans="15:28">
      <c r="O5784" s="1"/>
      <c r="P5784" s="1"/>
      <c r="Q5784" s="1"/>
      <c r="R5784" s="1"/>
      <c r="Z5784" s="103"/>
      <c r="AA5784" s="103"/>
      <c r="AB5784" s="1"/>
    </row>
    <row r="5785" spans="15:28">
      <c r="O5785" s="1"/>
      <c r="P5785" s="1"/>
      <c r="Q5785" s="1"/>
      <c r="R5785" s="1"/>
      <c r="Z5785" s="103"/>
      <c r="AA5785" s="103"/>
      <c r="AB5785" s="1"/>
    </row>
    <row r="5786" spans="15:28">
      <c r="O5786" s="1"/>
      <c r="P5786" s="1"/>
      <c r="Q5786" s="1"/>
      <c r="R5786" s="1"/>
      <c r="Z5786" s="103"/>
      <c r="AA5786" s="103"/>
      <c r="AB5786" s="1"/>
    </row>
    <row r="5787" spans="15:28">
      <c r="O5787" s="1"/>
      <c r="P5787" s="1"/>
      <c r="Q5787" s="1"/>
      <c r="R5787" s="1"/>
      <c r="Z5787" s="103"/>
      <c r="AA5787" s="103"/>
      <c r="AB5787" s="1"/>
    </row>
    <row r="5788" spans="15:28">
      <c r="O5788" s="1"/>
      <c r="P5788" s="1"/>
      <c r="Q5788" s="1"/>
      <c r="R5788" s="1"/>
      <c r="Z5788" s="103"/>
      <c r="AA5788" s="103"/>
      <c r="AB5788" s="1"/>
    </row>
    <row r="5789" spans="15:28">
      <c r="O5789" s="1"/>
      <c r="P5789" s="1"/>
      <c r="Q5789" s="1"/>
      <c r="R5789" s="1"/>
      <c r="Z5789" s="103"/>
      <c r="AA5789" s="103"/>
      <c r="AB5789" s="1"/>
    </row>
    <row r="5790" spans="15:28">
      <c r="O5790" s="1"/>
      <c r="P5790" s="1"/>
      <c r="Q5790" s="1"/>
      <c r="R5790" s="1"/>
      <c r="Z5790" s="103"/>
      <c r="AA5790" s="103"/>
      <c r="AB5790" s="1"/>
    </row>
    <row r="5791" spans="15:28">
      <c r="O5791" s="1"/>
      <c r="P5791" s="1"/>
      <c r="Q5791" s="1"/>
      <c r="R5791" s="1"/>
      <c r="Z5791" s="103"/>
      <c r="AA5791" s="103"/>
      <c r="AB5791" s="1"/>
    </row>
    <row r="5792" spans="15:28">
      <c r="O5792" s="1"/>
      <c r="P5792" s="1"/>
      <c r="Q5792" s="1"/>
      <c r="R5792" s="1"/>
      <c r="Z5792" s="103"/>
      <c r="AA5792" s="103"/>
      <c r="AB5792" s="1"/>
    </row>
    <row r="5793" spans="15:30">
      <c r="O5793" s="1"/>
      <c r="P5793" s="1"/>
      <c r="Q5793" s="1"/>
      <c r="R5793" s="1"/>
      <c r="Z5793" s="103"/>
      <c r="AA5793" s="103"/>
      <c r="AB5793" s="1"/>
    </row>
    <row r="5794" spans="15:30">
      <c r="O5794" s="1"/>
      <c r="P5794" s="1"/>
      <c r="Q5794" s="1"/>
      <c r="R5794" s="1"/>
      <c r="Z5794" s="103"/>
      <c r="AA5794" s="103"/>
      <c r="AB5794" s="1"/>
    </row>
    <row r="5795" spans="15:30">
      <c r="O5795" s="1"/>
      <c r="P5795" s="1"/>
      <c r="Q5795" s="1"/>
      <c r="R5795" s="1"/>
      <c r="Z5795" s="103"/>
      <c r="AA5795" s="103"/>
      <c r="AB5795" s="1"/>
    </row>
    <row r="5796" spans="15:30">
      <c r="O5796" s="1"/>
      <c r="P5796" s="1"/>
      <c r="Q5796" s="1"/>
      <c r="R5796" s="1"/>
      <c r="Z5796" s="103"/>
      <c r="AA5796" s="103"/>
      <c r="AB5796" s="1"/>
    </row>
    <row r="5797" spans="15:30">
      <c r="O5797" s="1"/>
      <c r="P5797" s="1"/>
      <c r="Q5797" s="1"/>
      <c r="R5797" s="1"/>
      <c r="Z5797" s="103"/>
      <c r="AA5797" s="103"/>
      <c r="AB5797" s="1"/>
    </row>
    <row r="5798" spans="15:30">
      <c r="O5798" s="1"/>
      <c r="P5798" s="1"/>
      <c r="Q5798" s="1"/>
      <c r="R5798" s="1"/>
      <c r="Z5798" s="103"/>
      <c r="AA5798" s="103"/>
      <c r="AB5798" s="1"/>
    </row>
    <row r="5799" spans="15:30">
      <c r="O5799" s="1"/>
      <c r="P5799" s="1"/>
      <c r="Q5799" s="1"/>
      <c r="R5799" s="1"/>
      <c r="Z5799" s="103"/>
      <c r="AA5799" s="103"/>
      <c r="AB5799" s="1"/>
      <c r="AD5799" s="102"/>
    </row>
    <row r="5800" spans="15:30">
      <c r="O5800" s="1"/>
      <c r="P5800" s="1"/>
      <c r="Q5800" s="1"/>
      <c r="R5800" s="1"/>
      <c r="Z5800" s="103"/>
      <c r="AA5800" s="103"/>
      <c r="AB5800" s="1"/>
    </row>
    <row r="5801" spans="15:30">
      <c r="O5801" s="1"/>
      <c r="P5801" s="1"/>
      <c r="Q5801" s="1"/>
      <c r="R5801" s="1"/>
      <c r="Z5801" s="103"/>
      <c r="AA5801" s="103"/>
      <c r="AB5801" s="1"/>
    </row>
    <row r="5802" spans="15:30">
      <c r="O5802" s="1"/>
      <c r="P5802" s="1"/>
      <c r="Q5802" s="1"/>
      <c r="R5802" s="1"/>
      <c r="Z5802" s="103"/>
      <c r="AA5802" s="103"/>
      <c r="AB5802" s="1"/>
    </row>
    <row r="5803" spans="15:30">
      <c r="O5803" s="1"/>
      <c r="P5803" s="1"/>
      <c r="Q5803" s="1"/>
      <c r="R5803" s="1"/>
      <c r="Z5803" s="103"/>
      <c r="AA5803" s="103"/>
      <c r="AB5803" s="1"/>
    </row>
    <row r="5804" spans="15:30">
      <c r="O5804" s="1"/>
      <c r="P5804" s="1"/>
      <c r="Q5804" s="1"/>
      <c r="R5804" s="1"/>
      <c r="Z5804" s="103"/>
      <c r="AA5804" s="103"/>
      <c r="AB5804" s="1"/>
    </row>
    <row r="5805" spans="15:30">
      <c r="O5805" s="1"/>
      <c r="P5805" s="1"/>
      <c r="Q5805" s="1"/>
      <c r="R5805" s="1"/>
      <c r="Z5805" s="103"/>
      <c r="AA5805" s="103"/>
      <c r="AB5805" s="1"/>
    </row>
    <row r="5806" spans="15:30">
      <c r="O5806" s="1"/>
      <c r="P5806" s="1"/>
      <c r="Q5806" s="1"/>
      <c r="R5806" s="1"/>
      <c r="Z5806" s="103"/>
      <c r="AA5806" s="103"/>
      <c r="AB5806" s="1"/>
    </row>
    <row r="5807" spans="15:30">
      <c r="O5807" s="1"/>
      <c r="P5807" s="1"/>
      <c r="Q5807" s="1"/>
      <c r="R5807" s="1"/>
      <c r="Z5807" s="103"/>
      <c r="AA5807" s="103"/>
      <c r="AB5807" s="1"/>
    </row>
    <row r="5808" spans="15:30">
      <c r="O5808" s="1"/>
      <c r="P5808" s="1"/>
      <c r="Q5808" s="1"/>
      <c r="R5808" s="1"/>
      <c r="Z5808" s="103"/>
      <c r="AA5808" s="103"/>
      <c r="AB5808" s="1"/>
    </row>
    <row r="5809" spans="15:28">
      <c r="O5809" s="1"/>
      <c r="P5809" s="1"/>
      <c r="Q5809" s="1"/>
      <c r="R5809" s="1"/>
      <c r="Z5809" s="103"/>
      <c r="AA5809" s="103"/>
      <c r="AB5809" s="1"/>
    </row>
    <row r="5810" spans="15:28">
      <c r="O5810" s="1"/>
      <c r="P5810" s="1"/>
      <c r="Q5810" s="1"/>
      <c r="R5810" s="1"/>
      <c r="Z5810" s="103"/>
      <c r="AA5810" s="103"/>
      <c r="AB5810" s="1"/>
    </row>
    <row r="5811" spans="15:28">
      <c r="O5811" s="1"/>
      <c r="P5811" s="1"/>
      <c r="Q5811" s="1"/>
      <c r="R5811" s="1"/>
      <c r="Z5811" s="103"/>
      <c r="AA5811" s="103"/>
      <c r="AB5811" s="1"/>
    </row>
    <row r="5812" spans="15:28">
      <c r="O5812" s="1"/>
      <c r="P5812" s="1"/>
      <c r="Q5812" s="1"/>
      <c r="R5812" s="1"/>
      <c r="Z5812" s="103"/>
      <c r="AA5812" s="103"/>
      <c r="AB5812" s="1"/>
    </row>
    <row r="5813" spans="15:28">
      <c r="O5813" s="1"/>
      <c r="P5813" s="1"/>
      <c r="Q5813" s="1"/>
      <c r="R5813" s="1"/>
      <c r="Z5813" s="103"/>
      <c r="AA5813" s="103"/>
      <c r="AB5813" s="1"/>
    </row>
    <row r="5814" spans="15:28">
      <c r="O5814" s="1"/>
      <c r="P5814" s="1"/>
      <c r="Q5814" s="1"/>
      <c r="R5814" s="1"/>
      <c r="Z5814" s="103"/>
      <c r="AA5814" s="103"/>
      <c r="AB5814" s="1"/>
    </row>
    <row r="5815" spans="15:28">
      <c r="O5815" s="1"/>
      <c r="P5815" s="1"/>
      <c r="Q5815" s="1"/>
      <c r="R5815" s="1"/>
      <c r="Z5815" s="103"/>
      <c r="AA5815" s="103"/>
      <c r="AB5815" s="1"/>
    </row>
    <row r="5816" spans="15:28">
      <c r="O5816" s="1"/>
      <c r="P5816" s="1"/>
      <c r="Q5816" s="1"/>
      <c r="R5816" s="1"/>
      <c r="Z5816" s="103"/>
      <c r="AA5816" s="103"/>
      <c r="AB5816" s="1"/>
    </row>
    <row r="5817" spans="15:28">
      <c r="O5817" s="1"/>
      <c r="P5817" s="1"/>
      <c r="Q5817" s="1"/>
      <c r="R5817" s="1"/>
      <c r="Z5817" s="103"/>
      <c r="AA5817" s="103"/>
      <c r="AB5817" s="1"/>
    </row>
    <row r="5818" spans="15:28">
      <c r="O5818" s="1"/>
      <c r="P5818" s="1"/>
      <c r="Q5818" s="1"/>
      <c r="R5818" s="1"/>
      <c r="Z5818" s="103"/>
      <c r="AA5818" s="103"/>
      <c r="AB5818" s="1"/>
    </row>
    <row r="5819" spans="15:28">
      <c r="O5819" s="1"/>
      <c r="P5819" s="1"/>
      <c r="Q5819" s="1"/>
      <c r="R5819" s="1"/>
      <c r="Z5819" s="103"/>
      <c r="AA5819" s="103"/>
      <c r="AB5819" s="1"/>
    </row>
    <row r="5820" spans="15:28">
      <c r="O5820" s="1"/>
      <c r="P5820" s="1"/>
      <c r="Q5820" s="1"/>
      <c r="R5820" s="1"/>
      <c r="Z5820" s="103"/>
      <c r="AA5820" s="103"/>
      <c r="AB5820" s="1"/>
    </row>
    <row r="5821" spans="15:28">
      <c r="O5821" s="1"/>
      <c r="P5821" s="1"/>
      <c r="Q5821" s="1"/>
      <c r="R5821" s="1"/>
      <c r="Z5821" s="103"/>
      <c r="AA5821" s="103"/>
      <c r="AB5821" s="1"/>
    </row>
    <row r="5822" spans="15:28">
      <c r="O5822" s="1"/>
      <c r="P5822" s="1"/>
      <c r="Q5822" s="1"/>
      <c r="R5822" s="1"/>
      <c r="Z5822" s="103"/>
      <c r="AA5822" s="103"/>
      <c r="AB5822" s="1"/>
    </row>
    <row r="5823" spans="15:28">
      <c r="O5823" s="1"/>
      <c r="P5823" s="1"/>
      <c r="Q5823" s="1"/>
      <c r="R5823" s="1"/>
      <c r="Z5823" s="103"/>
      <c r="AA5823" s="103"/>
      <c r="AB5823" s="1"/>
    </row>
    <row r="5824" spans="15:28">
      <c r="O5824" s="1"/>
      <c r="P5824" s="1"/>
      <c r="Q5824" s="1"/>
      <c r="R5824" s="1"/>
      <c r="Z5824" s="103"/>
      <c r="AA5824" s="103"/>
      <c r="AB5824" s="1"/>
    </row>
    <row r="5825" spans="15:30">
      <c r="O5825" s="1"/>
      <c r="P5825" s="1"/>
      <c r="Q5825" s="1"/>
      <c r="R5825" s="1"/>
      <c r="Z5825" s="103"/>
      <c r="AA5825" s="103"/>
      <c r="AB5825" s="1"/>
    </row>
    <row r="5826" spans="15:30">
      <c r="O5826" s="1"/>
      <c r="P5826" s="1"/>
      <c r="Q5826" s="1"/>
      <c r="R5826" s="1"/>
      <c r="Z5826" s="103"/>
      <c r="AA5826" s="103"/>
      <c r="AB5826" s="1"/>
    </row>
    <row r="5827" spans="15:30">
      <c r="O5827" s="1"/>
      <c r="P5827" s="1"/>
      <c r="Q5827" s="1"/>
      <c r="R5827" s="1"/>
      <c r="Z5827" s="103"/>
      <c r="AA5827" s="103"/>
      <c r="AB5827" s="1"/>
    </row>
    <row r="5828" spans="15:30">
      <c r="O5828" s="1"/>
      <c r="P5828" s="1"/>
      <c r="Q5828" s="1"/>
      <c r="R5828" s="1"/>
      <c r="Z5828" s="103"/>
      <c r="AA5828" s="103"/>
      <c r="AB5828" s="1"/>
    </row>
    <row r="5829" spans="15:30">
      <c r="O5829" s="1"/>
      <c r="P5829" s="1"/>
      <c r="Q5829" s="1"/>
      <c r="R5829" s="1"/>
      <c r="Z5829" s="103"/>
      <c r="AA5829" s="103"/>
      <c r="AB5829" s="1"/>
    </row>
    <row r="5830" spans="15:30">
      <c r="O5830" s="1"/>
      <c r="P5830" s="1"/>
      <c r="Q5830" s="1"/>
      <c r="R5830" s="1"/>
      <c r="Z5830" s="103"/>
      <c r="AA5830" s="103"/>
      <c r="AB5830" s="1"/>
    </row>
    <row r="5831" spans="15:30">
      <c r="O5831" s="1"/>
      <c r="P5831" s="1"/>
      <c r="Q5831" s="1"/>
      <c r="R5831" s="1"/>
      <c r="Z5831" s="103"/>
      <c r="AA5831" s="103"/>
      <c r="AB5831" s="1"/>
    </row>
    <row r="5832" spans="15:30">
      <c r="O5832" s="1"/>
      <c r="P5832" s="1"/>
      <c r="Q5832" s="1"/>
      <c r="R5832" s="1"/>
      <c r="Z5832" s="103"/>
      <c r="AA5832" s="103"/>
      <c r="AB5832" s="1"/>
    </row>
    <row r="5833" spans="15:30">
      <c r="O5833" s="1"/>
      <c r="P5833" s="1"/>
      <c r="Q5833" s="1"/>
      <c r="R5833" s="1"/>
      <c r="Z5833" s="103"/>
      <c r="AA5833" s="103"/>
      <c r="AB5833" s="1"/>
    </row>
    <row r="5834" spans="15:30">
      <c r="O5834" s="1"/>
      <c r="P5834" s="1"/>
      <c r="Q5834" s="1"/>
      <c r="R5834" s="1"/>
      <c r="Z5834" s="103"/>
      <c r="AA5834" s="103"/>
      <c r="AB5834" s="1"/>
    </row>
    <row r="5835" spans="15:30">
      <c r="O5835" s="1"/>
      <c r="P5835" s="1"/>
      <c r="Q5835" s="1"/>
      <c r="R5835" s="1"/>
      <c r="Z5835" s="103"/>
      <c r="AA5835" s="103"/>
      <c r="AB5835" s="1"/>
    </row>
    <row r="5836" spans="15:30">
      <c r="O5836" s="1"/>
      <c r="P5836" s="1"/>
      <c r="Q5836" s="1"/>
      <c r="R5836" s="1"/>
      <c r="Z5836" s="103"/>
      <c r="AA5836" s="103"/>
      <c r="AB5836" s="1"/>
      <c r="AD5836" s="102"/>
    </row>
    <row r="5837" spans="15:30">
      <c r="O5837" s="1"/>
      <c r="P5837" s="1"/>
      <c r="Q5837" s="1"/>
      <c r="R5837" s="1"/>
      <c r="Z5837" s="103"/>
      <c r="AA5837" s="103"/>
      <c r="AB5837" s="1"/>
    </row>
    <row r="5838" spans="15:30">
      <c r="O5838" s="1"/>
      <c r="P5838" s="1"/>
      <c r="Q5838" s="1"/>
      <c r="R5838" s="1"/>
      <c r="Z5838" s="103"/>
      <c r="AA5838" s="103"/>
      <c r="AB5838" s="1"/>
    </row>
    <row r="5839" spans="15:30">
      <c r="O5839" s="1"/>
      <c r="P5839" s="1"/>
      <c r="Q5839" s="1"/>
      <c r="R5839" s="1"/>
      <c r="Z5839" s="103"/>
      <c r="AA5839" s="103"/>
      <c r="AB5839" s="1"/>
    </row>
    <row r="5840" spans="15:30">
      <c r="O5840" s="1"/>
      <c r="P5840" s="1"/>
      <c r="Q5840" s="1"/>
      <c r="R5840" s="1"/>
      <c r="Z5840" s="103"/>
      <c r="AA5840" s="103"/>
      <c r="AB5840" s="1"/>
    </row>
    <row r="5841" spans="15:28">
      <c r="O5841" s="1"/>
      <c r="P5841" s="1"/>
      <c r="Q5841" s="1"/>
      <c r="R5841" s="1"/>
      <c r="Z5841" s="103"/>
      <c r="AA5841" s="103"/>
      <c r="AB5841" s="1"/>
    </row>
    <row r="5842" spans="15:28">
      <c r="O5842" s="1"/>
      <c r="P5842" s="1"/>
      <c r="Q5842" s="1"/>
      <c r="R5842" s="1"/>
      <c r="Z5842" s="103"/>
      <c r="AA5842" s="103"/>
      <c r="AB5842" s="1"/>
    </row>
    <row r="5843" spans="15:28">
      <c r="O5843" s="1"/>
      <c r="P5843" s="1"/>
      <c r="Q5843" s="1"/>
      <c r="R5843" s="1"/>
      <c r="Z5843" s="103"/>
      <c r="AA5843" s="103"/>
      <c r="AB5843" s="1"/>
    </row>
    <row r="5844" spans="15:28">
      <c r="O5844" s="1"/>
      <c r="P5844" s="1"/>
      <c r="Q5844" s="1"/>
      <c r="R5844" s="1"/>
      <c r="Z5844" s="103"/>
      <c r="AA5844" s="103"/>
      <c r="AB5844" s="1"/>
    </row>
    <row r="5845" spans="15:28">
      <c r="O5845" s="1"/>
      <c r="P5845" s="1"/>
      <c r="Q5845" s="1"/>
      <c r="R5845" s="1"/>
      <c r="Z5845" s="103"/>
      <c r="AA5845" s="103"/>
      <c r="AB5845" s="1"/>
    </row>
    <row r="5846" spans="15:28">
      <c r="O5846" s="1"/>
      <c r="P5846" s="1"/>
      <c r="Q5846" s="1"/>
      <c r="R5846" s="1"/>
      <c r="Z5846" s="103"/>
      <c r="AA5846" s="103"/>
      <c r="AB5846" s="1"/>
    </row>
    <row r="5847" spans="15:28">
      <c r="O5847" s="1"/>
      <c r="P5847" s="1"/>
      <c r="Q5847" s="1"/>
      <c r="R5847" s="1"/>
      <c r="Z5847" s="103"/>
      <c r="AA5847" s="103"/>
      <c r="AB5847" s="1"/>
    </row>
    <row r="5848" spans="15:28">
      <c r="O5848" s="1"/>
      <c r="P5848" s="1"/>
      <c r="Q5848" s="1"/>
      <c r="R5848" s="1"/>
      <c r="Z5848" s="103"/>
      <c r="AA5848" s="103"/>
      <c r="AB5848" s="1"/>
    </row>
    <row r="5849" spans="15:28">
      <c r="O5849" s="1"/>
      <c r="P5849" s="1"/>
      <c r="Q5849" s="1"/>
      <c r="R5849" s="1"/>
      <c r="Z5849" s="103"/>
      <c r="AA5849" s="103"/>
      <c r="AB5849" s="1"/>
    </row>
    <row r="5850" spans="15:28">
      <c r="O5850" s="1"/>
      <c r="P5850" s="1"/>
      <c r="Q5850" s="1"/>
      <c r="R5850" s="1"/>
      <c r="Z5850" s="103"/>
      <c r="AA5850" s="103"/>
      <c r="AB5850" s="1"/>
    </row>
    <row r="5851" spans="15:28">
      <c r="O5851" s="1"/>
      <c r="P5851" s="1"/>
      <c r="Q5851" s="1"/>
      <c r="R5851" s="1"/>
      <c r="Z5851" s="103"/>
      <c r="AA5851" s="103"/>
      <c r="AB5851" s="1"/>
    </row>
    <row r="5852" spans="15:28">
      <c r="O5852" s="1"/>
      <c r="P5852" s="1"/>
      <c r="Q5852" s="1"/>
      <c r="R5852" s="1"/>
      <c r="Z5852" s="103"/>
      <c r="AA5852" s="103"/>
      <c r="AB5852" s="1"/>
    </row>
    <row r="5853" spans="15:28">
      <c r="O5853" s="1"/>
      <c r="P5853" s="1"/>
      <c r="Q5853" s="1"/>
      <c r="R5853" s="1"/>
      <c r="Z5853" s="103"/>
      <c r="AA5853" s="103"/>
      <c r="AB5853" s="1"/>
    </row>
    <row r="5854" spans="15:28">
      <c r="O5854" s="1"/>
      <c r="P5854" s="1"/>
      <c r="Q5854" s="1"/>
      <c r="R5854" s="1"/>
      <c r="Z5854" s="103"/>
      <c r="AA5854" s="103"/>
      <c r="AB5854" s="1"/>
    </row>
    <row r="5855" spans="15:28">
      <c r="O5855" s="1"/>
      <c r="P5855" s="1"/>
      <c r="Q5855" s="1"/>
      <c r="R5855" s="1"/>
      <c r="Z5855" s="103"/>
      <c r="AA5855" s="103"/>
      <c r="AB5855" s="1"/>
    </row>
    <row r="5856" spans="15:28">
      <c r="O5856" s="1"/>
      <c r="P5856" s="1"/>
      <c r="Q5856" s="1"/>
      <c r="R5856" s="1"/>
      <c r="Z5856" s="103"/>
      <c r="AA5856" s="103"/>
      <c r="AB5856" s="1"/>
    </row>
    <row r="5857" spans="15:30">
      <c r="O5857" s="1"/>
      <c r="P5857" s="1"/>
      <c r="Q5857" s="1"/>
      <c r="R5857" s="1"/>
      <c r="Z5857" s="103"/>
      <c r="AA5857" s="103"/>
      <c r="AB5857" s="1"/>
    </row>
    <row r="5858" spans="15:30">
      <c r="O5858" s="1"/>
      <c r="P5858" s="1"/>
      <c r="Q5858" s="1"/>
      <c r="R5858" s="1"/>
      <c r="Z5858" s="103"/>
      <c r="AA5858" s="103"/>
      <c r="AB5858" s="1"/>
    </row>
    <row r="5859" spans="15:30">
      <c r="O5859" s="1"/>
      <c r="P5859" s="1"/>
      <c r="Q5859" s="1"/>
      <c r="R5859" s="1"/>
      <c r="Z5859" s="103"/>
      <c r="AA5859" s="103"/>
      <c r="AB5859" s="1"/>
    </row>
    <row r="5860" spans="15:30">
      <c r="O5860" s="1"/>
      <c r="P5860" s="1"/>
      <c r="Q5860" s="1"/>
      <c r="R5860" s="1"/>
      <c r="Z5860" s="103"/>
      <c r="AA5860" s="103"/>
      <c r="AB5860" s="1"/>
    </row>
    <row r="5861" spans="15:30">
      <c r="O5861" s="1"/>
      <c r="P5861" s="1"/>
      <c r="Q5861" s="1"/>
      <c r="R5861" s="1"/>
      <c r="Z5861" s="103"/>
      <c r="AA5861" s="103"/>
      <c r="AB5861" s="1"/>
    </row>
    <row r="5862" spans="15:30">
      <c r="O5862" s="1"/>
      <c r="P5862" s="1"/>
      <c r="Q5862" s="1"/>
      <c r="R5862" s="1"/>
      <c r="Z5862" s="103"/>
      <c r="AA5862" s="103"/>
      <c r="AB5862" s="1"/>
    </row>
    <row r="5863" spans="15:30">
      <c r="O5863" s="1"/>
      <c r="P5863" s="1"/>
      <c r="Q5863" s="1"/>
      <c r="R5863" s="1"/>
      <c r="Z5863" s="103"/>
      <c r="AA5863" s="103"/>
      <c r="AB5863" s="1"/>
      <c r="AD5863" s="102"/>
    </row>
    <row r="5864" spans="15:30">
      <c r="O5864" s="1"/>
      <c r="P5864" s="1"/>
      <c r="Q5864" s="1"/>
      <c r="R5864" s="1"/>
      <c r="Z5864" s="103"/>
      <c r="AA5864" s="103"/>
      <c r="AB5864" s="1"/>
    </row>
    <row r="5865" spans="15:30">
      <c r="O5865" s="1"/>
      <c r="P5865" s="1"/>
      <c r="Q5865" s="1"/>
      <c r="R5865" s="1"/>
      <c r="Z5865" s="103"/>
      <c r="AA5865" s="103"/>
      <c r="AB5865" s="1"/>
    </row>
    <row r="5866" spans="15:30">
      <c r="O5866" s="1"/>
      <c r="P5866" s="1"/>
      <c r="Q5866" s="1"/>
      <c r="R5866" s="1"/>
      <c r="Z5866" s="103"/>
      <c r="AA5866" s="103"/>
      <c r="AB5866" s="1"/>
    </row>
    <row r="5867" spans="15:30">
      <c r="O5867" s="1"/>
      <c r="P5867" s="1"/>
      <c r="Q5867" s="1"/>
      <c r="R5867" s="1"/>
      <c r="Z5867" s="103"/>
      <c r="AA5867" s="103"/>
      <c r="AB5867" s="1"/>
    </row>
    <row r="5868" spans="15:30">
      <c r="O5868" s="1"/>
      <c r="P5868" s="1"/>
      <c r="Q5868" s="1"/>
      <c r="R5868" s="1"/>
      <c r="Z5868" s="103"/>
      <c r="AA5868" s="103"/>
      <c r="AB5868" s="1"/>
    </row>
    <row r="5869" spans="15:30">
      <c r="O5869" s="1"/>
      <c r="P5869" s="1"/>
      <c r="Q5869" s="1"/>
      <c r="R5869" s="1"/>
      <c r="Z5869" s="103"/>
      <c r="AA5869" s="103"/>
      <c r="AB5869" s="1"/>
    </row>
    <row r="5870" spans="15:30">
      <c r="O5870" s="1"/>
      <c r="P5870" s="1"/>
      <c r="Q5870" s="1"/>
      <c r="R5870" s="1"/>
      <c r="Z5870" s="103"/>
      <c r="AA5870" s="103"/>
      <c r="AB5870" s="1"/>
    </row>
    <row r="5871" spans="15:30">
      <c r="O5871" s="1"/>
      <c r="P5871" s="1"/>
      <c r="Q5871" s="1"/>
      <c r="R5871" s="1"/>
      <c r="Z5871" s="103"/>
      <c r="AA5871" s="103"/>
      <c r="AB5871" s="1"/>
    </row>
    <row r="5872" spans="15:30">
      <c r="O5872" s="1"/>
      <c r="P5872" s="1"/>
      <c r="Q5872" s="1"/>
      <c r="R5872" s="1"/>
      <c r="Z5872" s="103"/>
      <c r="AA5872" s="103"/>
      <c r="AB5872" s="1"/>
    </row>
    <row r="5873" spans="15:30">
      <c r="O5873" s="1"/>
      <c r="P5873" s="1"/>
      <c r="Q5873" s="1"/>
      <c r="R5873" s="1"/>
      <c r="Z5873" s="103"/>
      <c r="AA5873" s="103"/>
      <c r="AB5873" s="1"/>
    </row>
    <row r="5874" spans="15:30">
      <c r="O5874" s="1"/>
      <c r="P5874" s="1"/>
      <c r="Q5874" s="1"/>
      <c r="R5874" s="1"/>
      <c r="Z5874" s="103"/>
      <c r="AA5874" s="103"/>
      <c r="AB5874" s="1"/>
    </row>
    <row r="5875" spans="15:30">
      <c r="O5875" s="1"/>
      <c r="P5875" s="1"/>
      <c r="Q5875" s="1"/>
      <c r="R5875" s="1"/>
      <c r="Z5875" s="103"/>
      <c r="AA5875" s="103"/>
      <c r="AB5875" s="1"/>
    </row>
    <row r="5876" spans="15:30">
      <c r="O5876" s="1"/>
      <c r="P5876" s="1"/>
      <c r="Q5876" s="1"/>
      <c r="R5876" s="1"/>
      <c r="Z5876" s="103"/>
      <c r="AA5876" s="103"/>
      <c r="AB5876" s="1"/>
    </row>
    <row r="5877" spans="15:30">
      <c r="O5877" s="1"/>
      <c r="P5877" s="1"/>
      <c r="Q5877" s="1"/>
      <c r="R5877" s="1"/>
      <c r="Z5877" s="103"/>
      <c r="AA5877" s="103"/>
      <c r="AB5877" s="1"/>
    </row>
    <row r="5878" spans="15:30">
      <c r="O5878" s="1"/>
      <c r="P5878" s="1"/>
      <c r="Q5878" s="1"/>
      <c r="R5878" s="1"/>
      <c r="Z5878" s="103"/>
      <c r="AA5878" s="103"/>
      <c r="AB5878" s="1"/>
    </row>
    <row r="5879" spans="15:30">
      <c r="O5879" s="1"/>
      <c r="P5879" s="1"/>
      <c r="Q5879" s="1"/>
      <c r="R5879" s="1"/>
      <c r="Z5879" s="103"/>
      <c r="AA5879" s="103"/>
      <c r="AB5879" s="1"/>
      <c r="AD5879" s="102"/>
    </row>
    <row r="5880" spans="15:30">
      <c r="O5880" s="1"/>
      <c r="P5880" s="1"/>
      <c r="Q5880" s="1"/>
      <c r="R5880" s="1"/>
      <c r="Z5880" s="103"/>
      <c r="AA5880" s="103"/>
      <c r="AB5880" s="1"/>
    </row>
    <row r="5881" spans="15:30">
      <c r="O5881" s="1"/>
      <c r="P5881" s="1"/>
      <c r="Q5881" s="1"/>
      <c r="R5881" s="1"/>
      <c r="Z5881" s="103"/>
      <c r="AA5881" s="103"/>
      <c r="AB5881" s="1"/>
    </row>
    <row r="5882" spans="15:30">
      <c r="O5882" s="1"/>
      <c r="P5882" s="1"/>
      <c r="Q5882" s="1"/>
      <c r="R5882" s="1"/>
      <c r="Z5882" s="103"/>
      <c r="AA5882" s="103"/>
      <c r="AB5882" s="1"/>
    </row>
    <row r="5883" spans="15:30">
      <c r="O5883" s="1"/>
      <c r="P5883" s="1"/>
      <c r="Q5883" s="1"/>
      <c r="R5883" s="1"/>
      <c r="Z5883" s="103"/>
      <c r="AA5883" s="103"/>
      <c r="AB5883" s="1"/>
    </row>
    <row r="5884" spans="15:30">
      <c r="O5884" s="1"/>
      <c r="P5884" s="1"/>
      <c r="Q5884" s="1"/>
      <c r="R5884" s="1"/>
      <c r="Z5884" s="103"/>
      <c r="AA5884" s="103"/>
      <c r="AB5884" s="1"/>
    </row>
    <row r="5885" spans="15:30">
      <c r="O5885" s="1"/>
      <c r="P5885" s="1"/>
      <c r="Q5885" s="1"/>
      <c r="R5885" s="1"/>
      <c r="Z5885" s="103"/>
      <c r="AA5885" s="103"/>
      <c r="AB5885" s="1"/>
    </row>
    <row r="5886" spans="15:30">
      <c r="O5886" s="1"/>
      <c r="P5886" s="1"/>
      <c r="Q5886" s="1"/>
      <c r="R5886" s="1"/>
      <c r="Z5886" s="103"/>
      <c r="AA5886" s="103"/>
      <c r="AB5886" s="1"/>
    </row>
    <row r="5887" spans="15:30">
      <c r="O5887" s="1"/>
      <c r="P5887" s="1"/>
      <c r="Q5887" s="1"/>
      <c r="R5887" s="1"/>
      <c r="Z5887" s="103"/>
      <c r="AA5887" s="103"/>
      <c r="AB5887" s="1"/>
    </row>
    <row r="5888" spans="15:30">
      <c r="O5888" s="1"/>
      <c r="P5888" s="1"/>
      <c r="Q5888" s="1"/>
      <c r="R5888" s="1"/>
      <c r="Z5888" s="103"/>
      <c r="AA5888" s="103"/>
      <c r="AB5888" s="1"/>
    </row>
    <row r="5889" spans="15:28">
      <c r="O5889" s="1"/>
      <c r="P5889" s="1"/>
      <c r="Q5889" s="1"/>
      <c r="R5889" s="1"/>
      <c r="Z5889" s="103"/>
      <c r="AA5889" s="103"/>
      <c r="AB5889" s="1"/>
    </row>
    <row r="5890" spans="15:28">
      <c r="O5890" s="1"/>
      <c r="P5890" s="1"/>
      <c r="Q5890" s="1"/>
      <c r="R5890" s="1"/>
      <c r="Z5890" s="103"/>
      <c r="AA5890" s="103"/>
      <c r="AB5890" s="1"/>
    </row>
    <row r="5891" spans="15:28">
      <c r="O5891" s="1"/>
      <c r="P5891" s="1"/>
      <c r="Q5891" s="1"/>
      <c r="R5891" s="1"/>
      <c r="Z5891" s="103"/>
      <c r="AA5891" s="103"/>
      <c r="AB5891" s="1"/>
    </row>
    <row r="5892" spans="15:28">
      <c r="O5892" s="1"/>
      <c r="P5892" s="1"/>
      <c r="Q5892" s="1"/>
      <c r="R5892" s="1"/>
      <c r="Z5892" s="103"/>
      <c r="AA5892" s="103"/>
      <c r="AB5892" s="1"/>
    </row>
    <row r="5893" spans="15:28">
      <c r="O5893" s="1"/>
      <c r="P5893" s="1"/>
      <c r="Q5893" s="1"/>
      <c r="R5893" s="1"/>
      <c r="Z5893" s="103"/>
      <c r="AA5893" s="103"/>
      <c r="AB5893" s="1"/>
    </row>
    <row r="5894" spans="15:28">
      <c r="O5894" s="1"/>
      <c r="P5894" s="1"/>
      <c r="Q5894" s="1"/>
      <c r="R5894" s="1"/>
      <c r="Z5894" s="103"/>
      <c r="AA5894" s="103"/>
      <c r="AB5894" s="1"/>
    </row>
    <row r="5895" spans="15:28">
      <c r="O5895" s="1"/>
      <c r="P5895" s="1"/>
      <c r="Q5895" s="1"/>
      <c r="R5895" s="1"/>
      <c r="Z5895" s="103"/>
      <c r="AA5895" s="103"/>
      <c r="AB5895" s="1"/>
    </row>
    <row r="5896" spans="15:28">
      <c r="O5896" s="1"/>
      <c r="P5896" s="1"/>
      <c r="Q5896" s="1"/>
      <c r="R5896" s="1"/>
      <c r="Z5896" s="103"/>
      <c r="AA5896" s="103"/>
      <c r="AB5896" s="1"/>
    </row>
    <row r="5897" spans="15:28">
      <c r="O5897" s="1"/>
      <c r="P5897" s="1"/>
      <c r="Q5897" s="1"/>
      <c r="R5897" s="1"/>
      <c r="Z5897" s="103"/>
      <c r="AA5897" s="103"/>
      <c r="AB5897" s="1"/>
    </row>
    <row r="5898" spans="15:28">
      <c r="O5898" s="1"/>
      <c r="P5898" s="1"/>
      <c r="Q5898" s="1"/>
      <c r="R5898" s="1"/>
      <c r="Z5898" s="103"/>
      <c r="AA5898" s="103"/>
      <c r="AB5898" s="1"/>
    </row>
    <row r="5899" spans="15:28">
      <c r="O5899" s="1"/>
      <c r="P5899" s="1"/>
      <c r="Q5899" s="1"/>
      <c r="R5899" s="1"/>
      <c r="Z5899" s="103"/>
      <c r="AA5899" s="103"/>
      <c r="AB5899" s="1"/>
    </row>
    <row r="5900" spans="15:28">
      <c r="O5900" s="1"/>
      <c r="P5900" s="1"/>
      <c r="Q5900" s="1"/>
      <c r="R5900" s="1"/>
      <c r="Z5900" s="103"/>
      <c r="AA5900" s="103"/>
      <c r="AB5900" s="1"/>
    </row>
    <row r="5901" spans="15:28">
      <c r="O5901" s="1"/>
      <c r="P5901" s="1"/>
      <c r="Q5901" s="1"/>
      <c r="R5901" s="1"/>
      <c r="Z5901" s="103"/>
      <c r="AA5901" s="103"/>
      <c r="AB5901" s="1"/>
    </row>
    <row r="5902" spans="15:28">
      <c r="O5902" s="1"/>
      <c r="P5902" s="1"/>
      <c r="Q5902" s="1"/>
      <c r="R5902" s="1"/>
      <c r="Z5902" s="103"/>
      <c r="AA5902" s="103"/>
      <c r="AB5902" s="1"/>
    </row>
    <row r="5903" spans="15:28">
      <c r="O5903" s="1"/>
      <c r="P5903" s="1"/>
      <c r="Q5903" s="1"/>
      <c r="R5903" s="1"/>
      <c r="Z5903" s="103"/>
      <c r="AA5903" s="103"/>
      <c r="AB5903" s="1"/>
    </row>
    <row r="5904" spans="15:28">
      <c r="O5904" s="1"/>
      <c r="P5904" s="1"/>
      <c r="Q5904" s="1"/>
      <c r="R5904" s="1"/>
      <c r="Z5904" s="103"/>
      <c r="AA5904" s="103"/>
      <c r="AB5904" s="1"/>
    </row>
    <row r="5905" spans="15:30">
      <c r="O5905" s="1"/>
      <c r="P5905" s="1"/>
      <c r="Q5905" s="1"/>
      <c r="R5905" s="1"/>
      <c r="Z5905" s="103"/>
      <c r="AA5905" s="103"/>
      <c r="AB5905" s="1"/>
    </row>
    <row r="5906" spans="15:30">
      <c r="O5906" s="1"/>
      <c r="P5906" s="1"/>
      <c r="Q5906" s="1"/>
      <c r="R5906" s="1"/>
      <c r="Z5906" s="103"/>
      <c r="AA5906" s="103"/>
      <c r="AB5906" s="1"/>
    </row>
    <row r="5907" spans="15:30">
      <c r="O5907" s="1"/>
      <c r="P5907" s="1"/>
      <c r="Q5907" s="1"/>
      <c r="R5907" s="1"/>
      <c r="Z5907" s="103"/>
      <c r="AA5907" s="103"/>
      <c r="AB5907" s="1"/>
    </row>
    <row r="5908" spans="15:30">
      <c r="O5908" s="1"/>
      <c r="P5908" s="1"/>
      <c r="Q5908" s="1"/>
      <c r="R5908" s="1"/>
      <c r="Z5908" s="103"/>
      <c r="AA5908" s="103"/>
      <c r="AB5908" s="1"/>
    </row>
    <row r="5909" spans="15:30">
      <c r="O5909" s="1"/>
      <c r="P5909" s="1"/>
      <c r="Q5909" s="1"/>
      <c r="R5909" s="1"/>
      <c r="Z5909" s="103"/>
      <c r="AA5909" s="103"/>
      <c r="AB5909" s="1"/>
    </row>
    <row r="5910" spans="15:30">
      <c r="O5910" s="1"/>
      <c r="P5910" s="1"/>
      <c r="Q5910" s="1"/>
      <c r="R5910" s="1"/>
      <c r="Z5910" s="103"/>
      <c r="AA5910" s="103"/>
      <c r="AB5910" s="1"/>
    </row>
    <row r="5911" spans="15:30">
      <c r="O5911" s="1"/>
      <c r="P5911" s="1"/>
      <c r="Q5911" s="1"/>
      <c r="R5911" s="1"/>
      <c r="Z5911" s="103"/>
      <c r="AA5911" s="103"/>
      <c r="AB5911" s="1"/>
    </row>
    <row r="5912" spans="15:30">
      <c r="O5912" s="1"/>
      <c r="P5912" s="1"/>
      <c r="Q5912" s="1"/>
      <c r="R5912" s="1"/>
      <c r="Z5912" s="103"/>
      <c r="AA5912" s="103"/>
      <c r="AB5912" s="1"/>
    </row>
    <row r="5913" spans="15:30">
      <c r="O5913" s="1"/>
      <c r="P5913" s="1"/>
      <c r="Q5913" s="1"/>
      <c r="R5913" s="1"/>
      <c r="Z5913" s="103"/>
      <c r="AA5913" s="103"/>
      <c r="AB5913" s="1"/>
    </row>
    <row r="5914" spans="15:30">
      <c r="O5914" s="1"/>
      <c r="P5914" s="1"/>
      <c r="Q5914" s="1"/>
      <c r="R5914" s="1"/>
      <c r="Z5914" s="103"/>
      <c r="AA5914" s="103"/>
      <c r="AB5914" s="1"/>
      <c r="AD5914" s="102"/>
    </row>
    <row r="5915" spans="15:30">
      <c r="O5915" s="1"/>
      <c r="P5915" s="1"/>
      <c r="Q5915" s="1"/>
      <c r="R5915" s="1"/>
      <c r="Z5915" s="103"/>
      <c r="AA5915" s="103"/>
      <c r="AB5915" s="1"/>
    </row>
    <row r="5916" spans="15:30">
      <c r="O5916" s="1"/>
      <c r="P5916" s="1"/>
      <c r="Q5916" s="1"/>
      <c r="R5916" s="1"/>
      <c r="Z5916" s="103"/>
      <c r="AA5916" s="103"/>
      <c r="AB5916" s="1"/>
    </row>
    <row r="5917" spans="15:30">
      <c r="O5917" s="1"/>
      <c r="P5917" s="1"/>
      <c r="Q5917" s="1"/>
      <c r="R5917" s="1"/>
      <c r="Z5917" s="103"/>
      <c r="AA5917" s="103"/>
      <c r="AB5917" s="1"/>
    </row>
    <row r="5918" spans="15:30">
      <c r="O5918" s="1"/>
      <c r="P5918" s="1"/>
      <c r="Q5918" s="1"/>
      <c r="R5918" s="1"/>
      <c r="Z5918" s="103"/>
      <c r="AA5918" s="103"/>
      <c r="AB5918" s="1"/>
    </row>
    <row r="5919" spans="15:30">
      <c r="O5919" s="1"/>
      <c r="P5919" s="1"/>
      <c r="Q5919" s="1"/>
      <c r="R5919" s="1"/>
      <c r="Z5919" s="103"/>
      <c r="AA5919" s="103"/>
      <c r="AB5919" s="1"/>
    </row>
    <row r="5920" spans="15:30">
      <c r="O5920" s="1"/>
      <c r="P5920" s="1"/>
      <c r="Q5920" s="1"/>
      <c r="R5920" s="1"/>
      <c r="Z5920" s="103"/>
      <c r="AA5920" s="103"/>
      <c r="AB5920" s="1"/>
    </row>
    <row r="5921" spans="15:28">
      <c r="O5921" s="1"/>
      <c r="P5921" s="1"/>
      <c r="Q5921" s="1"/>
      <c r="R5921" s="1"/>
      <c r="Z5921" s="103"/>
      <c r="AA5921" s="103"/>
      <c r="AB5921" s="1"/>
    </row>
    <row r="5922" spans="15:28">
      <c r="O5922" s="1"/>
      <c r="P5922" s="1"/>
      <c r="Q5922" s="1"/>
      <c r="R5922" s="1"/>
      <c r="Z5922" s="103"/>
      <c r="AA5922" s="103"/>
      <c r="AB5922" s="1"/>
    </row>
    <row r="5923" spans="15:28">
      <c r="O5923" s="1"/>
      <c r="P5923" s="1"/>
      <c r="Q5923" s="1"/>
      <c r="R5923" s="1"/>
      <c r="Z5923" s="103"/>
      <c r="AA5923" s="103"/>
      <c r="AB5923" s="1"/>
    </row>
    <row r="5924" spans="15:28">
      <c r="O5924" s="1"/>
      <c r="P5924" s="1"/>
      <c r="Q5924" s="1"/>
      <c r="R5924" s="1"/>
      <c r="Z5924" s="103"/>
      <c r="AA5924" s="103"/>
      <c r="AB5924" s="1"/>
    </row>
    <row r="5925" spans="15:28">
      <c r="O5925" s="1"/>
      <c r="P5925" s="1"/>
      <c r="Q5925" s="1"/>
      <c r="R5925" s="1"/>
      <c r="Z5925" s="103"/>
      <c r="AA5925" s="103"/>
      <c r="AB5925" s="1"/>
    </row>
    <row r="5926" spans="15:28">
      <c r="O5926" s="1"/>
      <c r="P5926" s="1"/>
      <c r="Q5926" s="1"/>
      <c r="R5926" s="1"/>
      <c r="Z5926" s="103"/>
      <c r="AA5926" s="103"/>
      <c r="AB5926" s="1"/>
    </row>
    <row r="5927" spans="15:28">
      <c r="O5927" s="1"/>
      <c r="P5927" s="1"/>
      <c r="Q5927" s="1"/>
      <c r="R5927" s="1"/>
      <c r="Z5927" s="103"/>
      <c r="AA5927" s="103"/>
      <c r="AB5927" s="1"/>
    </row>
    <row r="5928" spans="15:28">
      <c r="O5928" s="1"/>
      <c r="P5928" s="1"/>
      <c r="Q5928" s="1"/>
      <c r="R5928" s="1"/>
      <c r="Z5928" s="103"/>
      <c r="AA5928" s="103"/>
      <c r="AB5928" s="1"/>
    </row>
    <row r="5929" spans="15:28">
      <c r="O5929" s="1"/>
      <c r="P5929" s="1"/>
      <c r="Q5929" s="1"/>
      <c r="R5929" s="1"/>
      <c r="Z5929" s="103"/>
      <c r="AA5929" s="103"/>
      <c r="AB5929" s="1"/>
    </row>
    <row r="5930" spans="15:28">
      <c r="O5930" s="1"/>
      <c r="P5930" s="1"/>
      <c r="Q5930" s="1"/>
      <c r="R5930" s="1"/>
      <c r="Z5930" s="103"/>
      <c r="AA5930" s="103"/>
      <c r="AB5930" s="1"/>
    </row>
    <row r="5931" spans="15:28">
      <c r="O5931" s="1"/>
      <c r="P5931" s="1"/>
      <c r="Q5931" s="1"/>
      <c r="R5931" s="1"/>
      <c r="Z5931" s="103"/>
      <c r="AA5931" s="103"/>
      <c r="AB5931" s="1"/>
    </row>
    <row r="5932" spans="15:28">
      <c r="O5932" s="1"/>
      <c r="P5932" s="1"/>
      <c r="Q5932" s="1"/>
      <c r="R5932" s="1"/>
      <c r="Z5932" s="103"/>
      <c r="AA5932" s="103"/>
      <c r="AB5932" s="1"/>
    </row>
    <row r="5933" spans="15:28">
      <c r="O5933" s="1"/>
      <c r="P5933" s="1"/>
      <c r="Q5933" s="1"/>
      <c r="R5933" s="1"/>
      <c r="Z5933" s="103"/>
      <c r="AA5933" s="103"/>
      <c r="AB5933" s="1"/>
    </row>
    <row r="5934" spans="15:28">
      <c r="O5934" s="1"/>
      <c r="P5934" s="1"/>
      <c r="Q5934" s="1"/>
      <c r="R5934" s="1"/>
      <c r="Z5934" s="103"/>
      <c r="AA5934" s="103"/>
      <c r="AB5934" s="1"/>
    </row>
    <row r="5935" spans="15:28">
      <c r="O5935" s="1"/>
      <c r="P5935" s="1"/>
      <c r="Q5935" s="1"/>
      <c r="R5935" s="1"/>
      <c r="Z5935" s="103"/>
      <c r="AA5935" s="103"/>
      <c r="AB5935" s="1"/>
    </row>
    <row r="5936" spans="15:28">
      <c r="O5936" s="1"/>
      <c r="P5936" s="1"/>
      <c r="Q5936" s="1"/>
      <c r="R5936" s="1"/>
      <c r="Z5936" s="103"/>
      <c r="AA5936" s="103"/>
      <c r="AB5936" s="1"/>
    </row>
    <row r="5937" spans="15:30">
      <c r="O5937" s="1"/>
      <c r="P5937" s="1"/>
      <c r="Q5937" s="1"/>
      <c r="R5937" s="1"/>
      <c r="Z5937" s="103"/>
      <c r="AA5937" s="103"/>
      <c r="AB5937" s="1"/>
    </row>
    <row r="5938" spans="15:30">
      <c r="O5938" s="1"/>
      <c r="P5938" s="1"/>
      <c r="Q5938" s="1"/>
      <c r="R5938" s="1"/>
      <c r="Z5938" s="103"/>
      <c r="AA5938" s="103"/>
      <c r="AB5938" s="1"/>
    </row>
    <row r="5939" spans="15:30">
      <c r="O5939" s="1"/>
      <c r="P5939" s="1"/>
      <c r="Q5939" s="1"/>
      <c r="R5939" s="1"/>
      <c r="Z5939" s="103"/>
      <c r="AA5939" s="103"/>
      <c r="AB5939" s="1"/>
      <c r="AD5939" s="102"/>
    </row>
    <row r="5940" spans="15:30">
      <c r="O5940" s="1"/>
      <c r="P5940" s="1"/>
      <c r="Q5940" s="1"/>
      <c r="R5940" s="1"/>
      <c r="Z5940" s="103"/>
      <c r="AA5940" s="103"/>
      <c r="AB5940" s="1"/>
    </row>
    <row r="5941" spans="15:30">
      <c r="O5941" s="1"/>
      <c r="P5941" s="1"/>
      <c r="Q5941" s="1"/>
      <c r="R5941" s="1"/>
      <c r="Z5941" s="103"/>
      <c r="AA5941" s="103"/>
      <c r="AB5941" s="1"/>
    </row>
    <row r="5942" spans="15:30">
      <c r="O5942" s="1"/>
      <c r="P5942" s="1"/>
      <c r="Q5942" s="1"/>
      <c r="R5942" s="1"/>
      <c r="Z5942" s="103"/>
      <c r="AA5942" s="103"/>
      <c r="AB5942" s="1"/>
    </row>
    <row r="5943" spans="15:30">
      <c r="O5943" s="1"/>
      <c r="P5943" s="1"/>
      <c r="Q5943" s="1"/>
      <c r="R5943" s="1"/>
      <c r="Z5943" s="103"/>
      <c r="AA5943" s="103"/>
      <c r="AB5943" s="1"/>
    </row>
    <row r="5944" spans="15:30">
      <c r="O5944" s="1"/>
      <c r="P5944" s="1"/>
      <c r="Q5944" s="1"/>
      <c r="R5944" s="1"/>
      <c r="Z5944" s="103"/>
      <c r="AA5944" s="103"/>
      <c r="AB5944" s="1"/>
    </row>
    <row r="5945" spans="15:30">
      <c r="O5945" s="1"/>
      <c r="P5945" s="1"/>
      <c r="Q5945" s="1"/>
      <c r="R5945" s="1"/>
      <c r="Z5945" s="103"/>
      <c r="AA5945" s="103"/>
      <c r="AB5945" s="1"/>
    </row>
    <row r="5946" spans="15:30">
      <c r="O5946" s="1"/>
      <c r="P5946" s="1"/>
      <c r="Q5946" s="1"/>
      <c r="R5946" s="1"/>
      <c r="Z5946" s="103"/>
      <c r="AA5946" s="103"/>
      <c r="AB5946" s="1"/>
    </row>
    <row r="5947" spans="15:30">
      <c r="O5947" s="1"/>
      <c r="P5947" s="1"/>
      <c r="Q5947" s="1"/>
      <c r="R5947" s="1"/>
      <c r="Z5947" s="103"/>
      <c r="AA5947" s="103"/>
      <c r="AB5947" s="1"/>
    </row>
    <row r="5948" spans="15:30">
      <c r="O5948" s="1"/>
      <c r="P5948" s="1"/>
      <c r="Q5948" s="1"/>
      <c r="R5948" s="1"/>
      <c r="Z5948" s="103"/>
      <c r="AA5948" s="103"/>
      <c r="AB5948" s="1"/>
    </row>
    <row r="5949" spans="15:30">
      <c r="O5949" s="1"/>
      <c r="P5949" s="1"/>
      <c r="Q5949" s="1"/>
      <c r="R5949" s="1"/>
      <c r="Z5949" s="103"/>
      <c r="AA5949" s="103"/>
      <c r="AB5949" s="1"/>
    </row>
    <row r="5950" spans="15:30">
      <c r="O5950" s="1"/>
      <c r="P5950" s="1"/>
      <c r="Q5950" s="1"/>
      <c r="R5950" s="1"/>
      <c r="Z5950" s="103"/>
      <c r="AA5950" s="103"/>
      <c r="AB5950" s="1"/>
    </row>
    <row r="5951" spans="15:30">
      <c r="O5951" s="1"/>
      <c r="P5951" s="1"/>
      <c r="Q5951" s="1"/>
      <c r="R5951" s="1"/>
      <c r="Z5951" s="103"/>
      <c r="AA5951" s="103"/>
      <c r="AB5951" s="1"/>
    </row>
    <row r="5952" spans="15:30">
      <c r="O5952" s="1"/>
      <c r="P5952" s="1"/>
      <c r="Q5952" s="1"/>
      <c r="R5952" s="1"/>
      <c r="Z5952" s="103"/>
      <c r="AA5952" s="103"/>
      <c r="AB5952" s="1"/>
    </row>
    <row r="5953" spans="15:28">
      <c r="O5953" s="1"/>
      <c r="P5953" s="1"/>
      <c r="Q5953" s="1"/>
      <c r="R5953" s="1"/>
      <c r="Z5953" s="103"/>
      <c r="AA5953" s="103"/>
      <c r="AB5953" s="1"/>
    </row>
    <row r="5954" spans="15:28">
      <c r="O5954" s="1"/>
      <c r="P5954" s="1"/>
      <c r="Q5954" s="1"/>
      <c r="R5954" s="1"/>
      <c r="Z5954" s="103"/>
      <c r="AA5954" s="103"/>
      <c r="AB5954" s="1"/>
    </row>
    <row r="5955" spans="15:28">
      <c r="O5955" s="1"/>
      <c r="P5955" s="1"/>
      <c r="Q5955" s="1"/>
      <c r="R5955" s="1"/>
      <c r="Z5955" s="103"/>
      <c r="AA5955" s="103"/>
      <c r="AB5955" s="1"/>
    </row>
    <row r="5956" spans="15:28">
      <c r="O5956" s="1"/>
      <c r="P5956" s="1"/>
      <c r="Q5956" s="1"/>
      <c r="R5956" s="1"/>
      <c r="Z5956" s="103"/>
      <c r="AA5956" s="103"/>
      <c r="AB5956" s="1"/>
    </row>
    <row r="5957" spans="15:28">
      <c r="O5957" s="1"/>
      <c r="P5957" s="1"/>
      <c r="Q5957" s="1"/>
      <c r="R5957" s="1"/>
      <c r="Z5957" s="103"/>
      <c r="AA5957" s="103"/>
      <c r="AB5957" s="1"/>
    </row>
    <row r="5958" spans="15:28">
      <c r="O5958" s="1"/>
      <c r="P5958" s="1"/>
      <c r="Q5958" s="1"/>
      <c r="R5958" s="1"/>
      <c r="Z5958" s="103"/>
      <c r="AA5958" s="103"/>
      <c r="AB5958" s="1"/>
    </row>
    <row r="5959" spans="15:28">
      <c r="O5959" s="1"/>
      <c r="P5959" s="1"/>
      <c r="Q5959" s="1"/>
      <c r="R5959" s="1"/>
      <c r="Z5959" s="103"/>
      <c r="AA5959" s="103"/>
      <c r="AB5959" s="1"/>
    </row>
    <row r="5960" spans="15:28">
      <c r="O5960" s="1"/>
      <c r="P5960" s="1"/>
      <c r="Q5960" s="1"/>
      <c r="R5960" s="1"/>
      <c r="Z5960" s="103"/>
      <c r="AA5960" s="103"/>
      <c r="AB5960" s="1"/>
    </row>
    <row r="5961" spans="15:28">
      <c r="O5961" s="1"/>
      <c r="P5961" s="1"/>
      <c r="Q5961" s="1"/>
      <c r="R5961" s="1"/>
      <c r="Z5961" s="103"/>
      <c r="AA5961" s="103"/>
      <c r="AB5961" s="1"/>
    </row>
    <row r="5962" spans="15:28">
      <c r="O5962" s="1"/>
      <c r="P5962" s="1"/>
      <c r="Q5962" s="1"/>
      <c r="R5962" s="1"/>
      <c r="Z5962" s="103"/>
      <c r="AA5962" s="103"/>
      <c r="AB5962" s="1"/>
    </row>
    <row r="5963" spans="15:28">
      <c r="O5963" s="1"/>
      <c r="P5963" s="1"/>
      <c r="Q5963" s="1"/>
      <c r="R5963" s="1"/>
      <c r="Z5963" s="103"/>
      <c r="AA5963" s="103"/>
      <c r="AB5963" s="1"/>
    </row>
    <row r="5964" spans="15:28">
      <c r="O5964" s="1"/>
      <c r="P5964" s="1"/>
      <c r="Q5964" s="1"/>
      <c r="R5964" s="1"/>
      <c r="Z5964" s="103"/>
      <c r="AA5964" s="103"/>
      <c r="AB5964" s="1"/>
    </row>
    <row r="5965" spans="15:28">
      <c r="O5965" s="1"/>
      <c r="P5965" s="1"/>
      <c r="Q5965" s="1"/>
      <c r="R5965" s="1"/>
      <c r="Z5965" s="103"/>
      <c r="AA5965" s="103"/>
      <c r="AB5965" s="1"/>
    </row>
    <row r="5966" spans="15:28">
      <c r="O5966" s="1"/>
      <c r="P5966" s="1"/>
      <c r="Q5966" s="1"/>
      <c r="R5966" s="1"/>
      <c r="Z5966" s="103"/>
      <c r="AA5966" s="103"/>
      <c r="AB5966" s="1"/>
    </row>
    <row r="5967" spans="15:28">
      <c r="O5967" s="1"/>
      <c r="P5967" s="1"/>
      <c r="Q5967" s="1"/>
      <c r="R5967" s="1"/>
      <c r="Z5967" s="103"/>
      <c r="AA5967" s="103"/>
      <c r="AB5967" s="1"/>
    </row>
    <row r="5968" spans="15:28">
      <c r="O5968" s="1"/>
      <c r="P5968" s="1"/>
      <c r="Q5968" s="1"/>
      <c r="R5968" s="1"/>
      <c r="Z5968" s="103"/>
      <c r="AA5968" s="103"/>
      <c r="AB5968" s="1"/>
    </row>
    <row r="5969" spans="15:30">
      <c r="O5969" s="1"/>
      <c r="P5969" s="1"/>
      <c r="Q5969" s="1"/>
      <c r="R5969" s="1"/>
      <c r="Z5969" s="103"/>
      <c r="AA5969" s="103"/>
      <c r="AB5969" s="1"/>
    </row>
    <row r="5970" spans="15:30">
      <c r="O5970" s="1"/>
      <c r="P5970" s="1"/>
      <c r="Q5970" s="1"/>
      <c r="R5970" s="1"/>
      <c r="Z5970" s="103"/>
      <c r="AA5970" s="103"/>
      <c r="AB5970" s="1"/>
    </row>
    <row r="5971" spans="15:30">
      <c r="O5971" s="1"/>
      <c r="P5971" s="1"/>
      <c r="Q5971" s="1"/>
      <c r="R5971" s="1"/>
      <c r="Z5971" s="103"/>
      <c r="AA5971" s="103"/>
      <c r="AB5971" s="1"/>
    </row>
    <row r="5972" spans="15:30">
      <c r="O5972" s="1"/>
      <c r="P5972" s="1"/>
      <c r="Q5972" s="1"/>
      <c r="R5972" s="1"/>
      <c r="Z5972" s="103"/>
      <c r="AA5972" s="103"/>
      <c r="AB5972" s="1"/>
      <c r="AD5972" s="102"/>
    </row>
    <row r="5973" spans="15:30">
      <c r="O5973" s="1"/>
      <c r="P5973" s="1"/>
      <c r="Q5973" s="1"/>
      <c r="R5973" s="1"/>
      <c r="Z5973" s="103"/>
      <c r="AA5973" s="103"/>
      <c r="AB5973" s="1"/>
    </row>
    <row r="5974" spans="15:30">
      <c r="O5974" s="1"/>
      <c r="P5974" s="1"/>
      <c r="Q5974" s="1"/>
      <c r="R5974" s="1"/>
      <c r="Z5974" s="103"/>
      <c r="AA5974" s="103"/>
      <c r="AB5974" s="1"/>
    </row>
    <row r="5975" spans="15:30">
      <c r="O5975" s="1"/>
      <c r="P5975" s="1"/>
      <c r="Q5975" s="1"/>
      <c r="R5975" s="1"/>
      <c r="Z5975" s="103"/>
      <c r="AA5975" s="103"/>
      <c r="AB5975" s="1"/>
    </row>
    <row r="5976" spans="15:30">
      <c r="O5976" s="1"/>
      <c r="P5976" s="1"/>
      <c r="Q5976" s="1"/>
      <c r="R5976" s="1"/>
      <c r="Z5976" s="103"/>
      <c r="AA5976" s="103"/>
      <c r="AB5976" s="1"/>
    </row>
    <row r="5977" spans="15:30">
      <c r="O5977" s="1"/>
      <c r="P5977" s="1"/>
      <c r="Q5977" s="1"/>
      <c r="R5977" s="1"/>
      <c r="Z5977" s="103"/>
      <c r="AA5977" s="103"/>
      <c r="AB5977" s="1"/>
    </row>
    <row r="5978" spans="15:30">
      <c r="O5978" s="1"/>
      <c r="P5978" s="1"/>
      <c r="Q5978" s="1"/>
      <c r="R5978" s="1"/>
      <c r="Z5978" s="103"/>
      <c r="AA5978" s="103"/>
      <c r="AB5978" s="1"/>
    </row>
    <row r="5979" spans="15:30">
      <c r="O5979" s="1"/>
      <c r="P5979" s="1"/>
      <c r="Q5979" s="1"/>
      <c r="R5979" s="1"/>
      <c r="Z5979" s="103"/>
      <c r="AA5979" s="103"/>
      <c r="AB5979" s="1"/>
    </row>
    <row r="5980" spans="15:30">
      <c r="O5980" s="1"/>
      <c r="P5980" s="1"/>
      <c r="Q5980" s="1"/>
      <c r="R5980" s="1"/>
      <c r="Z5980" s="103"/>
      <c r="AA5980" s="103"/>
      <c r="AB5980" s="1"/>
    </row>
    <row r="5981" spans="15:30">
      <c r="O5981" s="1"/>
      <c r="P5981" s="1"/>
      <c r="Q5981" s="1"/>
      <c r="R5981" s="1"/>
      <c r="Z5981" s="103"/>
      <c r="AA5981" s="103"/>
      <c r="AB5981" s="1"/>
    </row>
    <row r="5982" spans="15:30">
      <c r="O5982" s="1"/>
      <c r="P5982" s="1"/>
      <c r="Q5982" s="1"/>
      <c r="R5982" s="1"/>
      <c r="Z5982" s="103"/>
      <c r="AA5982" s="103"/>
      <c r="AB5982" s="1"/>
    </row>
    <row r="5983" spans="15:30">
      <c r="O5983" s="1"/>
      <c r="P5983" s="1"/>
      <c r="Q5983" s="1"/>
      <c r="R5983" s="1"/>
      <c r="Z5983" s="103"/>
      <c r="AA5983" s="103"/>
      <c r="AB5983" s="1"/>
    </row>
    <row r="5984" spans="15:30">
      <c r="O5984" s="1"/>
      <c r="P5984" s="1"/>
      <c r="Q5984" s="1"/>
      <c r="R5984" s="1"/>
      <c r="Z5984" s="103"/>
      <c r="AA5984" s="103"/>
      <c r="AB5984" s="1"/>
    </row>
    <row r="5985" spans="15:28">
      <c r="O5985" s="1"/>
      <c r="P5985" s="1"/>
      <c r="Q5985" s="1"/>
      <c r="R5985" s="1"/>
      <c r="Z5985" s="103"/>
      <c r="AA5985" s="103"/>
      <c r="AB5985" s="1"/>
    </row>
    <row r="5986" spans="15:28">
      <c r="O5986" s="1"/>
      <c r="P5986" s="1"/>
      <c r="Q5986" s="1"/>
      <c r="R5986" s="1"/>
      <c r="Z5986" s="103"/>
      <c r="AA5986" s="103"/>
      <c r="AB5986" s="1"/>
    </row>
    <row r="5987" spans="15:28">
      <c r="O5987" s="1"/>
      <c r="P5987" s="1"/>
      <c r="Q5987" s="1"/>
      <c r="R5987" s="1"/>
      <c r="Z5987" s="103"/>
      <c r="AA5987" s="103"/>
      <c r="AB5987" s="1"/>
    </row>
    <row r="5988" spans="15:28">
      <c r="O5988" s="1"/>
      <c r="P5988" s="1"/>
      <c r="Q5988" s="1"/>
      <c r="R5988" s="1"/>
      <c r="Z5988" s="103"/>
      <c r="AA5988" s="103"/>
      <c r="AB5988" s="1"/>
    </row>
    <row r="5989" spans="15:28">
      <c r="O5989" s="1"/>
      <c r="P5989" s="1"/>
      <c r="Q5989" s="1"/>
      <c r="R5989" s="1"/>
      <c r="Z5989" s="103"/>
      <c r="AA5989" s="103"/>
      <c r="AB5989" s="1"/>
    </row>
    <row r="5990" spans="15:28">
      <c r="O5990" s="1"/>
      <c r="P5990" s="1"/>
      <c r="Q5990" s="1"/>
      <c r="R5990" s="1"/>
      <c r="Z5990" s="103"/>
      <c r="AA5990" s="103"/>
      <c r="AB5990" s="1"/>
    </row>
    <row r="5991" spans="15:28">
      <c r="O5991" s="1"/>
      <c r="P5991" s="1"/>
      <c r="Q5991" s="1"/>
      <c r="R5991" s="1"/>
      <c r="Z5991" s="103"/>
      <c r="AA5991" s="103"/>
      <c r="AB5991" s="1"/>
    </row>
    <row r="5992" spans="15:28">
      <c r="O5992" s="1"/>
      <c r="P5992" s="1"/>
      <c r="Q5992" s="1"/>
      <c r="R5992" s="1"/>
      <c r="Z5992" s="103"/>
      <c r="AA5992" s="103"/>
      <c r="AB5992" s="1"/>
    </row>
    <row r="5993" spans="15:28">
      <c r="O5993" s="1"/>
      <c r="P5993" s="1"/>
      <c r="Q5993" s="1"/>
      <c r="R5993" s="1"/>
      <c r="Z5993" s="103"/>
      <c r="AA5993" s="103"/>
      <c r="AB5993" s="1"/>
    </row>
    <row r="5994" spans="15:28">
      <c r="O5994" s="1"/>
      <c r="P5994" s="1"/>
      <c r="Q5994" s="1"/>
      <c r="R5994" s="1"/>
      <c r="Z5994" s="103"/>
      <c r="AA5994" s="103"/>
      <c r="AB5994" s="1"/>
    </row>
    <row r="5995" spans="15:28">
      <c r="O5995" s="1"/>
      <c r="P5995" s="1"/>
      <c r="Q5995" s="1"/>
      <c r="R5995" s="1"/>
      <c r="Z5995" s="103"/>
      <c r="AA5995" s="103"/>
      <c r="AB5995" s="1"/>
    </row>
    <row r="5996" spans="15:28">
      <c r="O5996" s="1"/>
      <c r="P5996" s="1"/>
      <c r="Q5996" s="1"/>
      <c r="R5996" s="1"/>
      <c r="Z5996" s="103"/>
      <c r="AA5996" s="103"/>
      <c r="AB5996" s="1"/>
    </row>
    <row r="5997" spans="15:28">
      <c r="O5997" s="1"/>
      <c r="P5997" s="1"/>
      <c r="Q5997" s="1"/>
      <c r="R5997" s="1"/>
      <c r="Z5997" s="103"/>
      <c r="AA5997" s="103"/>
      <c r="AB5997" s="1"/>
    </row>
    <row r="5998" spans="15:28">
      <c r="O5998" s="1"/>
      <c r="P5998" s="1"/>
      <c r="Q5998" s="1"/>
      <c r="R5998" s="1"/>
      <c r="Z5998" s="103"/>
      <c r="AA5998" s="103"/>
      <c r="AB5998" s="1"/>
    </row>
    <row r="5999" spans="15:28">
      <c r="O5999" s="1"/>
      <c r="P5999" s="1"/>
      <c r="Q5999" s="1"/>
      <c r="R5999" s="1"/>
      <c r="Z5999" s="103"/>
      <c r="AA5999" s="103"/>
      <c r="AB5999" s="1"/>
    </row>
    <row r="6000" spans="15:28">
      <c r="O6000" s="1"/>
      <c r="P6000" s="1"/>
      <c r="Q6000" s="1"/>
      <c r="R6000" s="1"/>
      <c r="Z6000" s="103"/>
      <c r="AA6000" s="103"/>
      <c r="AB6000" s="1"/>
    </row>
    <row r="6001" spans="15:30">
      <c r="O6001" s="1"/>
      <c r="P6001" s="1"/>
      <c r="Q6001" s="1"/>
      <c r="R6001" s="1"/>
      <c r="Z6001" s="103"/>
      <c r="AA6001" s="103"/>
      <c r="AB6001" s="1"/>
    </row>
    <row r="6002" spans="15:30">
      <c r="O6002" s="1"/>
      <c r="P6002" s="1"/>
      <c r="Q6002" s="1"/>
      <c r="R6002" s="1"/>
      <c r="Z6002" s="103"/>
      <c r="AA6002" s="103"/>
      <c r="AB6002" s="1"/>
      <c r="AD6002" s="102"/>
    </row>
    <row r="6003" spans="15:30">
      <c r="O6003" s="1"/>
      <c r="P6003" s="1"/>
      <c r="Q6003" s="1"/>
      <c r="R6003" s="1"/>
      <c r="Z6003" s="103"/>
      <c r="AA6003" s="103"/>
      <c r="AB6003" s="1"/>
    </row>
    <row r="6004" spans="15:30">
      <c r="O6004" s="1"/>
      <c r="P6004" s="1"/>
      <c r="Q6004" s="1"/>
      <c r="R6004" s="1"/>
      <c r="Z6004" s="103"/>
      <c r="AA6004" s="103"/>
      <c r="AB6004" s="1"/>
      <c r="AD6004" s="102"/>
    </row>
    <row r="6005" spans="15:30">
      <c r="O6005" s="1"/>
      <c r="P6005" s="1"/>
      <c r="Q6005" s="1"/>
      <c r="R6005" s="1"/>
      <c r="Z6005" s="103"/>
      <c r="AA6005" s="103"/>
      <c r="AB6005" s="1"/>
    </row>
    <row r="6006" spans="15:30">
      <c r="O6006" s="1"/>
      <c r="P6006" s="1"/>
      <c r="Q6006" s="1"/>
      <c r="R6006" s="1"/>
      <c r="Z6006" s="103"/>
      <c r="AA6006" s="103"/>
      <c r="AB6006" s="1"/>
    </row>
    <row r="6007" spans="15:30">
      <c r="O6007" s="1"/>
      <c r="P6007" s="1"/>
      <c r="Q6007" s="1"/>
      <c r="R6007" s="1"/>
      <c r="Z6007" s="103"/>
      <c r="AA6007" s="103"/>
      <c r="AB6007" s="1"/>
    </row>
    <row r="6008" spans="15:30">
      <c r="O6008" s="1"/>
      <c r="P6008" s="1"/>
      <c r="Q6008" s="1"/>
      <c r="R6008" s="1"/>
      <c r="Z6008" s="103"/>
      <c r="AA6008" s="103"/>
      <c r="AB6008" s="1"/>
    </row>
    <row r="6009" spans="15:30">
      <c r="O6009" s="1"/>
      <c r="P6009" s="1"/>
      <c r="Q6009" s="1"/>
      <c r="R6009" s="1"/>
      <c r="Z6009" s="103"/>
      <c r="AA6009" s="103"/>
      <c r="AB6009" s="1"/>
    </row>
    <row r="6010" spans="15:30">
      <c r="O6010" s="1"/>
      <c r="P6010" s="1"/>
      <c r="Q6010" s="1"/>
      <c r="R6010" s="1"/>
      <c r="Z6010" s="103"/>
      <c r="AA6010" s="103"/>
      <c r="AB6010" s="1"/>
    </row>
    <row r="6011" spans="15:30">
      <c r="O6011" s="1"/>
      <c r="P6011" s="1"/>
      <c r="Q6011" s="1"/>
      <c r="R6011" s="1"/>
      <c r="Z6011" s="103"/>
      <c r="AA6011" s="103"/>
      <c r="AB6011" s="1"/>
    </row>
    <row r="6012" spans="15:30">
      <c r="O6012" s="1"/>
      <c r="P6012" s="1"/>
      <c r="Q6012" s="1"/>
      <c r="R6012" s="1"/>
      <c r="Z6012" s="103"/>
      <c r="AA6012" s="103"/>
      <c r="AB6012" s="1"/>
    </row>
    <row r="6013" spans="15:30">
      <c r="O6013" s="1"/>
      <c r="P6013" s="1"/>
      <c r="Q6013" s="1"/>
      <c r="R6013" s="1"/>
      <c r="Z6013" s="103"/>
      <c r="AA6013" s="103"/>
      <c r="AB6013" s="1"/>
    </row>
    <row r="6014" spans="15:30">
      <c r="O6014" s="1"/>
      <c r="P6014" s="1"/>
      <c r="Q6014" s="1"/>
      <c r="R6014" s="1"/>
      <c r="Z6014" s="103"/>
      <c r="AA6014" s="103"/>
      <c r="AB6014" s="1"/>
    </row>
    <row r="6015" spans="15:30">
      <c r="O6015" s="1"/>
      <c r="P6015" s="1"/>
      <c r="Q6015" s="1"/>
      <c r="R6015" s="1"/>
      <c r="Z6015" s="103"/>
      <c r="AA6015" s="103"/>
      <c r="AB6015" s="1"/>
    </row>
    <row r="6016" spans="15:30">
      <c r="O6016" s="1"/>
      <c r="P6016" s="1"/>
      <c r="Q6016" s="1"/>
      <c r="R6016" s="1"/>
      <c r="Z6016" s="103"/>
      <c r="AA6016" s="103"/>
      <c r="AB6016" s="1"/>
    </row>
    <row r="6017" spans="15:28">
      <c r="O6017" s="1"/>
      <c r="P6017" s="1"/>
      <c r="Q6017" s="1"/>
      <c r="R6017" s="1"/>
      <c r="Z6017" s="103"/>
      <c r="AA6017" s="103"/>
      <c r="AB6017" s="1"/>
    </row>
    <row r="6018" spans="15:28">
      <c r="O6018" s="1"/>
      <c r="P6018" s="1"/>
      <c r="Q6018" s="1"/>
      <c r="R6018" s="1"/>
      <c r="Z6018" s="103"/>
      <c r="AA6018" s="103"/>
      <c r="AB6018" s="1"/>
    </row>
    <row r="6019" spans="15:28">
      <c r="O6019" s="1"/>
      <c r="P6019" s="1"/>
      <c r="Q6019" s="1"/>
      <c r="R6019" s="1"/>
      <c r="Z6019" s="103"/>
      <c r="AA6019" s="103"/>
      <c r="AB6019" s="1"/>
    </row>
    <row r="6020" spans="15:28">
      <c r="O6020" s="1"/>
      <c r="P6020" s="1"/>
      <c r="Q6020" s="1"/>
      <c r="R6020" s="1"/>
      <c r="Z6020" s="103"/>
      <c r="AA6020" s="103"/>
      <c r="AB6020" s="1"/>
    </row>
    <row r="6021" spans="15:28">
      <c r="O6021" s="1"/>
      <c r="P6021" s="1"/>
      <c r="Q6021" s="1"/>
      <c r="R6021" s="1"/>
      <c r="Z6021" s="103"/>
      <c r="AA6021" s="103"/>
      <c r="AB6021" s="1"/>
    </row>
    <row r="6022" spans="15:28">
      <c r="O6022" s="1"/>
      <c r="P6022" s="1"/>
      <c r="Q6022" s="1"/>
      <c r="R6022" s="1"/>
      <c r="Z6022" s="103"/>
      <c r="AA6022" s="103"/>
      <c r="AB6022" s="1"/>
    </row>
    <row r="6023" spans="15:28">
      <c r="O6023" s="1"/>
      <c r="P6023" s="1"/>
      <c r="Q6023" s="1"/>
      <c r="R6023" s="1"/>
      <c r="Z6023" s="103"/>
      <c r="AA6023" s="103"/>
      <c r="AB6023" s="1"/>
    </row>
    <row r="6024" spans="15:28">
      <c r="O6024" s="1"/>
      <c r="P6024" s="1"/>
      <c r="Q6024" s="1"/>
      <c r="R6024" s="1"/>
      <c r="Z6024" s="103"/>
      <c r="AA6024" s="103"/>
      <c r="AB6024" s="1"/>
    </row>
    <row r="6025" spans="15:28">
      <c r="O6025" s="1"/>
      <c r="P6025" s="1"/>
      <c r="Q6025" s="1"/>
      <c r="R6025" s="1"/>
      <c r="Z6025" s="103"/>
      <c r="AA6025" s="103"/>
      <c r="AB6025" s="1"/>
    </row>
    <row r="6026" spans="15:28">
      <c r="O6026" s="1"/>
      <c r="P6026" s="1"/>
      <c r="Q6026" s="1"/>
      <c r="R6026" s="1"/>
      <c r="Z6026" s="103"/>
      <c r="AA6026" s="103"/>
      <c r="AB6026" s="1"/>
    </row>
    <row r="6027" spans="15:28">
      <c r="O6027" s="1"/>
      <c r="P6027" s="1"/>
      <c r="Q6027" s="1"/>
      <c r="R6027" s="1"/>
      <c r="Z6027" s="103"/>
      <c r="AA6027" s="103"/>
      <c r="AB6027" s="1"/>
    </row>
    <row r="6028" spans="15:28">
      <c r="O6028" s="1"/>
      <c r="P6028" s="1"/>
      <c r="Q6028" s="1"/>
      <c r="R6028" s="1"/>
      <c r="Z6028" s="103"/>
      <c r="AA6028" s="103"/>
      <c r="AB6028" s="1"/>
    </row>
    <row r="6029" spans="15:28">
      <c r="O6029" s="1"/>
      <c r="P6029" s="1"/>
      <c r="Q6029" s="1"/>
      <c r="R6029" s="1"/>
      <c r="Z6029" s="103"/>
      <c r="AA6029" s="103"/>
      <c r="AB6029" s="1"/>
    </row>
    <row r="6030" spans="15:28">
      <c r="O6030" s="1"/>
      <c r="P6030" s="1"/>
      <c r="Q6030" s="1"/>
      <c r="R6030" s="1"/>
      <c r="Z6030" s="103"/>
      <c r="AA6030" s="103"/>
      <c r="AB6030" s="1"/>
    </row>
    <row r="6031" spans="15:28">
      <c r="O6031" s="1"/>
      <c r="P6031" s="1"/>
      <c r="Q6031" s="1"/>
      <c r="R6031" s="1"/>
      <c r="Z6031" s="103"/>
      <c r="AA6031" s="103"/>
      <c r="AB6031" s="1"/>
    </row>
    <row r="6032" spans="15:28">
      <c r="O6032" s="1"/>
      <c r="P6032" s="1"/>
      <c r="Q6032" s="1"/>
      <c r="R6032" s="1"/>
      <c r="Z6032" s="103"/>
      <c r="AA6032" s="103"/>
      <c r="AB6032" s="1"/>
    </row>
    <row r="6033" spans="15:28">
      <c r="O6033" s="1"/>
      <c r="P6033" s="1"/>
      <c r="Q6033" s="1"/>
      <c r="R6033" s="1"/>
      <c r="Z6033" s="103"/>
      <c r="AA6033" s="103"/>
      <c r="AB6033" s="1"/>
    </row>
    <row r="6034" spans="15:28">
      <c r="O6034" s="1"/>
      <c r="P6034" s="1"/>
      <c r="Q6034" s="1"/>
      <c r="R6034" s="1"/>
      <c r="Z6034" s="103"/>
      <c r="AA6034" s="103"/>
      <c r="AB6034" s="1"/>
    </row>
    <row r="6035" spans="15:28">
      <c r="O6035" s="1"/>
      <c r="P6035" s="1"/>
      <c r="Q6035" s="1"/>
      <c r="R6035" s="1"/>
      <c r="Z6035" s="103"/>
      <c r="AA6035" s="103"/>
      <c r="AB6035" s="1"/>
    </row>
    <row r="6036" spans="15:28">
      <c r="O6036" s="1"/>
      <c r="P6036" s="1"/>
      <c r="Q6036" s="1"/>
      <c r="R6036" s="1"/>
      <c r="Z6036" s="103"/>
      <c r="AA6036" s="103"/>
      <c r="AB6036" s="1"/>
    </row>
    <row r="6037" spans="15:28">
      <c r="O6037" s="1"/>
      <c r="P6037" s="1"/>
      <c r="Q6037" s="1"/>
      <c r="R6037" s="1"/>
      <c r="Z6037" s="103"/>
      <c r="AA6037" s="103"/>
      <c r="AB6037" s="1"/>
    </row>
    <row r="6038" spans="15:28">
      <c r="O6038" s="1"/>
      <c r="P6038" s="1"/>
      <c r="Q6038" s="1"/>
      <c r="R6038" s="1"/>
      <c r="Z6038" s="103"/>
      <c r="AA6038" s="103"/>
      <c r="AB6038" s="1"/>
    </row>
    <row r="6039" spans="15:28">
      <c r="O6039" s="1"/>
      <c r="P6039" s="1"/>
      <c r="Q6039" s="1"/>
      <c r="R6039" s="1"/>
      <c r="Z6039" s="103"/>
      <c r="AA6039" s="103"/>
      <c r="AB6039" s="1"/>
    </row>
    <row r="6040" spans="15:28">
      <c r="O6040" s="1"/>
      <c r="P6040" s="1"/>
      <c r="Q6040" s="1"/>
      <c r="R6040" s="1"/>
      <c r="Z6040" s="103"/>
      <c r="AA6040" s="103"/>
      <c r="AB6040" s="1"/>
    </row>
    <row r="6041" spans="15:28">
      <c r="O6041" s="1"/>
      <c r="P6041" s="1"/>
      <c r="Q6041" s="1"/>
      <c r="R6041" s="1"/>
      <c r="Z6041" s="103"/>
      <c r="AA6041" s="103"/>
      <c r="AB6041" s="1"/>
    </row>
    <row r="6042" spans="15:28">
      <c r="O6042" s="1"/>
      <c r="P6042" s="1"/>
      <c r="Q6042" s="1"/>
      <c r="R6042" s="1"/>
      <c r="Z6042" s="103"/>
      <c r="AA6042" s="103"/>
      <c r="AB6042" s="1"/>
    </row>
    <row r="6043" spans="15:28">
      <c r="O6043" s="1"/>
      <c r="P6043" s="1"/>
      <c r="Q6043" s="1"/>
      <c r="R6043" s="1"/>
      <c r="Z6043" s="103"/>
      <c r="AA6043" s="103"/>
      <c r="AB6043" s="1"/>
    </row>
    <row r="6044" spans="15:28">
      <c r="O6044" s="1"/>
      <c r="P6044" s="1"/>
      <c r="Q6044" s="1"/>
      <c r="R6044" s="1"/>
      <c r="Z6044" s="103"/>
      <c r="AA6044" s="103"/>
      <c r="AB6044" s="1"/>
    </row>
    <row r="6045" spans="15:28">
      <c r="O6045" s="1"/>
      <c r="P6045" s="1"/>
      <c r="Q6045" s="1"/>
      <c r="R6045" s="1"/>
      <c r="Z6045" s="103"/>
      <c r="AA6045" s="103"/>
      <c r="AB6045" s="1"/>
    </row>
    <row r="6046" spans="15:28">
      <c r="O6046" s="1"/>
      <c r="P6046" s="1"/>
      <c r="Q6046" s="1"/>
      <c r="R6046" s="1"/>
      <c r="Z6046" s="103"/>
      <c r="AA6046" s="103"/>
      <c r="AB6046" s="1"/>
    </row>
    <row r="6047" spans="15:28">
      <c r="O6047" s="1"/>
      <c r="P6047" s="1"/>
      <c r="Q6047" s="1"/>
      <c r="R6047" s="1"/>
      <c r="Z6047" s="103"/>
      <c r="AA6047" s="103"/>
      <c r="AB6047" s="1"/>
    </row>
    <row r="6048" spans="15:28">
      <c r="O6048" s="1"/>
      <c r="P6048" s="1"/>
      <c r="Q6048" s="1"/>
      <c r="R6048" s="1"/>
      <c r="Z6048" s="103"/>
      <c r="AA6048" s="103"/>
      <c r="AB6048" s="1"/>
    </row>
    <row r="6049" spans="15:30">
      <c r="O6049" s="1"/>
      <c r="P6049" s="1"/>
      <c r="Q6049" s="1"/>
      <c r="R6049" s="1"/>
      <c r="Z6049" s="103"/>
      <c r="AA6049" s="103"/>
      <c r="AB6049" s="1"/>
    </row>
    <row r="6050" spans="15:30">
      <c r="O6050" s="1"/>
      <c r="P6050" s="1"/>
      <c r="Q6050" s="1"/>
      <c r="R6050" s="1"/>
      <c r="Z6050" s="103"/>
      <c r="AA6050" s="103"/>
      <c r="AB6050" s="1"/>
    </row>
    <row r="6051" spans="15:30">
      <c r="O6051" s="1"/>
      <c r="P6051" s="1"/>
      <c r="Q6051" s="1"/>
      <c r="R6051" s="1"/>
      <c r="Z6051" s="103"/>
      <c r="AA6051" s="103"/>
      <c r="AB6051" s="1"/>
    </row>
    <row r="6052" spans="15:30">
      <c r="O6052" s="1"/>
      <c r="P6052" s="1"/>
      <c r="Q6052" s="1"/>
      <c r="R6052" s="1"/>
      <c r="Z6052" s="103"/>
      <c r="AA6052" s="103"/>
      <c r="AB6052" s="1"/>
    </row>
    <row r="6053" spans="15:30">
      <c r="O6053" s="1"/>
      <c r="P6053" s="1"/>
      <c r="Q6053" s="1"/>
      <c r="R6053" s="1"/>
      <c r="Z6053" s="103"/>
      <c r="AA6053" s="103"/>
      <c r="AB6053" s="1"/>
      <c r="AD6053" s="102"/>
    </row>
    <row r="6054" spans="15:30">
      <c r="O6054" s="1"/>
      <c r="P6054" s="1"/>
      <c r="Q6054" s="1"/>
      <c r="R6054" s="1"/>
      <c r="Z6054" s="103"/>
      <c r="AA6054" s="103"/>
      <c r="AB6054" s="1"/>
    </row>
    <row r="6055" spans="15:30">
      <c r="O6055" s="1"/>
      <c r="P6055" s="1"/>
      <c r="Q6055" s="1"/>
      <c r="R6055" s="1"/>
      <c r="Z6055" s="103"/>
      <c r="AA6055" s="103"/>
      <c r="AB6055" s="1"/>
    </row>
    <row r="6056" spans="15:30">
      <c r="O6056" s="1"/>
      <c r="P6056" s="1"/>
      <c r="Q6056" s="1"/>
      <c r="R6056" s="1"/>
      <c r="Z6056" s="103"/>
      <c r="AA6056" s="103"/>
      <c r="AB6056" s="1"/>
    </row>
    <row r="6057" spans="15:30">
      <c r="O6057" s="1"/>
      <c r="P6057" s="1"/>
      <c r="Q6057" s="1"/>
      <c r="R6057" s="1"/>
      <c r="Z6057" s="103"/>
      <c r="AA6057" s="103"/>
      <c r="AB6057" s="1"/>
    </row>
    <row r="6058" spans="15:30">
      <c r="O6058" s="1"/>
      <c r="P6058" s="1"/>
      <c r="Q6058" s="1"/>
      <c r="R6058" s="1"/>
      <c r="Z6058" s="103"/>
      <c r="AA6058" s="103"/>
      <c r="AB6058" s="1"/>
    </row>
    <row r="6059" spans="15:30">
      <c r="O6059" s="1"/>
      <c r="P6059" s="1"/>
      <c r="Q6059" s="1"/>
      <c r="R6059" s="1"/>
      <c r="Z6059" s="103"/>
      <c r="AA6059" s="103"/>
      <c r="AB6059" s="1"/>
    </row>
    <row r="6060" spans="15:30">
      <c r="O6060" s="1"/>
      <c r="P6060" s="1"/>
      <c r="Q6060" s="1"/>
      <c r="R6060" s="1"/>
      <c r="Z6060" s="103"/>
      <c r="AA6060" s="103"/>
      <c r="AB6060" s="1"/>
    </row>
    <row r="6061" spans="15:30">
      <c r="O6061" s="1"/>
      <c r="P6061" s="1"/>
      <c r="Q6061" s="1"/>
      <c r="R6061" s="1"/>
      <c r="Z6061" s="103"/>
      <c r="AA6061" s="103"/>
      <c r="AB6061" s="1"/>
    </row>
    <row r="6062" spans="15:30">
      <c r="O6062" s="1"/>
      <c r="P6062" s="1"/>
      <c r="Q6062" s="1"/>
      <c r="R6062" s="1"/>
      <c r="Z6062" s="103"/>
      <c r="AA6062" s="103"/>
      <c r="AB6062" s="1"/>
    </row>
    <row r="6063" spans="15:30">
      <c r="O6063" s="1"/>
      <c r="P6063" s="1"/>
      <c r="Q6063" s="1"/>
      <c r="R6063" s="1"/>
      <c r="Z6063" s="103"/>
      <c r="AA6063" s="103"/>
      <c r="AB6063" s="1"/>
    </row>
    <row r="6064" spans="15:30">
      <c r="O6064" s="1"/>
      <c r="P6064" s="1"/>
      <c r="Q6064" s="1"/>
      <c r="R6064" s="1"/>
      <c r="Z6064" s="103"/>
      <c r="AA6064" s="103"/>
      <c r="AB6064" s="1"/>
    </row>
    <row r="6065" spans="15:28">
      <c r="O6065" s="1"/>
      <c r="P6065" s="1"/>
      <c r="Q6065" s="1"/>
      <c r="R6065" s="1"/>
      <c r="Z6065" s="103"/>
      <c r="AA6065" s="103"/>
      <c r="AB6065" s="1"/>
    </row>
    <row r="6066" spans="15:28">
      <c r="O6066" s="1"/>
      <c r="P6066" s="1"/>
      <c r="Q6066" s="1"/>
      <c r="R6066" s="1"/>
      <c r="Z6066" s="103"/>
      <c r="AA6066" s="103"/>
      <c r="AB6066" s="1"/>
    </row>
    <row r="6067" spans="15:28">
      <c r="O6067" s="1"/>
      <c r="P6067" s="1"/>
      <c r="Q6067" s="1"/>
      <c r="R6067" s="1"/>
      <c r="Z6067" s="103"/>
      <c r="AA6067" s="103"/>
      <c r="AB6067" s="1"/>
    </row>
    <row r="6068" spans="15:28">
      <c r="O6068" s="1"/>
      <c r="P6068" s="1"/>
      <c r="Q6068" s="1"/>
      <c r="R6068" s="1"/>
      <c r="Z6068" s="103"/>
      <c r="AA6068" s="103"/>
      <c r="AB6068" s="1"/>
    </row>
    <row r="6069" spans="15:28">
      <c r="O6069" s="1"/>
      <c r="P6069" s="1"/>
      <c r="Q6069" s="1"/>
      <c r="R6069" s="1"/>
      <c r="Z6069" s="103"/>
      <c r="AA6069" s="103"/>
      <c r="AB6069" s="1"/>
    </row>
    <row r="6070" spans="15:28">
      <c r="O6070" s="1"/>
      <c r="P6070" s="1"/>
      <c r="Q6070" s="1"/>
      <c r="R6070" s="1"/>
      <c r="Z6070" s="103"/>
      <c r="AA6070" s="103"/>
      <c r="AB6070" s="1"/>
    </row>
    <row r="6071" spans="15:28">
      <c r="O6071" s="1"/>
      <c r="P6071" s="1"/>
      <c r="Q6071" s="1"/>
      <c r="R6071" s="1"/>
      <c r="Z6071" s="103"/>
      <c r="AA6071" s="103"/>
      <c r="AB6071" s="1"/>
    </row>
    <row r="6072" spans="15:28">
      <c r="O6072" s="1"/>
      <c r="P6072" s="1"/>
      <c r="Q6072" s="1"/>
      <c r="R6072" s="1"/>
      <c r="Z6072" s="103"/>
      <c r="AA6072" s="103"/>
      <c r="AB6072" s="1"/>
    </row>
    <row r="6073" spans="15:28">
      <c r="O6073" s="1"/>
      <c r="P6073" s="1"/>
      <c r="Q6073" s="1"/>
      <c r="R6073" s="1"/>
      <c r="Z6073" s="103"/>
      <c r="AA6073" s="103"/>
      <c r="AB6073" s="1"/>
    </row>
    <row r="6074" spans="15:28">
      <c r="O6074" s="1"/>
      <c r="P6074" s="1"/>
      <c r="Q6074" s="1"/>
      <c r="R6074" s="1"/>
      <c r="Z6074" s="103"/>
      <c r="AA6074" s="103"/>
      <c r="AB6074" s="1"/>
    </row>
    <row r="6075" spans="15:28">
      <c r="O6075" s="1"/>
      <c r="P6075" s="1"/>
      <c r="Q6075" s="1"/>
      <c r="R6075" s="1"/>
      <c r="Z6075" s="103"/>
      <c r="AA6075" s="103"/>
      <c r="AB6075" s="1"/>
    </row>
    <row r="6076" spans="15:28">
      <c r="O6076" s="1"/>
      <c r="P6076" s="1"/>
      <c r="Q6076" s="1"/>
      <c r="R6076" s="1"/>
      <c r="Z6076" s="103"/>
      <c r="AA6076" s="103"/>
      <c r="AB6076" s="1"/>
    </row>
    <row r="6077" spans="15:28">
      <c r="O6077" s="1"/>
      <c r="P6077" s="1"/>
      <c r="Q6077" s="1"/>
      <c r="R6077" s="1"/>
      <c r="Z6077" s="103"/>
      <c r="AA6077" s="103"/>
      <c r="AB6077" s="1"/>
    </row>
    <row r="6078" spans="15:28">
      <c r="O6078" s="1"/>
      <c r="P6078" s="1"/>
      <c r="Q6078" s="1"/>
      <c r="R6078" s="1"/>
      <c r="Z6078" s="103"/>
      <c r="AA6078" s="103"/>
      <c r="AB6078" s="1"/>
    </row>
    <row r="6079" spans="15:28">
      <c r="O6079" s="1"/>
      <c r="P6079" s="1"/>
      <c r="Q6079" s="1"/>
      <c r="R6079" s="1"/>
      <c r="Z6079" s="103"/>
      <c r="AA6079" s="103"/>
      <c r="AB6079" s="1"/>
    </row>
    <row r="6080" spans="15:28">
      <c r="O6080" s="1"/>
      <c r="P6080" s="1"/>
      <c r="Q6080" s="1"/>
      <c r="R6080" s="1"/>
      <c r="Z6080" s="103"/>
      <c r="AA6080" s="103"/>
      <c r="AB6080" s="1"/>
    </row>
    <row r="6081" spans="15:28">
      <c r="O6081" s="1"/>
      <c r="P6081" s="1"/>
      <c r="Q6081" s="1"/>
      <c r="R6081" s="1"/>
      <c r="Z6081" s="103"/>
      <c r="AA6081" s="103"/>
      <c r="AB6081" s="1"/>
    </row>
    <row r="6082" spans="15:28">
      <c r="O6082" s="1"/>
      <c r="P6082" s="1"/>
      <c r="Q6082" s="1"/>
      <c r="R6082" s="1"/>
      <c r="Z6082" s="103"/>
      <c r="AA6082" s="103"/>
      <c r="AB6082" s="1"/>
    </row>
    <row r="6083" spans="15:28">
      <c r="O6083" s="1"/>
      <c r="P6083" s="1"/>
      <c r="Q6083" s="1"/>
      <c r="R6083" s="1"/>
      <c r="Z6083" s="103"/>
      <c r="AA6083" s="103"/>
      <c r="AB6083" s="1"/>
    </row>
    <row r="6084" spans="15:28">
      <c r="O6084" s="1"/>
      <c r="P6084" s="1"/>
      <c r="Q6084" s="1"/>
      <c r="R6084" s="1"/>
      <c r="Z6084" s="103"/>
      <c r="AA6084" s="103"/>
      <c r="AB6084" s="1"/>
    </row>
    <row r="6085" spans="15:28">
      <c r="O6085" s="1"/>
      <c r="P6085" s="1"/>
      <c r="Q6085" s="1"/>
      <c r="R6085" s="1"/>
      <c r="Z6085" s="103"/>
      <c r="AA6085" s="103"/>
      <c r="AB6085" s="1"/>
    </row>
    <row r="6086" spans="15:28">
      <c r="O6086" s="1"/>
      <c r="P6086" s="1"/>
      <c r="Q6086" s="1"/>
      <c r="R6086" s="1"/>
      <c r="Z6086" s="103"/>
      <c r="AA6086" s="103"/>
      <c r="AB6086" s="1"/>
    </row>
    <row r="6087" spans="15:28">
      <c r="O6087" s="1"/>
      <c r="P6087" s="1"/>
      <c r="Q6087" s="1"/>
      <c r="R6087" s="1"/>
      <c r="Z6087" s="103"/>
      <c r="AA6087" s="103"/>
      <c r="AB6087" s="1"/>
    </row>
    <row r="6088" spans="15:28">
      <c r="O6088" s="1"/>
      <c r="P6088" s="1"/>
      <c r="Q6088" s="1"/>
      <c r="R6088" s="1"/>
      <c r="Z6088" s="103"/>
      <c r="AA6088" s="103"/>
      <c r="AB6088" s="1"/>
    </row>
    <row r="6089" spans="15:28">
      <c r="O6089" s="1"/>
      <c r="P6089" s="1"/>
      <c r="Q6089" s="1"/>
      <c r="R6089" s="1"/>
      <c r="Z6089" s="103"/>
      <c r="AA6089" s="103"/>
      <c r="AB6089" s="1"/>
    </row>
    <row r="6090" spans="15:28">
      <c r="O6090" s="1"/>
      <c r="P6090" s="1"/>
      <c r="Q6090" s="1"/>
      <c r="R6090" s="1"/>
      <c r="Z6090" s="103"/>
      <c r="AA6090" s="103"/>
      <c r="AB6090" s="1"/>
    </row>
    <row r="6091" spans="15:28">
      <c r="O6091" s="1"/>
      <c r="P6091" s="1"/>
      <c r="Q6091" s="1"/>
      <c r="R6091" s="1"/>
      <c r="Z6091" s="103"/>
      <c r="AA6091" s="103"/>
      <c r="AB6091" s="1"/>
    </row>
    <row r="6092" spans="15:28">
      <c r="O6092" s="1"/>
      <c r="P6092" s="1"/>
      <c r="Q6092" s="1"/>
      <c r="R6092" s="1"/>
      <c r="Z6092" s="103"/>
      <c r="AA6092" s="103"/>
      <c r="AB6092" s="1"/>
    </row>
    <row r="6093" spans="15:28">
      <c r="O6093" s="1"/>
      <c r="P6093" s="1"/>
      <c r="Q6093" s="1"/>
      <c r="R6093" s="1"/>
      <c r="Z6093" s="103"/>
      <c r="AA6093" s="103"/>
      <c r="AB6093" s="1"/>
    </row>
    <row r="6094" spans="15:28">
      <c r="O6094" s="1"/>
      <c r="P6094" s="1"/>
      <c r="Q6094" s="1"/>
      <c r="R6094" s="1"/>
      <c r="Z6094" s="103"/>
      <c r="AA6094" s="103"/>
      <c r="AB6094" s="1"/>
    </row>
    <row r="6095" spans="15:28">
      <c r="O6095" s="1"/>
      <c r="P6095" s="1"/>
      <c r="Q6095" s="1"/>
      <c r="R6095" s="1"/>
      <c r="Z6095" s="103"/>
      <c r="AA6095" s="103"/>
      <c r="AB6095" s="1"/>
    </row>
    <row r="6096" spans="15:28">
      <c r="O6096" s="1"/>
      <c r="P6096" s="1"/>
      <c r="Q6096" s="1"/>
      <c r="R6096" s="1"/>
      <c r="Z6096" s="103"/>
      <c r="AA6096" s="103"/>
      <c r="AB6096" s="1"/>
    </row>
    <row r="6097" spans="15:28">
      <c r="O6097" s="1"/>
      <c r="P6097" s="1"/>
      <c r="Q6097" s="1"/>
      <c r="R6097" s="1"/>
      <c r="Z6097" s="103"/>
      <c r="AA6097" s="103"/>
      <c r="AB6097" s="1"/>
    </row>
    <row r="6098" spans="15:28">
      <c r="O6098" s="1"/>
      <c r="P6098" s="1"/>
      <c r="Q6098" s="1"/>
      <c r="R6098" s="1"/>
      <c r="Z6098" s="103"/>
      <c r="AA6098" s="103"/>
      <c r="AB6098" s="1"/>
    </row>
    <row r="6099" spans="15:28">
      <c r="O6099" s="1"/>
      <c r="P6099" s="1"/>
      <c r="Q6099" s="1"/>
      <c r="R6099" s="1"/>
      <c r="Z6099" s="103"/>
      <c r="AA6099" s="103"/>
      <c r="AB6099" s="1"/>
    </row>
    <row r="6100" spans="15:28">
      <c r="O6100" s="1"/>
      <c r="P6100" s="1"/>
      <c r="Q6100" s="1"/>
      <c r="R6100" s="1"/>
      <c r="Z6100" s="103"/>
      <c r="AA6100" s="103"/>
      <c r="AB6100" s="1"/>
    </row>
    <row r="6101" spans="15:28">
      <c r="O6101" s="1"/>
      <c r="P6101" s="1"/>
      <c r="Q6101" s="1"/>
      <c r="R6101" s="1"/>
      <c r="Z6101" s="103"/>
      <c r="AA6101" s="103"/>
      <c r="AB6101" s="1"/>
    </row>
    <row r="6102" spans="15:28">
      <c r="O6102" s="1"/>
      <c r="P6102" s="1"/>
      <c r="Q6102" s="1"/>
      <c r="R6102" s="1"/>
      <c r="Z6102" s="103"/>
      <c r="AA6102" s="103"/>
      <c r="AB6102" s="1"/>
    </row>
    <row r="6103" spans="15:28">
      <c r="O6103" s="1"/>
      <c r="P6103" s="1"/>
      <c r="Q6103" s="1"/>
      <c r="R6103" s="1"/>
      <c r="Z6103" s="103"/>
      <c r="AA6103" s="103"/>
      <c r="AB6103" s="1"/>
    </row>
    <row r="6104" spans="15:28">
      <c r="O6104" s="1"/>
      <c r="P6104" s="1"/>
      <c r="Q6104" s="1"/>
      <c r="R6104" s="1"/>
      <c r="Z6104" s="103"/>
      <c r="AA6104" s="103"/>
      <c r="AB6104" s="1"/>
    </row>
    <row r="6105" spans="15:28">
      <c r="O6105" s="1"/>
      <c r="P6105" s="1"/>
      <c r="Q6105" s="1"/>
      <c r="R6105" s="1"/>
      <c r="Z6105" s="103"/>
      <c r="AA6105" s="103"/>
      <c r="AB6105" s="1"/>
    </row>
    <row r="6106" spans="15:28">
      <c r="O6106" s="1"/>
      <c r="P6106" s="1"/>
      <c r="Q6106" s="1"/>
      <c r="R6106" s="1"/>
      <c r="Z6106" s="103"/>
      <c r="AA6106" s="103"/>
      <c r="AB6106" s="1"/>
    </row>
    <row r="6107" spans="15:28">
      <c r="O6107" s="1"/>
      <c r="P6107" s="1"/>
      <c r="Q6107" s="1"/>
      <c r="R6107" s="1"/>
      <c r="Z6107" s="103"/>
      <c r="AA6107" s="103"/>
      <c r="AB6107" s="1"/>
    </row>
    <row r="6108" spans="15:28">
      <c r="O6108" s="1"/>
      <c r="P6108" s="1"/>
      <c r="Q6108" s="1"/>
      <c r="R6108" s="1"/>
      <c r="Z6108" s="103"/>
      <c r="AA6108" s="103"/>
      <c r="AB6108" s="1"/>
    </row>
    <row r="6109" spans="15:28">
      <c r="O6109" s="1"/>
      <c r="P6109" s="1"/>
      <c r="Q6109" s="1"/>
      <c r="R6109" s="1"/>
      <c r="Z6109" s="103"/>
      <c r="AA6109" s="103"/>
      <c r="AB6109" s="1"/>
    </row>
    <row r="6110" spans="15:28">
      <c r="O6110" s="1"/>
      <c r="P6110" s="1"/>
      <c r="Q6110" s="1"/>
      <c r="R6110" s="1"/>
      <c r="Z6110" s="103"/>
      <c r="AA6110" s="103"/>
      <c r="AB6110" s="1"/>
    </row>
    <row r="6111" spans="15:28">
      <c r="O6111" s="1"/>
      <c r="P6111" s="1"/>
      <c r="Q6111" s="1"/>
      <c r="R6111" s="1"/>
      <c r="Z6111" s="103"/>
      <c r="AA6111" s="103"/>
      <c r="AB6111" s="1"/>
    </row>
    <row r="6112" spans="15:28">
      <c r="O6112" s="1"/>
      <c r="P6112" s="1"/>
      <c r="Q6112" s="1"/>
      <c r="R6112" s="1"/>
      <c r="Z6112" s="103"/>
      <c r="AA6112" s="103"/>
      <c r="AB6112" s="1"/>
    </row>
    <row r="6113" spans="15:28">
      <c r="O6113" s="1"/>
      <c r="P6113" s="1"/>
      <c r="Q6113" s="1"/>
      <c r="R6113" s="1"/>
      <c r="Z6113" s="103"/>
      <c r="AA6113" s="103"/>
      <c r="AB6113" s="1"/>
    </row>
    <row r="6114" spans="15:28">
      <c r="O6114" s="1"/>
      <c r="P6114" s="1"/>
      <c r="Q6114" s="1"/>
      <c r="R6114" s="1"/>
      <c r="Z6114" s="103"/>
      <c r="AA6114" s="103"/>
      <c r="AB6114" s="1"/>
    </row>
    <row r="6115" spans="15:28">
      <c r="O6115" s="1"/>
      <c r="P6115" s="1"/>
      <c r="Q6115" s="1"/>
      <c r="R6115" s="1"/>
      <c r="Z6115" s="103"/>
      <c r="AA6115" s="103"/>
      <c r="AB6115" s="1"/>
    </row>
    <row r="6116" spans="15:28">
      <c r="O6116" s="1"/>
      <c r="P6116" s="1"/>
      <c r="Q6116" s="1"/>
      <c r="R6116" s="1"/>
      <c r="Z6116" s="103"/>
      <c r="AA6116" s="103"/>
      <c r="AB6116" s="1"/>
    </row>
    <row r="6117" spans="15:28">
      <c r="O6117" s="1"/>
      <c r="P6117" s="1"/>
      <c r="Q6117" s="1"/>
      <c r="R6117" s="1"/>
      <c r="Z6117" s="103"/>
      <c r="AA6117" s="103"/>
      <c r="AB6117" s="1"/>
    </row>
    <row r="6118" spans="15:28">
      <c r="O6118" s="1"/>
      <c r="P6118" s="1"/>
      <c r="Q6118" s="1"/>
      <c r="R6118" s="1"/>
      <c r="Z6118" s="103"/>
      <c r="AA6118" s="103"/>
      <c r="AB6118" s="1"/>
    </row>
    <row r="6119" spans="15:28">
      <c r="O6119" s="1"/>
      <c r="P6119" s="1"/>
      <c r="Q6119" s="1"/>
      <c r="R6119" s="1"/>
      <c r="Z6119" s="103"/>
      <c r="AA6119" s="103"/>
      <c r="AB6119" s="1"/>
    </row>
    <row r="6120" spans="15:28">
      <c r="O6120" s="1"/>
      <c r="P6120" s="1"/>
      <c r="Q6120" s="1"/>
      <c r="R6120" s="1"/>
      <c r="Z6120" s="103"/>
      <c r="AA6120" s="103"/>
      <c r="AB6120" s="1"/>
    </row>
    <row r="6121" spans="15:28">
      <c r="O6121" s="1"/>
      <c r="P6121" s="1"/>
      <c r="Q6121" s="1"/>
      <c r="R6121" s="1"/>
      <c r="Z6121" s="103"/>
      <c r="AA6121" s="103"/>
      <c r="AB6121" s="1"/>
    </row>
    <row r="6122" spans="15:28">
      <c r="O6122" s="1"/>
      <c r="P6122" s="1"/>
      <c r="Q6122" s="1"/>
      <c r="R6122" s="1"/>
      <c r="Z6122" s="103"/>
      <c r="AA6122" s="103"/>
      <c r="AB6122" s="1"/>
    </row>
    <row r="6123" spans="15:28">
      <c r="O6123" s="1"/>
      <c r="P6123" s="1"/>
      <c r="Q6123" s="1"/>
      <c r="R6123" s="1"/>
      <c r="Z6123" s="103"/>
      <c r="AA6123" s="103"/>
      <c r="AB6123" s="1"/>
    </row>
    <row r="6124" spans="15:28">
      <c r="O6124" s="1"/>
      <c r="P6124" s="1"/>
      <c r="Q6124" s="1"/>
      <c r="R6124" s="1"/>
      <c r="Z6124" s="103"/>
      <c r="AA6124" s="103"/>
      <c r="AB6124" s="1"/>
    </row>
    <row r="6125" spans="15:28">
      <c r="O6125" s="1"/>
      <c r="P6125" s="1"/>
      <c r="Q6125" s="1"/>
      <c r="R6125" s="1"/>
      <c r="Z6125" s="103"/>
      <c r="AA6125" s="103"/>
      <c r="AB6125" s="1"/>
    </row>
    <row r="6126" spans="15:28">
      <c r="O6126" s="1"/>
      <c r="P6126" s="1"/>
      <c r="Q6126" s="1"/>
      <c r="R6126" s="1"/>
      <c r="Z6126" s="103"/>
      <c r="AA6126" s="103"/>
      <c r="AB6126" s="1"/>
    </row>
    <row r="6127" spans="15:28">
      <c r="O6127" s="1"/>
      <c r="P6127" s="1"/>
      <c r="Q6127" s="1"/>
      <c r="R6127" s="1"/>
      <c r="Z6127" s="103"/>
      <c r="AA6127" s="103"/>
      <c r="AB6127" s="1"/>
    </row>
    <row r="6128" spans="15:28">
      <c r="O6128" s="1"/>
      <c r="P6128" s="1"/>
      <c r="Q6128" s="1"/>
      <c r="R6128" s="1"/>
      <c r="Z6128" s="103"/>
      <c r="AA6128" s="103"/>
      <c r="AB6128" s="1"/>
    </row>
    <row r="6129" spans="15:30">
      <c r="O6129" s="1"/>
      <c r="P6129" s="1"/>
      <c r="Q6129" s="1"/>
      <c r="R6129" s="1"/>
      <c r="Z6129" s="103"/>
      <c r="AA6129" s="103"/>
      <c r="AB6129" s="1"/>
    </row>
    <row r="6130" spans="15:30">
      <c r="O6130" s="1"/>
      <c r="P6130" s="1"/>
      <c r="Q6130" s="1"/>
      <c r="R6130" s="1"/>
      <c r="Z6130" s="103"/>
      <c r="AA6130" s="103"/>
      <c r="AB6130" s="1"/>
    </row>
    <row r="6131" spans="15:30">
      <c r="O6131" s="1"/>
      <c r="P6131" s="1"/>
      <c r="Q6131" s="1"/>
      <c r="R6131" s="1"/>
      <c r="Z6131" s="103"/>
      <c r="AA6131" s="103"/>
      <c r="AB6131" s="1"/>
    </row>
    <row r="6132" spans="15:30">
      <c r="O6132" s="1"/>
      <c r="P6132" s="1"/>
      <c r="Q6132" s="1"/>
      <c r="R6132" s="1"/>
      <c r="Z6132" s="103"/>
      <c r="AA6132" s="103"/>
      <c r="AB6132" s="1"/>
    </row>
    <row r="6133" spans="15:30">
      <c r="O6133" s="1"/>
      <c r="P6133" s="1"/>
      <c r="Q6133" s="1"/>
      <c r="R6133" s="1"/>
      <c r="Z6133" s="103"/>
      <c r="AA6133" s="103"/>
      <c r="AB6133" s="1"/>
    </row>
    <row r="6134" spans="15:30">
      <c r="O6134" s="1"/>
      <c r="P6134" s="1"/>
      <c r="Q6134" s="1"/>
      <c r="R6134" s="1"/>
      <c r="Z6134" s="103"/>
      <c r="AA6134" s="103"/>
      <c r="AB6134" s="1"/>
    </row>
    <row r="6135" spans="15:30">
      <c r="O6135" s="1"/>
      <c r="P6135" s="1"/>
      <c r="Q6135" s="1"/>
      <c r="R6135" s="1"/>
      <c r="Z6135" s="103"/>
      <c r="AA6135" s="103"/>
      <c r="AB6135" s="1"/>
      <c r="AD6135" s="102"/>
    </row>
    <row r="6136" spans="15:30">
      <c r="O6136" s="1"/>
      <c r="P6136" s="1"/>
      <c r="Q6136" s="1"/>
      <c r="R6136" s="1"/>
      <c r="Z6136" s="103"/>
      <c r="AA6136" s="103"/>
      <c r="AB6136" s="1"/>
    </row>
    <row r="6137" spans="15:30">
      <c r="O6137" s="1"/>
      <c r="P6137" s="1"/>
      <c r="Q6137" s="1"/>
      <c r="R6137" s="1"/>
      <c r="Z6137" s="103"/>
      <c r="AA6137" s="103"/>
      <c r="AB6137" s="1"/>
    </row>
    <row r="6138" spans="15:30">
      <c r="O6138" s="1"/>
      <c r="P6138" s="1"/>
      <c r="Q6138" s="1"/>
      <c r="R6138" s="1"/>
      <c r="Z6138" s="103"/>
      <c r="AA6138" s="103"/>
      <c r="AB6138" s="1"/>
    </row>
    <row r="6139" spans="15:30">
      <c r="O6139" s="1"/>
      <c r="P6139" s="1"/>
      <c r="Q6139" s="1"/>
      <c r="R6139" s="1"/>
      <c r="Z6139" s="103"/>
      <c r="AA6139" s="103"/>
      <c r="AB6139" s="1"/>
    </row>
    <row r="6140" spans="15:30">
      <c r="O6140" s="1"/>
      <c r="P6140" s="1"/>
      <c r="Q6140" s="1"/>
      <c r="R6140" s="1"/>
      <c r="Z6140" s="103"/>
      <c r="AA6140" s="103"/>
      <c r="AB6140" s="1"/>
    </row>
    <row r="6141" spans="15:30">
      <c r="O6141" s="1"/>
      <c r="P6141" s="1"/>
      <c r="Q6141" s="1"/>
      <c r="R6141" s="1"/>
      <c r="Z6141" s="103"/>
      <c r="AA6141" s="103"/>
      <c r="AB6141" s="1"/>
    </row>
    <row r="6142" spans="15:30">
      <c r="O6142" s="1"/>
      <c r="P6142" s="1"/>
      <c r="Q6142" s="1"/>
      <c r="R6142" s="1"/>
      <c r="Z6142" s="103"/>
      <c r="AA6142" s="103"/>
      <c r="AB6142" s="1"/>
    </row>
    <row r="6143" spans="15:30">
      <c r="O6143" s="1"/>
      <c r="P6143" s="1"/>
      <c r="Q6143" s="1"/>
      <c r="R6143" s="1"/>
      <c r="Z6143" s="103"/>
      <c r="AA6143" s="103"/>
      <c r="AB6143" s="1"/>
    </row>
    <row r="6144" spans="15:30">
      <c r="O6144" s="1"/>
      <c r="P6144" s="1"/>
      <c r="Q6144" s="1"/>
      <c r="R6144" s="1"/>
      <c r="Z6144" s="103"/>
      <c r="AA6144" s="103"/>
      <c r="AB6144" s="1"/>
    </row>
    <row r="6145" spans="15:28">
      <c r="O6145" s="1"/>
      <c r="P6145" s="1"/>
      <c r="Q6145" s="1"/>
      <c r="R6145" s="1"/>
      <c r="Z6145" s="103"/>
      <c r="AA6145" s="103"/>
      <c r="AB6145" s="1"/>
    </row>
    <row r="6146" spans="15:28">
      <c r="O6146" s="1"/>
      <c r="P6146" s="1"/>
      <c r="Q6146" s="1"/>
      <c r="R6146" s="1"/>
      <c r="Z6146" s="103"/>
      <c r="AA6146" s="103"/>
      <c r="AB6146" s="1"/>
    </row>
    <row r="6147" spans="15:28">
      <c r="O6147" s="1"/>
      <c r="P6147" s="1"/>
      <c r="Q6147" s="1"/>
      <c r="R6147" s="1"/>
      <c r="Z6147" s="103"/>
      <c r="AA6147" s="103"/>
      <c r="AB6147" s="1"/>
    </row>
    <row r="6148" spans="15:28">
      <c r="O6148" s="1"/>
      <c r="P6148" s="1"/>
      <c r="Q6148" s="1"/>
      <c r="R6148" s="1"/>
      <c r="Z6148" s="103"/>
      <c r="AA6148" s="103"/>
      <c r="AB6148" s="1"/>
    </row>
    <row r="6149" spans="15:28">
      <c r="O6149" s="1"/>
      <c r="P6149" s="1"/>
      <c r="Q6149" s="1"/>
      <c r="R6149" s="1"/>
      <c r="Z6149" s="103"/>
      <c r="AA6149" s="103"/>
      <c r="AB6149" s="1"/>
    </row>
    <row r="6150" spans="15:28">
      <c r="O6150" s="1"/>
      <c r="P6150" s="1"/>
      <c r="Q6150" s="1"/>
      <c r="R6150" s="1"/>
      <c r="Z6150" s="103"/>
      <c r="AA6150" s="103"/>
      <c r="AB6150" s="1"/>
    </row>
    <row r="6151" spans="15:28">
      <c r="O6151" s="1"/>
      <c r="P6151" s="1"/>
      <c r="Q6151" s="1"/>
      <c r="R6151" s="1"/>
      <c r="Z6151" s="103"/>
      <c r="AA6151" s="103"/>
      <c r="AB6151" s="1"/>
    </row>
    <row r="6152" spans="15:28">
      <c r="O6152" s="1"/>
      <c r="P6152" s="1"/>
      <c r="Q6152" s="1"/>
      <c r="R6152" s="1"/>
      <c r="Z6152" s="103"/>
      <c r="AA6152" s="103"/>
      <c r="AB6152" s="1"/>
    </row>
    <row r="6153" spans="15:28">
      <c r="O6153" s="1"/>
      <c r="P6153" s="1"/>
      <c r="Q6153" s="1"/>
      <c r="R6153" s="1"/>
      <c r="Z6153" s="103"/>
      <c r="AA6153" s="103"/>
      <c r="AB6153" s="1"/>
    </row>
    <row r="6154" spans="15:28">
      <c r="O6154" s="1"/>
      <c r="P6154" s="1"/>
      <c r="Q6154" s="1"/>
      <c r="R6154" s="1"/>
      <c r="Z6154" s="103"/>
      <c r="AA6154" s="103"/>
      <c r="AB6154" s="1"/>
    </row>
    <row r="6155" spans="15:28">
      <c r="O6155" s="1"/>
      <c r="P6155" s="1"/>
      <c r="Q6155" s="1"/>
      <c r="R6155" s="1"/>
      <c r="Z6155" s="103"/>
      <c r="AA6155" s="103"/>
      <c r="AB6155" s="1"/>
    </row>
    <row r="6156" spans="15:28">
      <c r="O6156" s="1"/>
      <c r="P6156" s="1"/>
      <c r="Q6156" s="1"/>
      <c r="R6156" s="1"/>
      <c r="Z6156" s="103"/>
      <c r="AA6156" s="103"/>
      <c r="AB6156" s="1"/>
    </row>
    <row r="6157" spans="15:28">
      <c r="O6157" s="1"/>
      <c r="P6157" s="1"/>
      <c r="Q6157" s="1"/>
      <c r="R6157" s="1"/>
      <c r="Z6157" s="103"/>
      <c r="AA6157" s="103"/>
      <c r="AB6157" s="1"/>
    </row>
    <row r="6158" spans="15:28">
      <c r="O6158" s="1"/>
      <c r="P6158" s="1"/>
      <c r="Q6158" s="1"/>
      <c r="R6158" s="1"/>
      <c r="Z6158" s="103"/>
      <c r="AA6158" s="103"/>
      <c r="AB6158" s="1"/>
    </row>
    <row r="6159" spans="15:28">
      <c r="O6159" s="1"/>
      <c r="P6159" s="1"/>
      <c r="Q6159" s="1"/>
      <c r="R6159" s="1"/>
      <c r="Z6159" s="103"/>
      <c r="AA6159" s="103"/>
      <c r="AB6159" s="1"/>
    </row>
    <row r="6160" spans="15:28">
      <c r="O6160" s="1"/>
      <c r="P6160" s="1"/>
      <c r="Q6160" s="1"/>
      <c r="R6160" s="1"/>
      <c r="Z6160" s="103"/>
      <c r="AA6160" s="103"/>
      <c r="AB6160" s="1"/>
    </row>
    <row r="6161" spans="15:28">
      <c r="O6161" s="1"/>
      <c r="P6161" s="1"/>
      <c r="Q6161" s="1"/>
      <c r="R6161" s="1"/>
      <c r="Z6161" s="103"/>
      <c r="AA6161" s="103"/>
      <c r="AB6161" s="1"/>
    </row>
    <row r="6162" spans="15:28">
      <c r="O6162" s="1"/>
      <c r="P6162" s="1"/>
      <c r="Q6162" s="1"/>
      <c r="R6162" s="1"/>
      <c r="Z6162" s="103"/>
      <c r="AA6162" s="103"/>
      <c r="AB6162" s="1"/>
    </row>
    <row r="6163" spans="15:28">
      <c r="O6163" s="1"/>
      <c r="P6163" s="1"/>
      <c r="Q6163" s="1"/>
      <c r="R6163" s="1"/>
      <c r="Z6163" s="103"/>
      <c r="AA6163" s="103"/>
      <c r="AB6163" s="1"/>
    </row>
    <row r="6164" spans="15:28">
      <c r="O6164" s="1"/>
      <c r="P6164" s="1"/>
      <c r="Q6164" s="1"/>
      <c r="R6164" s="1"/>
      <c r="Z6164" s="103"/>
      <c r="AA6164" s="103"/>
      <c r="AB6164" s="1"/>
    </row>
    <row r="6165" spans="15:28">
      <c r="O6165" s="1"/>
      <c r="P6165" s="1"/>
      <c r="Q6165" s="1"/>
      <c r="R6165" s="1"/>
      <c r="Z6165" s="103"/>
      <c r="AA6165" s="103"/>
      <c r="AB6165" s="1"/>
    </row>
    <row r="6166" spans="15:28">
      <c r="O6166" s="1"/>
      <c r="P6166" s="1"/>
      <c r="Q6166" s="1"/>
      <c r="R6166" s="1"/>
      <c r="Z6166" s="103"/>
      <c r="AA6166" s="103"/>
      <c r="AB6166" s="1"/>
    </row>
    <row r="6167" spans="15:28">
      <c r="O6167" s="1"/>
      <c r="P6167" s="1"/>
      <c r="Q6167" s="1"/>
      <c r="R6167" s="1"/>
      <c r="Z6167" s="103"/>
      <c r="AA6167" s="103"/>
      <c r="AB6167" s="1"/>
    </row>
    <row r="6168" spans="15:28">
      <c r="O6168" s="1"/>
      <c r="P6168" s="1"/>
      <c r="Q6168" s="1"/>
      <c r="R6168" s="1"/>
      <c r="Z6168" s="103"/>
      <c r="AA6168" s="103"/>
      <c r="AB6168" s="1"/>
    </row>
    <row r="6169" spans="15:28">
      <c r="O6169" s="1"/>
      <c r="P6169" s="1"/>
      <c r="Q6169" s="1"/>
      <c r="R6169" s="1"/>
      <c r="Z6169" s="103"/>
      <c r="AA6169" s="103"/>
      <c r="AB6169" s="1"/>
    </row>
    <row r="6170" spans="15:28">
      <c r="O6170" s="1"/>
      <c r="P6170" s="1"/>
      <c r="Q6170" s="1"/>
      <c r="R6170" s="1"/>
      <c r="Z6170" s="103"/>
      <c r="AA6170" s="103"/>
      <c r="AB6170" s="1"/>
    </row>
    <row r="6171" spans="15:28">
      <c r="O6171" s="1"/>
      <c r="P6171" s="1"/>
      <c r="Q6171" s="1"/>
      <c r="R6171" s="1"/>
      <c r="Z6171" s="103"/>
      <c r="AA6171" s="103"/>
      <c r="AB6171" s="1"/>
    </row>
    <row r="6172" spans="15:28">
      <c r="O6172" s="1"/>
      <c r="P6172" s="1"/>
      <c r="Q6172" s="1"/>
      <c r="R6172" s="1"/>
      <c r="Z6172" s="103"/>
      <c r="AA6172" s="103"/>
      <c r="AB6172" s="1"/>
    </row>
    <row r="6173" spans="15:28">
      <c r="O6173" s="1"/>
      <c r="P6173" s="1"/>
      <c r="Q6173" s="1"/>
      <c r="R6173" s="1"/>
      <c r="Z6173" s="103"/>
      <c r="AA6173" s="103"/>
      <c r="AB6173" s="1"/>
    </row>
    <row r="6174" spans="15:28">
      <c r="O6174" s="1"/>
      <c r="P6174" s="1"/>
      <c r="Q6174" s="1"/>
      <c r="R6174" s="1"/>
      <c r="Z6174" s="103"/>
      <c r="AA6174" s="103"/>
      <c r="AB6174" s="1"/>
    </row>
    <row r="6175" spans="15:28">
      <c r="O6175" s="1"/>
      <c r="P6175" s="1"/>
      <c r="Q6175" s="1"/>
      <c r="R6175" s="1"/>
      <c r="Z6175" s="103"/>
      <c r="AA6175" s="103"/>
      <c r="AB6175" s="1"/>
    </row>
    <row r="6176" spans="15:28">
      <c r="O6176" s="1"/>
      <c r="P6176" s="1"/>
      <c r="Q6176" s="1"/>
      <c r="R6176" s="1"/>
      <c r="Z6176" s="103"/>
      <c r="AA6176" s="103"/>
      <c r="AB6176" s="1"/>
    </row>
    <row r="6177" spans="15:30">
      <c r="O6177" s="1"/>
      <c r="P6177" s="1"/>
      <c r="Q6177" s="1"/>
      <c r="R6177" s="1"/>
      <c r="Z6177" s="103"/>
      <c r="AA6177" s="103"/>
      <c r="AB6177" s="1"/>
    </row>
    <row r="6178" spans="15:30">
      <c r="O6178" s="1"/>
      <c r="P6178" s="1"/>
      <c r="Q6178" s="1"/>
      <c r="R6178" s="1"/>
      <c r="Z6178" s="103"/>
      <c r="AA6178" s="103"/>
      <c r="AB6178" s="1"/>
    </row>
    <row r="6179" spans="15:30">
      <c r="O6179" s="1"/>
      <c r="P6179" s="1"/>
      <c r="Q6179" s="1"/>
      <c r="R6179" s="1"/>
      <c r="Z6179" s="103"/>
      <c r="AA6179" s="103"/>
      <c r="AB6179" s="1"/>
    </row>
    <row r="6180" spans="15:30">
      <c r="O6180" s="1"/>
      <c r="P6180" s="1"/>
      <c r="Q6180" s="1"/>
      <c r="R6180" s="1"/>
      <c r="Z6180" s="103"/>
      <c r="AA6180" s="103"/>
      <c r="AB6180" s="1"/>
    </row>
    <row r="6181" spans="15:30">
      <c r="O6181" s="1"/>
      <c r="P6181" s="1"/>
      <c r="Q6181" s="1"/>
      <c r="R6181" s="1"/>
      <c r="Z6181" s="103"/>
      <c r="AA6181" s="103"/>
      <c r="AB6181" s="1"/>
    </row>
    <row r="6182" spans="15:30">
      <c r="O6182" s="1"/>
      <c r="P6182" s="1"/>
      <c r="Q6182" s="1"/>
      <c r="R6182" s="1"/>
      <c r="Z6182" s="103"/>
      <c r="AA6182" s="103"/>
      <c r="AB6182" s="1"/>
      <c r="AD6182" s="102"/>
    </row>
    <row r="6183" spans="15:30">
      <c r="O6183" s="1"/>
      <c r="P6183" s="1"/>
      <c r="Q6183" s="1"/>
      <c r="R6183" s="1"/>
      <c r="Z6183" s="103"/>
      <c r="AA6183" s="103"/>
      <c r="AB6183" s="1"/>
      <c r="AD6183" s="102"/>
    </row>
    <row r="6184" spans="15:30">
      <c r="O6184" s="1"/>
      <c r="P6184" s="1"/>
      <c r="Q6184" s="1"/>
      <c r="R6184" s="1"/>
      <c r="Z6184" s="103"/>
      <c r="AA6184" s="103"/>
      <c r="AB6184" s="1"/>
    </row>
    <row r="6185" spans="15:30">
      <c r="O6185" s="1"/>
      <c r="P6185" s="1"/>
      <c r="Q6185" s="1"/>
      <c r="R6185" s="1"/>
      <c r="Z6185" s="103"/>
      <c r="AA6185" s="103"/>
      <c r="AB6185" s="1"/>
    </row>
    <row r="6186" spans="15:30">
      <c r="O6186" s="1"/>
      <c r="P6186" s="1"/>
      <c r="Q6186" s="1"/>
      <c r="R6186" s="1"/>
      <c r="Z6186" s="103"/>
      <c r="AA6186" s="103"/>
      <c r="AB6186" s="1"/>
    </row>
    <row r="6187" spans="15:30">
      <c r="O6187" s="1"/>
      <c r="P6187" s="1"/>
      <c r="Q6187" s="1"/>
      <c r="R6187" s="1"/>
      <c r="Z6187" s="103"/>
      <c r="AA6187" s="103"/>
      <c r="AB6187" s="1"/>
    </row>
    <row r="6188" spans="15:30">
      <c r="O6188" s="1"/>
      <c r="P6188" s="1"/>
      <c r="Q6188" s="1"/>
      <c r="R6188" s="1"/>
      <c r="Z6188" s="103"/>
      <c r="AA6188" s="103"/>
      <c r="AB6188" s="1"/>
    </row>
    <row r="6189" spans="15:30">
      <c r="O6189" s="1"/>
      <c r="P6189" s="1"/>
      <c r="Q6189" s="1"/>
      <c r="R6189" s="1"/>
      <c r="Z6189" s="103"/>
      <c r="AA6189" s="103"/>
      <c r="AB6189" s="1"/>
      <c r="AD6189" s="102"/>
    </row>
    <row r="6190" spans="15:30">
      <c r="O6190" s="1"/>
      <c r="P6190" s="1"/>
      <c r="Q6190" s="1"/>
      <c r="R6190" s="1"/>
      <c r="Z6190" s="103"/>
      <c r="AA6190" s="103"/>
      <c r="AB6190" s="1"/>
    </row>
    <row r="6191" spans="15:30">
      <c r="O6191" s="1"/>
      <c r="P6191" s="1"/>
      <c r="Q6191" s="1"/>
      <c r="R6191" s="1"/>
      <c r="Z6191" s="103"/>
      <c r="AA6191" s="103"/>
      <c r="AB6191" s="1"/>
    </row>
    <row r="6192" spans="15:30">
      <c r="O6192" s="1"/>
      <c r="P6192" s="1"/>
      <c r="Q6192" s="1"/>
      <c r="R6192" s="1"/>
      <c r="Z6192" s="103"/>
      <c r="AA6192" s="103"/>
      <c r="AB6192" s="1"/>
    </row>
    <row r="6193" spans="15:28">
      <c r="O6193" s="1"/>
      <c r="P6193" s="1"/>
      <c r="Q6193" s="1"/>
      <c r="R6193" s="1"/>
      <c r="Z6193" s="103"/>
      <c r="AA6193" s="103"/>
      <c r="AB6193" s="1"/>
    </row>
    <row r="6194" spans="15:28">
      <c r="O6194" s="1"/>
      <c r="P6194" s="1"/>
      <c r="Q6194" s="1"/>
      <c r="R6194" s="1"/>
      <c r="Z6194" s="103"/>
      <c r="AA6194" s="103"/>
      <c r="AB6194" s="1"/>
    </row>
    <row r="6195" spans="15:28">
      <c r="O6195" s="1"/>
      <c r="P6195" s="1"/>
      <c r="Q6195" s="1"/>
      <c r="R6195" s="1"/>
      <c r="Z6195" s="103"/>
      <c r="AA6195" s="103"/>
      <c r="AB6195" s="1"/>
    </row>
    <row r="6196" spans="15:28">
      <c r="O6196" s="1"/>
      <c r="P6196" s="1"/>
      <c r="Q6196" s="1"/>
      <c r="R6196" s="1"/>
      <c r="Z6196" s="103"/>
      <c r="AA6196" s="103"/>
      <c r="AB6196" s="1"/>
    </row>
    <row r="6197" spans="15:28">
      <c r="O6197" s="1"/>
      <c r="P6197" s="1"/>
      <c r="Q6197" s="1"/>
      <c r="R6197" s="1"/>
      <c r="Z6197" s="103"/>
      <c r="AA6197" s="103"/>
      <c r="AB6197" s="1"/>
    </row>
    <row r="6198" spans="15:28">
      <c r="O6198" s="1"/>
      <c r="P6198" s="1"/>
      <c r="Q6198" s="1"/>
      <c r="R6198" s="1"/>
      <c r="Z6198" s="103"/>
      <c r="AA6198" s="103"/>
      <c r="AB6198" s="1"/>
    </row>
    <row r="6199" spans="15:28">
      <c r="O6199" s="1"/>
      <c r="P6199" s="1"/>
      <c r="Q6199" s="1"/>
      <c r="R6199" s="1"/>
      <c r="Z6199" s="103"/>
      <c r="AA6199" s="103"/>
      <c r="AB6199" s="1"/>
    </row>
    <row r="6200" spans="15:28">
      <c r="O6200" s="1"/>
      <c r="P6200" s="1"/>
      <c r="Q6200" s="1"/>
      <c r="R6200" s="1"/>
      <c r="Z6200" s="103"/>
      <c r="AA6200" s="103"/>
      <c r="AB6200" s="1"/>
    </row>
    <row r="6201" spans="15:28">
      <c r="O6201" s="1"/>
      <c r="P6201" s="1"/>
      <c r="Q6201" s="1"/>
      <c r="R6201" s="1"/>
      <c r="Z6201" s="103"/>
      <c r="AA6201" s="103"/>
      <c r="AB6201" s="1"/>
    </row>
    <row r="6202" spans="15:28">
      <c r="O6202" s="1"/>
      <c r="P6202" s="1"/>
      <c r="Q6202" s="1"/>
      <c r="R6202" s="1"/>
      <c r="Z6202" s="103"/>
      <c r="AA6202" s="103"/>
      <c r="AB6202" s="1"/>
    </row>
    <row r="6203" spans="15:28">
      <c r="O6203" s="1"/>
      <c r="P6203" s="1"/>
      <c r="Q6203" s="1"/>
      <c r="R6203" s="1"/>
      <c r="Z6203" s="103"/>
      <c r="AA6203" s="103"/>
      <c r="AB6203" s="1"/>
    </row>
    <row r="6204" spans="15:28">
      <c r="O6204" s="1"/>
      <c r="P6204" s="1"/>
      <c r="Q6204" s="1"/>
      <c r="R6204" s="1"/>
      <c r="Z6204" s="103"/>
      <c r="AA6204" s="103"/>
      <c r="AB6204" s="1"/>
    </row>
    <row r="6205" spans="15:28">
      <c r="O6205" s="1"/>
      <c r="P6205" s="1"/>
      <c r="Q6205" s="1"/>
      <c r="R6205" s="1"/>
      <c r="Z6205" s="103"/>
      <c r="AA6205" s="103"/>
      <c r="AB6205" s="1"/>
    </row>
    <row r="6206" spans="15:28">
      <c r="O6206" s="1"/>
      <c r="P6206" s="1"/>
      <c r="Q6206" s="1"/>
      <c r="R6206" s="1"/>
      <c r="Z6206" s="103"/>
      <c r="AA6206" s="103"/>
      <c r="AB6206" s="1"/>
    </row>
    <row r="6207" spans="15:28">
      <c r="O6207" s="1"/>
      <c r="P6207" s="1"/>
      <c r="Q6207" s="1"/>
      <c r="R6207" s="1"/>
      <c r="Z6207" s="103"/>
      <c r="AA6207" s="103"/>
      <c r="AB6207" s="1"/>
    </row>
    <row r="6208" spans="15:28">
      <c r="O6208" s="1"/>
      <c r="P6208" s="1"/>
      <c r="Q6208" s="1"/>
      <c r="R6208" s="1"/>
      <c r="Z6208" s="103"/>
      <c r="AA6208" s="103"/>
      <c r="AB6208" s="1"/>
    </row>
    <row r="6209" spans="15:28">
      <c r="O6209" s="1"/>
      <c r="P6209" s="1"/>
      <c r="Q6209" s="1"/>
      <c r="R6209" s="1"/>
      <c r="Z6209" s="103"/>
      <c r="AA6209" s="103"/>
      <c r="AB6209" s="1"/>
    </row>
    <row r="6210" spans="15:28">
      <c r="O6210" s="1"/>
      <c r="P6210" s="1"/>
      <c r="Q6210" s="1"/>
      <c r="R6210" s="1"/>
      <c r="Z6210" s="103"/>
      <c r="AA6210" s="103"/>
      <c r="AB6210" s="1"/>
    </row>
    <row r="6211" spans="15:28">
      <c r="O6211" s="1"/>
      <c r="P6211" s="1"/>
      <c r="Q6211" s="1"/>
      <c r="R6211" s="1"/>
      <c r="Z6211" s="103"/>
      <c r="AA6211" s="103"/>
      <c r="AB6211" s="1"/>
    </row>
    <row r="6212" spans="15:28">
      <c r="O6212" s="1"/>
      <c r="P6212" s="1"/>
      <c r="Q6212" s="1"/>
      <c r="R6212" s="1"/>
      <c r="Z6212" s="103"/>
      <c r="AA6212" s="103"/>
      <c r="AB6212" s="1"/>
    </row>
    <row r="6213" spans="15:28">
      <c r="O6213" s="1"/>
      <c r="P6213" s="1"/>
      <c r="Q6213" s="1"/>
      <c r="R6213" s="1"/>
      <c r="Z6213" s="103"/>
      <c r="AA6213" s="103"/>
      <c r="AB6213" s="1"/>
    </row>
    <row r="6214" spans="15:28">
      <c r="O6214" s="1"/>
      <c r="P6214" s="1"/>
      <c r="Q6214" s="1"/>
      <c r="R6214" s="1"/>
      <c r="Z6214" s="103"/>
      <c r="AA6214" s="103"/>
      <c r="AB6214" s="1"/>
    </row>
    <row r="6215" spans="15:28">
      <c r="O6215" s="1"/>
      <c r="P6215" s="1"/>
      <c r="Q6215" s="1"/>
      <c r="R6215" s="1"/>
      <c r="Z6215" s="103"/>
      <c r="AA6215" s="103"/>
      <c r="AB6215" s="1"/>
    </row>
    <row r="6216" spans="15:28">
      <c r="O6216" s="1"/>
      <c r="P6216" s="1"/>
      <c r="Q6216" s="1"/>
      <c r="R6216" s="1"/>
      <c r="Z6216" s="103"/>
      <c r="AA6216" s="103"/>
      <c r="AB6216" s="1"/>
    </row>
    <row r="6217" spans="15:28">
      <c r="O6217" s="1"/>
      <c r="P6217" s="1"/>
      <c r="Q6217" s="1"/>
      <c r="R6217" s="1"/>
      <c r="Z6217" s="103"/>
      <c r="AA6217" s="103"/>
      <c r="AB6217" s="1"/>
    </row>
    <row r="6218" spans="15:28">
      <c r="O6218" s="1"/>
      <c r="P6218" s="1"/>
      <c r="Q6218" s="1"/>
      <c r="R6218" s="1"/>
      <c r="Z6218" s="103"/>
      <c r="AA6218" s="103"/>
      <c r="AB6218" s="1"/>
    </row>
    <row r="6219" spans="15:28">
      <c r="O6219" s="1"/>
      <c r="P6219" s="1"/>
      <c r="Q6219" s="1"/>
      <c r="R6219" s="1"/>
      <c r="Z6219" s="103"/>
      <c r="AA6219" s="103"/>
      <c r="AB6219" s="1"/>
    </row>
    <row r="6220" spans="15:28">
      <c r="O6220" s="1"/>
      <c r="P6220" s="1"/>
      <c r="Q6220" s="1"/>
      <c r="R6220" s="1"/>
      <c r="Z6220" s="103"/>
      <c r="AA6220" s="103"/>
      <c r="AB6220" s="1"/>
    </row>
    <row r="6221" spans="15:28">
      <c r="O6221" s="1"/>
      <c r="P6221" s="1"/>
      <c r="Q6221" s="1"/>
      <c r="R6221" s="1"/>
      <c r="Z6221" s="103"/>
      <c r="AA6221" s="103"/>
      <c r="AB6221" s="1"/>
    </row>
    <row r="6222" spans="15:28">
      <c r="O6222" s="1"/>
      <c r="P6222" s="1"/>
      <c r="Q6222" s="1"/>
      <c r="R6222" s="1"/>
      <c r="Z6222" s="103"/>
      <c r="AA6222" s="103"/>
      <c r="AB6222" s="1"/>
    </row>
    <row r="6223" spans="15:28">
      <c r="O6223" s="1"/>
      <c r="P6223" s="1"/>
      <c r="Q6223" s="1"/>
      <c r="R6223" s="1"/>
      <c r="Z6223" s="103"/>
      <c r="AA6223" s="103"/>
      <c r="AB6223" s="1"/>
    </row>
    <row r="6224" spans="15:28">
      <c r="O6224" s="1"/>
      <c r="P6224" s="1"/>
      <c r="Q6224" s="1"/>
      <c r="R6224" s="1"/>
      <c r="Z6224" s="103"/>
      <c r="AA6224" s="103"/>
      <c r="AB6224" s="1"/>
    </row>
    <row r="6225" spans="15:28">
      <c r="O6225" s="1"/>
      <c r="P6225" s="1"/>
      <c r="Q6225" s="1"/>
      <c r="R6225" s="1"/>
      <c r="Z6225" s="103"/>
      <c r="AA6225" s="103"/>
      <c r="AB6225" s="1"/>
    </row>
    <row r="6226" spans="15:28">
      <c r="O6226" s="1"/>
      <c r="P6226" s="1"/>
      <c r="Q6226" s="1"/>
      <c r="R6226" s="1"/>
      <c r="Z6226" s="103"/>
      <c r="AA6226" s="103"/>
      <c r="AB6226" s="1"/>
    </row>
    <row r="6227" spans="15:28">
      <c r="O6227" s="1"/>
      <c r="P6227" s="1"/>
      <c r="Q6227" s="1"/>
      <c r="R6227" s="1"/>
      <c r="Z6227" s="103"/>
      <c r="AA6227" s="103"/>
      <c r="AB6227" s="1"/>
    </row>
    <row r="6228" spans="15:28">
      <c r="O6228" s="1"/>
      <c r="P6228" s="1"/>
      <c r="Q6228" s="1"/>
      <c r="R6228" s="1"/>
      <c r="Z6228" s="103"/>
      <c r="AA6228" s="103"/>
      <c r="AB6228" s="1"/>
    </row>
    <row r="6229" spans="15:28">
      <c r="O6229" s="1"/>
      <c r="P6229" s="1"/>
      <c r="Q6229" s="1"/>
      <c r="R6229" s="1"/>
      <c r="Z6229" s="103"/>
      <c r="AA6229" s="103"/>
      <c r="AB6229" s="1"/>
    </row>
    <row r="6230" spans="15:28">
      <c r="O6230" s="1"/>
      <c r="P6230" s="1"/>
      <c r="Q6230" s="1"/>
      <c r="R6230" s="1"/>
      <c r="Z6230" s="103"/>
      <c r="AA6230" s="103"/>
      <c r="AB6230" s="1"/>
    </row>
    <row r="6231" spans="15:28">
      <c r="O6231" s="1"/>
      <c r="P6231" s="1"/>
      <c r="Q6231" s="1"/>
      <c r="R6231" s="1"/>
      <c r="Z6231" s="103"/>
      <c r="AA6231" s="103"/>
      <c r="AB6231" s="1"/>
    </row>
    <row r="6232" spans="15:28">
      <c r="O6232" s="1"/>
      <c r="P6232" s="1"/>
      <c r="Q6232" s="1"/>
      <c r="R6232" s="1"/>
      <c r="Z6232" s="103"/>
      <c r="AA6232" s="103"/>
      <c r="AB6232" s="1"/>
    </row>
    <row r="6233" spans="15:28">
      <c r="O6233" s="1"/>
      <c r="P6233" s="1"/>
      <c r="Q6233" s="1"/>
      <c r="R6233" s="1"/>
      <c r="Z6233" s="103"/>
      <c r="AA6233" s="103"/>
      <c r="AB6233" s="1"/>
    </row>
    <row r="6234" spans="15:28">
      <c r="O6234" s="1"/>
      <c r="P6234" s="1"/>
      <c r="Q6234" s="1"/>
      <c r="R6234" s="1"/>
      <c r="Z6234" s="103"/>
      <c r="AA6234" s="103"/>
      <c r="AB6234" s="1"/>
    </row>
    <row r="6235" spans="15:28">
      <c r="O6235" s="1"/>
      <c r="P6235" s="1"/>
      <c r="Q6235" s="1"/>
      <c r="R6235" s="1"/>
      <c r="Z6235" s="103"/>
      <c r="AA6235" s="103"/>
      <c r="AB6235" s="1"/>
    </row>
    <row r="6236" spans="15:28">
      <c r="O6236" s="1"/>
      <c r="P6236" s="1"/>
      <c r="Q6236" s="1"/>
      <c r="R6236" s="1"/>
      <c r="Z6236" s="103"/>
      <c r="AA6236" s="103"/>
      <c r="AB6236" s="1"/>
    </row>
    <row r="6237" spans="15:28">
      <c r="O6237" s="1"/>
      <c r="P6237" s="1"/>
      <c r="Q6237" s="1"/>
      <c r="R6237" s="1"/>
      <c r="Z6237" s="103"/>
      <c r="AA6237" s="103"/>
      <c r="AB6237" s="1"/>
    </row>
    <row r="6238" spans="15:28">
      <c r="O6238" s="1"/>
      <c r="P6238" s="1"/>
      <c r="Q6238" s="1"/>
      <c r="R6238" s="1"/>
      <c r="Z6238" s="103"/>
      <c r="AA6238" s="103"/>
      <c r="AB6238" s="1"/>
    </row>
    <row r="6239" spans="15:28">
      <c r="O6239" s="1"/>
      <c r="P6239" s="1"/>
      <c r="Q6239" s="1"/>
      <c r="R6239" s="1"/>
      <c r="Z6239" s="103"/>
      <c r="AA6239" s="103"/>
      <c r="AB6239" s="1"/>
    </row>
    <row r="6240" spans="15:28">
      <c r="O6240" s="1"/>
      <c r="P6240" s="1"/>
      <c r="Q6240" s="1"/>
      <c r="R6240" s="1"/>
      <c r="Z6240" s="103"/>
      <c r="AA6240" s="103"/>
      <c r="AB6240" s="1"/>
    </row>
    <row r="6241" spans="15:30">
      <c r="O6241" s="1"/>
      <c r="P6241" s="1"/>
      <c r="Q6241" s="1"/>
      <c r="R6241" s="1"/>
      <c r="Z6241" s="103"/>
      <c r="AA6241" s="103"/>
      <c r="AB6241" s="1"/>
    </row>
    <row r="6242" spans="15:30">
      <c r="O6242" s="1"/>
      <c r="P6242" s="1"/>
      <c r="Q6242" s="1"/>
      <c r="R6242" s="1"/>
      <c r="Z6242" s="103"/>
      <c r="AA6242" s="103"/>
      <c r="AB6242" s="1"/>
    </row>
    <row r="6243" spans="15:30">
      <c r="O6243" s="1"/>
      <c r="P6243" s="1"/>
      <c r="Q6243" s="1"/>
      <c r="R6243" s="1"/>
      <c r="Z6243" s="103"/>
      <c r="AA6243" s="103"/>
      <c r="AB6243" s="1"/>
    </row>
    <row r="6244" spans="15:30">
      <c r="O6244" s="1"/>
      <c r="P6244" s="1"/>
      <c r="Q6244" s="1"/>
      <c r="R6244" s="1"/>
      <c r="Z6244" s="103"/>
      <c r="AA6244" s="103"/>
      <c r="AB6244" s="1"/>
    </row>
    <row r="6245" spans="15:30">
      <c r="O6245" s="1"/>
      <c r="P6245" s="1"/>
      <c r="Q6245" s="1"/>
      <c r="R6245" s="1"/>
      <c r="Z6245" s="103"/>
      <c r="AA6245" s="103"/>
      <c r="AB6245" s="1"/>
    </row>
    <row r="6246" spans="15:30">
      <c r="O6246" s="1"/>
      <c r="P6246" s="1"/>
      <c r="Q6246" s="1"/>
      <c r="R6246" s="1"/>
      <c r="Z6246" s="103"/>
      <c r="AA6246" s="103"/>
      <c r="AB6246" s="1"/>
    </row>
    <row r="6247" spans="15:30">
      <c r="O6247" s="1"/>
      <c r="P6247" s="1"/>
      <c r="Q6247" s="1"/>
      <c r="R6247" s="1"/>
      <c r="Z6247" s="103"/>
      <c r="AA6247" s="103"/>
      <c r="AB6247" s="1"/>
    </row>
    <row r="6248" spans="15:30">
      <c r="O6248" s="1"/>
      <c r="P6248" s="1"/>
      <c r="Q6248" s="1"/>
      <c r="R6248" s="1"/>
      <c r="Z6248" s="103"/>
      <c r="AA6248" s="103"/>
      <c r="AB6248" s="1"/>
      <c r="AD6248" s="102"/>
    </row>
    <row r="6249" spans="15:30">
      <c r="O6249" s="1"/>
      <c r="P6249" s="1"/>
      <c r="Q6249" s="1"/>
      <c r="R6249" s="1"/>
      <c r="Z6249" s="103"/>
      <c r="AA6249" s="103"/>
      <c r="AB6249" s="1"/>
    </row>
    <row r="6250" spans="15:30">
      <c r="O6250" s="1"/>
      <c r="P6250" s="1"/>
      <c r="Q6250" s="1"/>
      <c r="R6250" s="1"/>
      <c r="Z6250" s="103"/>
      <c r="AA6250" s="103"/>
      <c r="AB6250" s="1"/>
    </row>
    <row r="6251" spans="15:30">
      <c r="O6251" s="1"/>
      <c r="P6251" s="1"/>
      <c r="Q6251" s="1"/>
      <c r="R6251" s="1"/>
      <c r="Z6251" s="103"/>
      <c r="AA6251" s="103"/>
      <c r="AB6251" s="1"/>
    </row>
    <row r="6252" spans="15:30">
      <c r="O6252" s="1"/>
      <c r="P6252" s="1"/>
      <c r="Q6252" s="1"/>
      <c r="R6252" s="1"/>
      <c r="Z6252" s="103"/>
      <c r="AA6252" s="103"/>
      <c r="AB6252" s="1"/>
    </row>
    <row r="6253" spans="15:30">
      <c r="O6253" s="1"/>
      <c r="P6253" s="1"/>
      <c r="Q6253" s="1"/>
      <c r="R6253" s="1"/>
      <c r="Z6253" s="103"/>
      <c r="AA6253" s="103"/>
      <c r="AB6253" s="1"/>
    </row>
    <row r="6254" spans="15:30">
      <c r="O6254" s="1"/>
      <c r="P6254" s="1"/>
      <c r="Q6254" s="1"/>
      <c r="R6254" s="1"/>
      <c r="Z6254" s="103"/>
      <c r="AA6254" s="103"/>
      <c r="AB6254" s="1"/>
    </row>
    <row r="6255" spans="15:30">
      <c r="O6255" s="1"/>
      <c r="P6255" s="1"/>
      <c r="Q6255" s="1"/>
      <c r="R6255" s="1"/>
      <c r="Z6255" s="103"/>
      <c r="AA6255" s="103"/>
      <c r="AB6255" s="1"/>
    </row>
    <row r="6256" spans="15:30">
      <c r="O6256" s="1"/>
      <c r="P6256" s="1"/>
      <c r="Q6256" s="1"/>
      <c r="R6256" s="1"/>
      <c r="Z6256" s="103"/>
      <c r="AA6256" s="103"/>
      <c r="AB6256" s="1"/>
    </row>
    <row r="6257" spans="15:28">
      <c r="O6257" s="1"/>
      <c r="P6257" s="1"/>
      <c r="Q6257" s="1"/>
      <c r="R6257" s="1"/>
      <c r="Z6257" s="103"/>
      <c r="AA6257" s="103"/>
      <c r="AB6257" s="1"/>
    </row>
    <row r="6258" spans="15:28">
      <c r="O6258" s="1"/>
      <c r="P6258" s="1"/>
      <c r="Q6258" s="1"/>
      <c r="R6258" s="1"/>
      <c r="Z6258" s="103"/>
      <c r="AA6258" s="103"/>
      <c r="AB6258" s="1"/>
    </row>
    <row r="6259" spans="15:28">
      <c r="O6259" s="1"/>
      <c r="P6259" s="1"/>
      <c r="Q6259" s="1"/>
      <c r="R6259" s="1"/>
      <c r="Z6259" s="103"/>
      <c r="AA6259" s="103"/>
      <c r="AB6259" s="1"/>
    </row>
    <row r="6260" spans="15:28">
      <c r="O6260" s="1"/>
      <c r="P6260" s="1"/>
      <c r="Q6260" s="1"/>
      <c r="R6260" s="1"/>
      <c r="Z6260" s="103"/>
      <c r="AA6260" s="103"/>
      <c r="AB6260" s="1"/>
    </row>
    <row r="6261" spans="15:28">
      <c r="O6261" s="1"/>
      <c r="P6261" s="1"/>
      <c r="Q6261" s="1"/>
      <c r="R6261" s="1"/>
      <c r="Z6261" s="103"/>
      <c r="AA6261" s="103"/>
      <c r="AB6261" s="1"/>
    </row>
    <row r="6262" spans="15:28">
      <c r="O6262" s="1"/>
      <c r="P6262" s="1"/>
      <c r="Q6262" s="1"/>
      <c r="R6262" s="1"/>
      <c r="Z6262" s="103"/>
      <c r="AA6262" s="103"/>
      <c r="AB6262" s="1"/>
    </row>
    <row r="6263" spans="15:28">
      <c r="O6263" s="1"/>
      <c r="P6263" s="1"/>
      <c r="Q6263" s="1"/>
      <c r="R6263" s="1"/>
      <c r="Z6263" s="103"/>
      <c r="AA6263" s="103"/>
      <c r="AB6263" s="1"/>
    </row>
    <row r="6264" spans="15:28">
      <c r="O6264" s="1"/>
      <c r="P6264" s="1"/>
      <c r="Q6264" s="1"/>
      <c r="R6264" s="1"/>
      <c r="Z6264" s="103"/>
      <c r="AA6264" s="103"/>
      <c r="AB6264" s="1"/>
    </row>
    <row r="6265" spans="15:28">
      <c r="O6265" s="1"/>
      <c r="P6265" s="1"/>
      <c r="Q6265" s="1"/>
      <c r="R6265" s="1"/>
      <c r="Z6265" s="103"/>
      <c r="AA6265" s="103"/>
      <c r="AB6265" s="1"/>
    </row>
    <row r="6266" spans="15:28">
      <c r="O6266" s="1"/>
      <c r="P6266" s="1"/>
      <c r="Q6266" s="1"/>
      <c r="R6266" s="1"/>
      <c r="Z6266" s="103"/>
      <c r="AA6266" s="103"/>
      <c r="AB6266" s="1"/>
    </row>
    <row r="6267" spans="15:28">
      <c r="O6267" s="1"/>
      <c r="P6267" s="1"/>
      <c r="Q6267" s="1"/>
      <c r="R6267" s="1"/>
      <c r="Z6267" s="103"/>
      <c r="AA6267" s="103"/>
      <c r="AB6267" s="1"/>
    </row>
    <row r="6268" spans="15:28">
      <c r="O6268" s="1"/>
      <c r="P6268" s="1"/>
      <c r="Q6268" s="1"/>
      <c r="R6268" s="1"/>
      <c r="Z6268" s="103"/>
      <c r="AA6268" s="103"/>
      <c r="AB6268" s="1"/>
    </row>
    <row r="6269" spans="15:28">
      <c r="O6269" s="1"/>
      <c r="P6269" s="1"/>
      <c r="Q6269" s="1"/>
      <c r="R6269" s="1"/>
      <c r="Z6269" s="103"/>
      <c r="AA6269" s="103"/>
      <c r="AB6269" s="1"/>
    </row>
    <row r="6270" spans="15:28">
      <c r="O6270" s="1"/>
      <c r="P6270" s="1"/>
      <c r="Q6270" s="1"/>
      <c r="R6270" s="1"/>
      <c r="Z6270" s="103"/>
      <c r="AA6270" s="103"/>
      <c r="AB6270" s="1"/>
    </row>
    <row r="6271" spans="15:28">
      <c r="O6271" s="1"/>
      <c r="P6271" s="1"/>
      <c r="Q6271" s="1"/>
      <c r="R6271" s="1"/>
      <c r="Z6271" s="103"/>
      <c r="AA6271" s="103"/>
      <c r="AB6271" s="1"/>
    </row>
    <row r="6272" spans="15:28">
      <c r="O6272" s="1"/>
      <c r="P6272" s="1"/>
      <c r="Q6272" s="1"/>
      <c r="R6272" s="1"/>
      <c r="Z6272" s="103"/>
      <c r="AA6272" s="103"/>
      <c r="AB6272" s="1"/>
    </row>
    <row r="6273" spans="15:30">
      <c r="O6273" s="1"/>
      <c r="P6273" s="1"/>
      <c r="Q6273" s="1"/>
      <c r="R6273" s="1"/>
      <c r="Z6273" s="103"/>
      <c r="AA6273" s="103"/>
      <c r="AB6273" s="1"/>
    </row>
    <row r="6274" spans="15:30">
      <c r="O6274" s="1"/>
      <c r="P6274" s="1"/>
      <c r="Q6274" s="1"/>
      <c r="R6274" s="1"/>
      <c r="Z6274" s="103"/>
      <c r="AA6274" s="103"/>
      <c r="AB6274" s="1"/>
    </row>
    <row r="6275" spans="15:30">
      <c r="O6275" s="1"/>
      <c r="P6275" s="1"/>
      <c r="Q6275" s="1"/>
      <c r="R6275" s="1"/>
      <c r="Z6275" s="103"/>
      <c r="AA6275" s="103"/>
      <c r="AB6275" s="1"/>
    </row>
    <row r="6276" spans="15:30">
      <c r="O6276" s="1"/>
      <c r="P6276" s="1"/>
      <c r="Q6276" s="1"/>
      <c r="R6276" s="1"/>
      <c r="Z6276" s="103"/>
      <c r="AA6276" s="103"/>
      <c r="AB6276" s="1"/>
    </row>
    <row r="6277" spans="15:30">
      <c r="O6277" s="1"/>
      <c r="P6277" s="1"/>
      <c r="Q6277" s="1"/>
      <c r="R6277" s="1"/>
      <c r="Z6277" s="103"/>
      <c r="AA6277" s="103"/>
      <c r="AB6277" s="1"/>
    </row>
    <row r="6278" spans="15:30">
      <c r="O6278" s="1"/>
      <c r="P6278" s="1"/>
      <c r="Q6278" s="1"/>
      <c r="R6278" s="1"/>
      <c r="Z6278" s="103"/>
      <c r="AA6278" s="103"/>
      <c r="AB6278" s="1"/>
    </row>
    <row r="6279" spans="15:30">
      <c r="O6279" s="1"/>
      <c r="P6279" s="1"/>
      <c r="Q6279" s="1"/>
      <c r="R6279" s="1"/>
      <c r="Z6279" s="103"/>
      <c r="AA6279" s="103"/>
      <c r="AB6279" s="1"/>
    </row>
    <row r="6280" spans="15:30">
      <c r="O6280" s="1"/>
      <c r="P6280" s="1"/>
      <c r="Q6280" s="1"/>
      <c r="R6280" s="1"/>
      <c r="Z6280" s="103"/>
      <c r="AA6280" s="103"/>
      <c r="AB6280" s="1"/>
    </row>
    <row r="6281" spans="15:30">
      <c r="O6281" s="1"/>
      <c r="P6281" s="1"/>
      <c r="Q6281" s="1"/>
      <c r="R6281" s="1"/>
      <c r="Z6281" s="103"/>
      <c r="AA6281" s="103"/>
      <c r="AB6281" s="1"/>
    </row>
    <row r="6282" spans="15:30">
      <c r="O6282" s="1"/>
      <c r="P6282" s="1"/>
      <c r="Q6282" s="1"/>
      <c r="R6282" s="1"/>
      <c r="Z6282" s="103"/>
      <c r="AA6282" s="103"/>
      <c r="AB6282" s="1"/>
    </row>
    <row r="6283" spans="15:30">
      <c r="O6283" s="1"/>
      <c r="P6283" s="1"/>
      <c r="Q6283" s="1"/>
      <c r="R6283" s="1"/>
      <c r="Z6283" s="103"/>
      <c r="AA6283" s="103"/>
      <c r="AB6283" s="1"/>
    </row>
    <row r="6284" spans="15:30">
      <c r="O6284" s="1"/>
      <c r="P6284" s="1"/>
      <c r="Q6284" s="1"/>
      <c r="R6284" s="1"/>
      <c r="Z6284" s="103"/>
      <c r="AA6284" s="103"/>
      <c r="AB6284" s="1"/>
      <c r="AD6284" s="102"/>
    </row>
    <row r="6285" spans="15:30">
      <c r="O6285" s="1"/>
      <c r="P6285" s="1"/>
      <c r="Q6285" s="1"/>
      <c r="R6285" s="1"/>
      <c r="Z6285" s="103"/>
      <c r="AA6285" s="103"/>
      <c r="AB6285" s="1"/>
    </row>
    <row r="6286" spans="15:30">
      <c r="O6286" s="1"/>
      <c r="P6286" s="1"/>
      <c r="Q6286" s="1"/>
      <c r="R6286" s="1"/>
      <c r="Z6286" s="103"/>
      <c r="AA6286" s="103"/>
      <c r="AB6286" s="1"/>
    </row>
    <row r="6287" spans="15:30">
      <c r="O6287" s="1"/>
      <c r="P6287" s="1"/>
      <c r="Q6287" s="1"/>
      <c r="R6287" s="1"/>
      <c r="Z6287" s="103"/>
      <c r="AA6287" s="103"/>
      <c r="AB6287" s="1"/>
    </row>
    <row r="6288" spans="15:30">
      <c r="O6288" s="1"/>
      <c r="P6288" s="1"/>
      <c r="Q6288" s="1"/>
      <c r="R6288" s="1"/>
      <c r="Z6288" s="103"/>
      <c r="AA6288" s="103"/>
      <c r="AB6288" s="1"/>
    </row>
    <row r="6289" spans="15:28">
      <c r="O6289" s="1"/>
      <c r="P6289" s="1"/>
      <c r="Q6289" s="1"/>
      <c r="R6289" s="1"/>
      <c r="Z6289" s="103"/>
      <c r="AA6289" s="103"/>
      <c r="AB6289" s="1"/>
    </row>
    <row r="6290" spans="15:28">
      <c r="O6290" s="1"/>
      <c r="P6290" s="1"/>
      <c r="Q6290" s="1"/>
      <c r="R6290" s="1"/>
      <c r="Z6290" s="103"/>
      <c r="AA6290" s="103"/>
      <c r="AB6290" s="1"/>
    </row>
    <row r="6291" spans="15:28">
      <c r="O6291" s="1"/>
      <c r="P6291" s="1"/>
      <c r="Q6291" s="1"/>
      <c r="R6291" s="1"/>
      <c r="Z6291" s="103"/>
      <c r="AA6291" s="103"/>
      <c r="AB6291" s="1"/>
    </row>
    <row r="6292" spans="15:28">
      <c r="O6292" s="1"/>
      <c r="P6292" s="1"/>
      <c r="Q6292" s="1"/>
      <c r="R6292" s="1"/>
      <c r="Z6292" s="103"/>
      <c r="AA6292" s="103"/>
      <c r="AB6292" s="1"/>
    </row>
    <row r="6293" spans="15:28">
      <c r="O6293" s="1"/>
      <c r="P6293" s="1"/>
      <c r="Q6293" s="1"/>
      <c r="R6293" s="1"/>
      <c r="Z6293" s="103"/>
      <c r="AA6293" s="103"/>
      <c r="AB6293" s="1"/>
    </row>
    <row r="6294" spans="15:28">
      <c r="O6294" s="1"/>
      <c r="P6294" s="1"/>
      <c r="Q6294" s="1"/>
      <c r="R6294" s="1"/>
      <c r="Z6294" s="103"/>
      <c r="AA6294" s="103"/>
      <c r="AB6294" s="1"/>
    </row>
    <row r="6295" spans="15:28">
      <c r="O6295" s="1"/>
      <c r="P6295" s="1"/>
      <c r="Q6295" s="1"/>
      <c r="R6295" s="1"/>
      <c r="Z6295" s="103"/>
      <c r="AA6295" s="103"/>
      <c r="AB6295" s="1"/>
    </row>
    <row r="6296" spans="15:28">
      <c r="O6296" s="1"/>
      <c r="P6296" s="1"/>
      <c r="Q6296" s="1"/>
      <c r="R6296" s="1"/>
      <c r="Z6296" s="103"/>
      <c r="AA6296" s="103"/>
      <c r="AB6296" s="1"/>
    </row>
    <row r="6297" spans="15:28">
      <c r="O6297" s="1"/>
      <c r="P6297" s="1"/>
      <c r="Q6297" s="1"/>
      <c r="R6297" s="1"/>
      <c r="Z6297" s="103"/>
      <c r="AA6297" s="103"/>
      <c r="AB6297" s="1"/>
    </row>
    <row r="6298" spans="15:28">
      <c r="O6298" s="1"/>
      <c r="P6298" s="1"/>
      <c r="Q6298" s="1"/>
      <c r="R6298" s="1"/>
      <c r="Z6298" s="103"/>
      <c r="AA6298" s="103"/>
      <c r="AB6298" s="1"/>
    </row>
    <row r="6299" spans="15:28">
      <c r="O6299" s="1"/>
      <c r="P6299" s="1"/>
      <c r="Q6299" s="1"/>
      <c r="R6299" s="1"/>
      <c r="Z6299" s="103"/>
      <c r="AA6299" s="103"/>
      <c r="AB6299" s="1"/>
    </row>
    <row r="6300" spans="15:28">
      <c r="O6300" s="1"/>
      <c r="P6300" s="1"/>
      <c r="Q6300" s="1"/>
      <c r="R6300" s="1"/>
      <c r="Z6300" s="103"/>
      <c r="AA6300" s="103"/>
      <c r="AB6300" s="1"/>
    </row>
    <row r="6301" spans="15:28">
      <c r="O6301" s="1"/>
      <c r="P6301" s="1"/>
      <c r="Q6301" s="1"/>
      <c r="R6301" s="1"/>
      <c r="Z6301" s="103"/>
      <c r="AA6301" s="103"/>
      <c r="AB6301" s="1"/>
    </row>
    <row r="6302" spans="15:28">
      <c r="O6302" s="1"/>
      <c r="P6302" s="1"/>
      <c r="Q6302" s="1"/>
      <c r="R6302" s="1"/>
      <c r="Z6302" s="103"/>
      <c r="AA6302" s="103"/>
      <c r="AB6302" s="1"/>
    </row>
    <row r="6303" spans="15:28">
      <c r="O6303" s="1"/>
      <c r="P6303" s="1"/>
      <c r="Q6303" s="1"/>
      <c r="R6303" s="1"/>
      <c r="Z6303" s="103"/>
      <c r="AA6303" s="103"/>
      <c r="AB6303" s="1"/>
    </row>
    <row r="6304" spans="15:28">
      <c r="O6304" s="1"/>
      <c r="P6304" s="1"/>
      <c r="Q6304" s="1"/>
      <c r="R6304" s="1"/>
      <c r="Z6304" s="103"/>
      <c r="AA6304" s="103"/>
      <c r="AB6304" s="1"/>
    </row>
    <row r="6305" spans="15:28">
      <c r="O6305" s="1"/>
      <c r="P6305" s="1"/>
      <c r="Q6305" s="1"/>
      <c r="R6305" s="1"/>
      <c r="Z6305" s="103"/>
      <c r="AA6305" s="103"/>
      <c r="AB6305" s="1"/>
    </row>
    <row r="6306" spans="15:28">
      <c r="O6306" s="1"/>
      <c r="P6306" s="1"/>
      <c r="Q6306" s="1"/>
      <c r="R6306" s="1"/>
      <c r="Z6306" s="103"/>
      <c r="AA6306" s="103"/>
      <c r="AB6306" s="1"/>
    </row>
    <row r="6307" spans="15:28">
      <c r="O6307" s="1"/>
      <c r="P6307" s="1"/>
      <c r="Q6307" s="1"/>
      <c r="R6307" s="1"/>
      <c r="Z6307" s="103"/>
      <c r="AA6307" s="103"/>
      <c r="AB6307" s="1"/>
    </row>
    <row r="6308" spans="15:28">
      <c r="O6308" s="1"/>
      <c r="P6308" s="1"/>
      <c r="Q6308" s="1"/>
      <c r="R6308" s="1"/>
      <c r="Z6308" s="103"/>
      <c r="AA6308" s="103"/>
      <c r="AB6308" s="1"/>
    </row>
    <row r="6309" spans="15:28">
      <c r="O6309" s="1"/>
      <c r="P6309" s="1"/>
      <c r="Q6309" s="1"/>
      <c r="R6309" s="1"/>
      <c r="Z6309" s="103"/>
      <c r="AA6309" s="103"/>
      <c r="AB6309" s="1"/>
    </row>
    <row r="6310" spans="15:28">
      <c r="O6310" s="1"/>
      <c r="P6310" s="1"/>
      <c r="Q6310" s="1"/>
      <c r="R6310" s="1"/>
      <c r="Z6310" s="103"/>
      <c r="AA6310" s="103"/>
      <c r="AB6310" s="1"/>
    </row>
    <row r="6311" spans="15:28">
      <c r="O6311" s="1"/>
      <c r="P6311" s="1"/>
      <c r="Q6311" s="1"/>
      <c r="R6311" s="1"/>
      <c r="Z6311" s="103"/>
      <c r="AA6311" s="103"/>
      <c r="AB6311" s="1"/>
    </row>
    <row r="6312" spans="15:28">
      <c r="O6312" s="1"/>
      <c r="P6312" s="1"/>
      <c r="Q6312" s="1"/>
      <c r="R6312" s="1"/>
      <c r="Z6312" s="103"/>
      <c r="AA6312" s="103"/>
      <c r="AB6312" s="1"/>
    </row>
    <row r="6313" spans="15:28">
      <c r="O6313" s="1"/>
      <c r="P6313" s="1"/>
      <c r="Q6313" s="1"/>
      <c r="R6313" s="1"/>
      <c r="Z6313" s="103"/>
      <c r="AA6313" s="103"/>
      <c r="AB6313" s="1"/>
    </row>
    <row r="6314" spans="15:28">
      <c r="O6314" s="1"/>
      <c r="P6314" s="1"/>
      <c r="Q6314" s="1"/>
      <c r="R6314" s="1"/>
      <c r="Z6314" s="103"/>
      <c r="AA6314" s="103"/>
      <c r="AB6314" s="1"/>
    </row>
    <row r="6315" spans="15:28">
      <c r="O6315" s="1"/>
      <c r="P6315" s="1"/>
      <c r="Q6315" s="1"/>
      <c r="R6315" s="1"/>
      <c r="Z6315" s="103"/>
      <c r="AA6315" s="103"/>
      <c r="AB6315" s="1"/>
    </row>
    <row r="6316" spans="15:28">
      <c r="O6316" s="1"/>
      <c r="P6316" s="1"/>
      <c r="Q6316" s="1"/>
      <c r="R6316" s="1"/>
      <c r="Z6316" s="103"/>
      <c r="AA6316" s="103"/>
      <c r="AB6316" s="1"/>
    </row>
    <row r="6317" spans="15:28">
      <c r="O6317" s="1"/>
      <c r="P6317" s="1"/>
      <c r="Q6317" s="1"/>
      <c r="R6317" s="1"/>
      <c r="Z6317" s="103"/>
      <c r="AA6317" s="103"/>
      <c r="AB6317" s="1"/>
    </row>
    <row r="6318" spans="15:28">
      <c r="O6318" s="1"/>
      <c r="P6318" s="1"/>
      <c r="Q6318" s="1"/>
      <c r="R6318" s="1"/>
      <c r="Z6318" s="103"/>
      <c r="AA6318" s="103"/>
      <c r="AB6318" s="1"/>
    </row>
    <row r="6319" spans="15:28">
      <c r="O6319" s="1"/>
      <c r="P6319" s="1"/>
      <c r="Q6319" s="1"/>
      <c r="R6319" s="1"/>
      <c r="Z6319" s="103"/>
      <c r="AA6319" s="103"/>
      <c r="AB6319" s="1"/>
    </row>
    <row r="6320" spans="15:28">
      <c r="O6320" s="1"/>
      <c r="P6320" s="1"/>
      <c r="Q6320" s="1"/>
      <c r="R6320" s="1"/>
      <c r="Z6320" s="103"/>
      <c r="AA6320" s="103"/>
      <c r="AB6320" s="1"/>
    </row>
    <row r="6321" spans="15:28">
      <c r="O6321" s="1"/>
      <c r="P6321" s="1"/>
      <c r="Q6321" s="1"/>
      <c r="R6321" s="1"/>
      <c r="Z6321" s="103"/>
      <c r="AA6321" s="103"/>
      <c r="AB6321" s="1"/>
    </row>
    <row r="6322" spans="15:28">
      <c r="O6322" s="1"/>
      <c r="P6322" s="1"/>
      <c r="Q6322" s="1"/>
      <c r="R6322" s="1"/>
      <c r="Z6322" s="103"/>
      <c r="AA6322" s="103"/>
      <c r="AB6322" s="1"/>
    </row>
    <row r="6323" spans="15:28">
      <c r="O6323" s="1"/>
      <c r="P6323" s="1"/>
      <c r="Q6323" s="1"/>
      <c r="R6323" s="1"/>
      <c r="Z6323" s="103"/>
      <c r="AA6323" s="103"/>
      <c r="AB6323" s="1"/>
    </row>
    <row r="6324" spans="15:28">
      <c r="O6324" s="1"/>
      <c r="P6324" s="1"/>
      <c r="Q6324" s="1"/>
      <c r="R6324" s="1"/>
      <c r="Z6324" s="103"/>
      <c r="AA6324" s="103"/>
      <c r="AB6324" s="1"/>
    </row>
    <row r="6325" spans="15:28">
      <c r="O6325" s="1"/>
      <c r="P6325" s="1"/>
      <c r="Q6325" s="1"/>
      <c r="R6325" s="1"/>
      <c r="Z6325" s="103"/>
      <c r="AA6325" s="103"/>
      <c r="AB6325" s="1"/>
    </row>
    <row r="6326" spans="15:28">
      <c r="O6326" s="1"/>
      <c r="P6326" s="1"/>
      <c r="Q6326" s="1"/>
      <c r="R6326" s="1"/>
      <c r="Z6326" s="103"/>
      <c r="AA6326" s="103"/>
      <c r="AB6326" s="1"/>
    </row>
    <row r="6327" spans="15:28">
      <c r="O6327" s="1"/>
      <c r="P6327" s="1"/>
      <c r="Q6327" s="1"/>
      <c r="R6327" s="1"/>
      <c r="Z6327" s="103"/>
      <c r="AA6327" s="103"/>
      <c r="AB6327" s="1"/>
    </row>
    <row r="6328" spans="15:28">
      <c r="O6328" s="1"/>
      <c r="P6328" s="1"/>
      <c r="Q6328" s="1"/>
      <c r="R6328" s="1"/>
      <c r="Z6328" s="103"/>
      <c r="AA6328" s="103"/>
      <c r="AB6328" s="1"/>
    </row>
    <row r="6329" spans="15:28">
      <c r="O6329" s="1"/>
      <c r="P6329" s="1"/>
      <c r="Q6329" s="1"/>
      <c r="R6329" s="1"/>
      <c r="Z6329" s="103"/>
      <c r="AA6329" s="103"/>
      <c r="AB6329" s="1"/>
    </row>
    <row r="6330" spans="15:28">
      <c r="O6330" s="1"/>
      <c r="P6330" s="1"/>
      <c r="Q6330" s="1"/>
      <c r="R6330" s="1"/>
      <c r="Z6330" s="103"/>
      <c r="AA6330" s="103"/>
      <c r="AB6330" s="1"/>
    </row>
    <row r="6331" spans="15:28">
      <c r="O6331" s="1"/>
      <c r="P6331" s="1"/>
      <c r="Q6331" s="1"/>
      <c r="R6331" s="1"/>
      <c r="Z6331" s="103"/>
      <c r="AA6331" s="103"/>
      <c r="AB6331" s="1"/>
    </row>
    <row r="6332" spans="15:28">
      <c r="O6332" s="1"/>
      <c r="P6332" s="1"/>
      <c r="Q6332" s="1"/>
      <c r="R6332" s="1"/>
      <c r="Z6332" s="103"/>
      <c r="AA6332" s="103"/>
      <c r="AB6332" s="1"/>
    </row>
    <row r="6333" spans="15:28">
      <c r="O6333" s="1"/>
      <c r="P6333" s="1"/>
      <c r="Q6333" s="1"/>
      <c r="R6333" s="1"/>
      <c r="Z6333" s="103"/>
      <c r="AA6333" s="103"/>
      <c r="AB6333" s="1"/>
    </row>
    <row r="6334" spans="15:28">
      <c r="O6334" s="1"/>
      <c r="P6334" s="1"/>
      <c r="Q6334" s="1"/>
      <c r="R6334" s="1"/>
      <c r="Z6334" s="103"/>
      <c r="AA6334" s="103"/>
      <c r="AB6334" s="1"/>
    </row>
    <row r="6335" spans="15:28">
      <c r="O6335" s="1"/>
      <c r="P6335" s="1"/>
      <c r="Q6335" s="1"/>
      <c r="R6335" s="1"/>
      <c r="Z6335" s="103"/>
      <c r="AA6335" s="103"/>
      <c r="AB6335" s="1"/>
    </row>
    <row r="6336" spans="15:28">
      <c r="O6336" s="1"/>
      <c r="P6336" s="1"/>
      <c r="Q6336" s="1"/>
      <c r="R6336" s="1"/>
      <c r="Z6336" s="103"/>
      <c r="AA6336" s="103"/>
      <c r="AB6336" s="1"/>
    </row>
    <row r="6337" spans="15:28">
      <c r="O6337" s="1"/>
      <c r="P6337" s="1"/>
      <c r="Q6337" s="1"/>
      <c r="R6337" s="1"/>
      <c r="Z6337" s="103"/>
      <c r="AA6337" s="103"/>
      <c r="AB6337" s="1"/>
    </row>
    <row r="6338" spans="15:28">
      <c r="O6338" s="1"/>
      <c r="P6338" s="1"/>
      <c r="Q6338" s="1"/>
      <c r="R6338" s="1"/>
      <c r="Z6338" s="103"/>
      <c r="AA6338" s="103"/>
      <c r="AB6338" s="1"/>
    </row>
    <row r="6339" spans="15:28">
      <c r="O6339" s="1"/>
      <c r="P6339" s="1"/>
      <c r="Q6339" s="1"/>
      <c r="R6339" s="1"/>
      <c r="Z6339" s="103"/>
      <c r="AA6339" s="103"/>
      <c r="AB6339" s="1"/>
    </row>
    <row r="6340" spans="15:28">
      <c r="O6340" s="1"/>
      <c r="P6340" s="1"/>
      <c r="Q6340" s="1"/>
      <c r="R6340" s="1"/>
      <c r="Z6340" s="103"/>
      <c r="AA6340" s="103"/>
      <c r="AB6340" s="1"/>
    </row>
    <row r="6341" spans="15:28">
      <c r="O6341" s="1"/>
      <c r="P6341" s="1"/>
      <c r="Q6341" s="1"/>
      <c r="R6341" s="1"/>
      <c r="Z6341" s="103"/>
      <c r="AA6341" s="103"/>
      <c r="AB6341" s="1"/>
    </row>
    <row r="6342" spans="15:28">
      <c r="O6342" s="1"/>
      <c r="P6342" s="1"/>
      <c r="Q6342" s="1"/>
      <c r="R6342" s="1"/>
      <c r="Z6342" s="103"/>
      <c r="AA6342" s="103"/>
      <c r="AB6342" s="1"/>
    </row>
    <row r="6343" spans="15:28">
      <c r="O6343" s="1"/>
      <c r="P6343" s="1"/>
      <c r="Q6343" s="1"/>
      <c r="R6343" s="1"/>
      <c r="Z6343" s="103"/>
      <c r="AA6343" s="103"/>
      <c r="AB6343" s="1"/>
    </row>
    <row r="6344" spans="15:28">
      <c r="O6344" s="1"/>
      <c r="P6344" s="1"/>
      <c r="Q6344" s="1"/>
      <c r="R6344" s="1"/>
      <c r="Z6344" s="103"/>
      <c r="AA6344" s="103"/>
      <c r="AB6344" s="1"/>
    </row>
    <row r="6345" spans="15:28">
      <c r="O6345" s="1"/>
      <c r="P6345" s="1"/>
      <c r="Q6345" s="1"/>
      <c r="R6345" s="1"/>
      <c r="Z6345" s="103"/>
      <c r="AA6345" s="103"/>
      <c r="AB6345" s="1"/>
    </row>
    <row r="6346" spans="15:28">
      <c r="O6346" s="1"/>
      <c r="P6346" s="1"/>
      <c r="Q6346" s="1"/>
      <c r="R6346" s="1"/>
      <c r="Z6346" s="103"/>
      <c r="AA6346" s="103"/>
      <c r="AB6346" s="1"/>
    </row>
    <row r="6347" spans="15:28">
      <c r="O6347" s="1"/>
      <c r="P6347" s="1"/>
      <c r="Q6347" s="1"/>
      <c r="R6347" s="1"/>
      <c r="Z6347" s="103"/>
      <c r="AA6347" s="103"/>
      <c r="AB6347" s="1"/>
    </row>
    <row r="6348" spans="15:28">
      <c r="O6348" s="1"/>
      <c r="P6348" s="1"/>
      <c r="Q6348" s="1"/>
      <c r="R6348" s="1"/>
      <c r="Z6348" s="103"/>
      <c r="AA6348" s="103"/>
      <c r="AB6348" s="1"/>
    </row>
    <row r="6349" spans="15:28">
      <c r="O6349" s="1"/>
      <c r="P6349" s="1"/>
      <c r="Q6349" s="1"/>
      <c r="R6349" s="1"/>
      <c r="Z6349" s="103"/>
      <c r="AA6349" s="103"/>
      <c r="AB6349" s="1"/>
    </row>
    <row r="6350" spans="15:28">
      <c r="O6350" s="1"/>
      <c r="P6350" s="1"/>
      <c r="Q6350" s="1"/>
      <c r="R6350" s="1"/>
      <c r="Z6350" s="103"/>
      <c r="AA6350" s="103"/>
      <c r="AB6350" s="1"/>
    </row>
    <row r="6351" spans="15:28">
      <c r="O6351" s="1"/>
      <c r="P6351" s="1"/>
      <c r="Q6351" s="1"/>
      <c r="R6351" s="1"/>
      <c r="Z6351" s="103"/>
      <c r="AA6351" s="103"/>
      <c r="AB6351" s="1"/>
    </row>
    <row r="6352" spans="15:28">
      <c r="O6352" s="1"/>
      <c r="P6352" s="1"/>
      <c r="Q6352" s="1"/>
      <c r="R6352" s="1"/>
      <c r="Z6352" s="103"/>
      <c r="AA6352" s="103"/>
      <c r="AB6352" s="1"/>
    </row>
    <row r="6353" spans="15:28">
      <c r="O6353" s="1"/>
      <c r="P6353" s="1"/>
      <c r="Q6353" s="1"/>
      <c r="R6353" s="1"/>
      <c r="Z6353" s="103"/>
      <c r="AA6353" s="103"/>
      <c r="AB6353" s="1"/>
    </row>
    <row r="6354" spans="15:28">
      <c r="O6354" s="1"/>
      <c r="P6354" s="1"/>
      <c r="Q6354" s="1"/>
      <c r="R6354" s="1"/>
      <c r="Z6354" s="103"/>
      <c r="AA6354" s="103"/>
      <c r="AB6354" s="1"/>
    </row>
    <row r="6355" spans="15:28">
      <c r="O6355" s="1"/>
      <c r="P6355" s="1"/>
      <c r="Q6355" s="1"/>
      <c r="R6355" s="1"/>
      <c r="Z6355" s="103"/>
      <c r="AA6355" s="103"/>
      <c r="AB6355" s="1"/>
    </row>
    <row r="6356" spans="15:28">
      <c r="O6356" s="1"/>
      <c r="P6356" s="1"/>
      <c r="Q6356" s="1"/>
      <c r="R6356" s="1"/>
      <c r="Z6356" s="103"/>
      <c r="AA6356" s="103"/>
      <c r="AB6356" s="1"/>
    </row>
    <row r="6357" spans="15:28">
      <c r="O6357" s="1"/>
      <c r="P6357" s="1"/>
      <c r="Q6357" s="1"/>
      <c r="R6357" s="1"/>
      <c r="Z6357" s="103"/>
      <c r="AA6357" s="103"/>
      <c r="AB6357" s="1"/>
    </row>
    <row r="6358" spans="15:28">
      <c r="O6358" s="1"/>
      <c r="P6358" s="1"/>
      <c r="Q6358" s="1"/>
      <c r="R6358" s="1"/>
      <c r="Z6358" s="103"/>
      <c r="AA6358" s="103"/>
      <c r="AB6358" s="1"/>
    </row>
    <row r="6359" spans="15:28">
      <c r="O6359" s="1"/>
      <c r="P6359" s="1"/>
      <c r="Q6359" s="1"/>
      <c r="R6359" s="1"/>
      <c r="Z6359" s="103"/>
      <c r="AA6359" s="103"/>
      <c r="AB6359" s="1"/>
    </row>
    <row r="6360" spans="15:28">
      <c r="O6360" s="1"/>
      <c r="P6360" s="1"/>
      <c r="Q6360" s="1"/>
      <c r="R6360" s="1"/>
      <c r="Z6360" s="103"/>
      <c r="AA6360" s="103"/>
      <c r="AB6360" s="1"/>
    </row>
    <row r="6361" spans="15:28">
      <c r="O6361" s="1"/>
      <c r="P6361" s="1"/>
      <c r="Q6361" s="1"/>
      <c r="R6361" s="1"/>
      <c r="Z6361" s="103"/>
      <c r="AA6361" s="103"/>
      <c r="AB6361" s="1"/>
    </row>
    <row r="6362" spans="15:28">
      <c r="O6362" s="1"/>
      <c r="P6362" s="1"/>
      <c r="Q6362" s="1"/>
      <c r="R6362" s="1"/>
      <c r="Z6362" s="103"/>
      <c r="AA6362" s="103"/>
      <c r="AB6362" s="1"/>
    </row>
    <row r="6363" spans="15:28">
      <c r="O6363" s="1"/>
      <c r="P6363" s="1"/>
      <c r="Q6363" s="1"/>
      <c r="R6363" s="1"/>
      <c r="Z6363" s="103"/>
      <c r="AA6363" s="103"/>
      <c r="AB6363" s="1"/>
    </row>
    <row r="6364" spans="15:28">
      <c r="O6364" s="1"/>
      <c r="P6364" s="1"/>
      <c r="Q6364" s="1"/>
      <c r="R6364" s="1"/>
      <c r="Z6364" s="103"/>
      <c r="AA6364" s="103"/>
      <c r="AB6364" s="1"/>
    </row>
    <row r="6365" spans="15:28">
      <c r="O6365" s="1"/>
      <c r="P6365" s="1"/>
      <c r="Q6365" s="1"/>
      <c r="R6365" s="1"/>
      <c r="Z6365" s="103"/>
      <c r="AA6365" s="103"/>
      <c r="AB6365" s="1"/>
    </row>
    <row r="6366" spans="15:28">
      <c r="O6366" s="1"/>
      <c r="P6366" s="1"/>
      <c r="Q6366" s="1"/>
      <c r="R6366" s="1"/>
      <c r="Z6366" s="103"/>
      <c r="AA6366" s="103"/>
      <c r="AB6366" s="1"/>
    </row>
    <row r="6367" spans="15:28">
      <c r="O6367" s="1"/>
      <c r="P6367" s="1"/>
      <c r="Q6367" s="1"/>
      <c r="R6367" s="1"/>
      <c r="Z6367" s="103"/>
      <c r="AA6367" s="103"/>
      <c r="AB6367" s="1"/>
    </row>
    <row r="6368" spans="15:28">
      <c r="O6368" s="1"/>
      <c r="P6368" s="1"/>
      <c r="Q6368" s="1"/>
      <c r="R6368" s="1"/>
      <c r="Z6368" s="103"/>
      <c r="AA6368" s="103"/>
      <c r="AB6368" s="1"/>
    </row>
    <row r="6369" spans="15:28">
      <c r="O6369" s="1"/>
      <c r="P6369" s="1"/>
      <c r="Q6369" s="1"/>
      <c r="R6369" s="1"/>
      <c r="Z6369" s="103"/>
      <c r="AA6369" s="103"/>
      <c r="AB6369" s="1"/>
    </row>
    <row r="6370" spans="15:28">
      <c r="O6370" s="1"/>
      <c r="P6370" s="1"/>
      <c r="Q6370" s="1"/>
      <c r="R6370" s="1"/>
      <c r="Z6370" s="103"/>
      <c r="AA6370" s="103"/>
      <c r="AB6370" s="1"/>
    </row>
    <row r="6371" spans="15:28">
      <c r="O6371" s="1"/>
      <c r="P6371" s="1"/>
      <c r="Q6371" s="1"/>
      <c r="R6371" s="1"/>
      <c r="Z6371" s="103"/>
      <c r="AA6371" s="103"/>
      <c r="AB6371" s="1"/>
    </row>
    <row r="6372" spans="15:28">
      <c r="O6372" s="1"/>
      <c r="P6372" s="1"/>
      <c r="Q6372" s="1"/>
      <c r="R6372" s="1"/>
      <c r="Z6372" s="103"/>
      <c r="AA6372" s="103"/>
      <c r="AB6372" s="1"/>
    </row>
    <row r="6373" spans="15:28">
      <c r="O6373" s="1"/>
      <c r="P6373" s="1"/>
      <c r="Q6373" s="1"/>
      <c r="R6373" s="1"/>
      <c r="Z6373" s="103"/>
      <c r="AA6373" s="103"/>
      <c r="AB6373" s="1"/>
    </row>
    <row r="6374" spans="15:28">
      <c r="O6374" s="1"/>
      <c r="P6374" s="1"/>
      <c r="Q6374" s="1"/>
      <c r="R6374" s="1"/>
      <c r="Z6374" s="103"/>
      <c r="AA6374" s="103"/>
      <c r="AB6374" s="1"/>
    </row>
    <row r="6375" spans="15:28">
      <c r="O6375" s="1"/>
      <c r="P6375" s="1"/>
      <c r="Q6375" s="1"/>
      <c r="R6375" s="1"/>
      <c r="Z6375" s="103"/>
      <c r="AA6375" s="103"/>
      <c r="AB6375" s="1"/>
    </row>
    <row r="6376" spans="15:28">
      <c r="O6376" s="1"/>
      <c r="P6376" s="1"/>
      <c r="Q6376" s="1"/>
      <c r="R6376" s="1"/>
      <c r="Z6376" s="103"/>
      <c r="AA6376" s="103"/>
      <c r="AB6376" s="1"/>
    </row>
    <row r="6377" spans="15:28">
      <c r="O6377" s="1"/>
      <c r="P6377" s="1"/>
      <c r="Q6377" s="1"/>
      <c r="R6377" s="1"/>
      <c r="Z6377" s="103"/>
      <c r="AA6377" s="103"/>
      <c r="AB6377" s="1"/>
    </row>
    <row r="6378" spans="15:28">
      <c r="O6378" s="1"/>
      <c r="P6378" s="1"/>
      <c r="Q6378" s="1"/>
      <c r="R6378" s="1"/>
      <c r="Z6378" s="103"/>
      <c r="AA6378" s="103"/>
      <c r="AB6378" s="1"/>
    </row>
    <row r="6379" spans="15:28">
      <c r="O6379" s="1"/>
      <c r="P6379" s="1"/>
      <c r="Q6379" s="1"/>
      <c r="R6379" s="1"/>
      <c r="Z6379" s="103"/>
      <c r="AA6379" s="103"/>
      <c r="AB6379" s="1"/>
    </row>
    <row r="6380" spans="15:28">
      <c r="O6380" s="1"/>
      <c r="P6380" s="1"/>
      <c r="Q6380" s="1"/>
      <c r="R6380" s="1"/>
      <c r="Z6380" s="103"/>
      <c r="AA6380" s="103"/>
      <c r="AB6380" s="1"/>
    </row>
    <row r="6381" spans="15:28">
      <c r="O6381" s="1"/>
      <c r="P6381" s="1"/>
      <c r="Q6381" s="1"/>
      <c r="R6381" s="1"/>
      <c r="Z6381" s="103"/>
      <c r="AA6381" s="103"/>
      <c r="AB6381" s="1"/>
    </row>
    <row r="6382" spans="15:28">
      <c r="O6382" s="1"/>
      <c r="P6382" s="1"/>
      <c r="Q6382" s="1"/>
      <c r="R6382" s="1"/>
      <c r="Z6382" s="103"/>
      <c r="AA6382" s="103"/>
      <c r="AB6382" s="1"/>
    </row>
    <row r="6383" spans="15:28">
      <c r="O6383" s="1"/>
      <c r="P6383" s="1"/>
      <c r="Q6383" s="1"/>
      <c r="R6383" s="1"/>
      <c r="Z6383" s="103"/>
      <c r="AA6383" s="103"/>
      <c r="AB6383" s="1"/>
    </row>
    <row r="6384" spans="15:28">
      <c r="O6384" s="1"/>
      <c r="P6384" s="1"/>
      <c r="Q6384" s="1"/>
      <c r="R6384" s="1"/>
      <c r="Z6384" s="103"/>
      <c r="AA6384" s="103"/>
      <c r="AB6384" s="1"/>
    </row>
    <row r="6385" spans="15:28">
      <c r="O6385" s="1"/>
      <c r="P6385" s="1"/>
      <c r="Q6385" s="1"/>
      <c r="R6385" s="1"/>
      <c r="Z6385" s="103"/>
      <c r="AA6385" s="103"/>
      <c r="AB6385" s="1"/>
    </row>
    <row r="6386" spans="15:28">
      <c r="O6386" s="1"/>
      <c r="P6386" s="1"/>
      <c r="Q6386" s="1"/>
      <c r="R6386" s="1"/>
      <c r="Z6386" s="103"/>
      <c r="AA6386" s="103"/>
      <c r="AB6386" s="1"/>
    </row>
    <row r="6387" spans="15:28">
      <c r="O6387" s="1"/>
      <c r="P6387" s="1"/>
      <c r="Q6387" s="1"/>
      <c r="R6387" s="1"/>
      <c r="Z6387" s="103"/>
      <c r="AA6387" s="103"/>
      <c r="AB6387" s="1"/>
    </row>
    <row r="6388" spans="15:28">
      <c r="O6388" s="1"/>
      <c r="P6388" s="1"/>
      <c r="Q6388" s="1"/>
      <c r="R6388" s="1"/>
      <c r="Z6388" s="103"/>
      <c r="AA6388" s="103"/>
      <c r="AB6388" s="1"/>
    </row>
    <row r="6389" spans="15:28">
      <c r="O6389" s="1"/>
      <c r="P6389" s="1"/>
      <c r="Q6389" s="1"/>
      <c r="R6389" s="1"/>
      <c r="Z6389" s="103"/>
      <c r="AA6389" s="103"/>
      <c r="AB6389" s="1"/>
    </row>
    <row r="6390" spans="15:28">
      <c r="O6390" s="1"/>
      <c r="P6390" s="1"/>
      <c r="Q6390" s="1"/>
      <c r="R6390" s="1"/>
      <c r="Z6390" s="103"/>
      <c r="AA6390" s="103"/>
      <c r="AB6390" s="1"/>
    </row>
    <row r="6391" spans="15:28">
      <c r="O6391" s="1"/>
      <c r="P6391" s="1"/>
      <c r="Q6391" s="1"/>
      <c r="R6391" s="1"/>
      <c r="Z6391" s="103"/>
      <c r="AA6391" s="103"/>
      <c r="AB6391" s="1"/>
    </row>
    <row r="6392" spans="15:28">
      <c r="O6392" s="1"/>
      <c r="P6392" s="1"/>
      <c r="Q6392" s="1"/>
      <c r="R6392" s="1"/>
      <c r="Z6392" s="103"/>
      <c r="AA6392" s="103"/>
      <c r="AB6392" s="1"/>
    </row>
    <row r="6393" spans="15:28">
      <c r="O6393" s="1"/>
      <c r="P6393" s="1"/>
      <c r="Q6393" s="1"/>
      <c r="R6393" s="1"/>
      <c r="Z6393" s="103"/>
      <c r="AA6393" s="103"/>
      <c r="AB6393" s="1"/>
    </row>
    <row r="6394" spans="15:28">
      <c r="O6394" s="1"/>
      <c r="P6394" s="1"/>
      <c r="Q6394" s="1"/>
      <c r="R6394" s="1"/>
      <c r="Z6394" s="103"/>
      <c r="AA6394" s="103"/>
      <c r="AB6394" s="1"/>
    </row>
    <row r="6395" spans="15:28">
      <c r="O6395" s="1"/>
      <c r="P6395" s="1"/>
      <c r="Q6395" s="1"/>
      <c r="R6395" s="1"/>
      <c r="Z6395" s="103"/>
      <c r="AA6395" s="103"/>
      <c r="AB6395" s="1"/>
    </row>
    <row r="6396" spans="15:28">
      <c r="O6396" s="1"/>
      <c r="P6396" s="1"/>
      <c r="Q6396" s="1"/>
      <c r="R6396" s="1"/>
      <c r="Z6396" s="103"/>
      <c r="AA6396" s="103"/>
      <c r="AB6396" s="1"/>
    </row>
    <row r="6397" spans="15:28">
      <c r="O6397" s="1"/>
      <c r="P6397" s="1"/>
      <c r="Q6397" s="1"/>
      <c r="R6397" s="1"/>
      <c r="Z6397" s="103"/>
      <c r="AA6397" s="103"/>
      <c r="AB6397" s="1"/>
    </row>
    <row r="6398" spans="15:28">
      <c r="O6398" s="1"/>
      <c r="P6398" s="1"/>
      <c r="Q6398" s="1"/>
      <c r="R6398" s="1"/>
      <c r="Z6398" s="103"/>
      <c r="AA6398" s="103"/>
      <c r="AB6398" s="1"/>
    </row>
    <row r="6399" spans="15:28">
      <c r="O6399" s="1"/>
      <c r="P6399" s="1"/>
      <c r="Q6399" s="1"/>
      <c r="R6399" s="1"/>
      <c r="Z6399" s="103"/>
      <c r="AA6399" s="103"/>
      <c r="AB6399" s="1"/>
    </row>
    <row r="6400" spans="15:28">
      <c r="O6400" s="1"/>
      <c r="P6400" s="1"/>
      <c r="Q6400" s="1"/>
      <c r="R6400" s="1"/>
      <c r="Z6400" s="103"/>
      <c r="AA6400" s="103"/>
      <c r="AB6400" s="1"/>
    </row>
    <row r="6401" spans="15:28">
      <c r="O6401" s="1"/>
      <c r="P6401" s="1"/>
      <c r="Q6401" s="1"/>
      <c r="R6401" s="1"/>
      <c r="Z6401" s="103"/>
      <c r="AA6401" s="103"/>
      <c r="AB6401" s="1"/>
    </row>
    <row r="6402" spans="15:28">
      <c r="O6402" s="1"/>
      <c r="P6402" s="1"/>
      <c r="Q6402" s="1"/>
      <c r="R6402" s="1"/>
      <c r="Z6402" s="103"/>
      <c r="AA6402" s="103"/>
      <c r="AB6402" s="1"/>
    </row>
    <row r="6403" spans="15:28">
      <c r="O6403" s="1"/>
      <c r="P6403" s="1"/>
      <c r="Q6403" s="1"/>
      <c r="R6403" s="1"/>
      <c r="Z6403" s="103"/>
      <c r="AA6403" s="103"/>
      <c r="AB6403" s="1"/>
    </row>
    <row r="6404" spans="15:28">
      <c r="O6404" s="1"/>
      <c r="P6404" s="1"/>
      <c r="Q6404" s="1"/>
      <c r="R6404" s="1"/>
      <c r="Z6404" s="103"/>
      <c r="AA6404" s="103"/>
      <c r="AB6404" s="1"/>
    </row>
    <row r="6405" spans="15:28">
      <c r="O6405" s="1"/>
      <c r="P6405" s="1"/>
      <c r="Q6405" s="1"/>
      <c r="R6405" s="1"/>
      <c r="Z6405" s="103"/>
      <c r="AA6405" s="103"/>
      <c r="AB6405" s="1"/>
    </row>
    <row r="6406" spans="15:28">
      <c r="O6406" s="1"/>
      <c r="P6406" s="1"/>
      <c r="Q6406" s="1"/>
      <c r="R6406" s="1"/>
      <c r="Z6406" s="103"/>
      <c r="AA6406" s="103"/>
      <c r="AB6406" s="1"/>
    </row>
    <row r="6407" spans="15:28">
      <c r="O6407" s="1"/>
      <c r="P6407" s="1"/>
      <c r="Q6407" s="1"/>
      <c r="R6407" s="1"/>
      <c r="Z6407" s="103"/>
      <c r="AA6407" s="103"/>
      <c r="AB6407" s="1"/>
    </row>
    <row r="6408" spans="15:28">
      <c r="O6408" s="1"/>
      <c r="P6408" s="1"/>
      <c r="Q6408" s="1"/>
      <c r="R6408" s="1"/>
      <c r="Z6408" s="103"/>
      <c r="AA6408" s="103"/>
      <c r="AB6408" s="1"/>
    </row>
    <row r="6409" spans="15:28">
      <c r="O6409" s="1"/>
      <c r="P6409" s="1"/>
      <c r="Q6409" s="1"/>
      <c r="R6409" s="1"/>
      <c r="Z6409" s="103"/>
      <c r="AA6409" s="103"/>
      <c r="AB6409" s="1"/>
    </row>
    <row r="6410" spans="15:28">
      <c r="O6410" s="1"/>
      <c r="P6410" s="1"/>
      <c r="Q6410" s="1"/>
      <c r="R6410" s="1"/>
      <c r="Z6410" s="103"/>
      <c r="AA6410" s="103"/>
      <c r="AB6410" s="1"/>
    </row>
    <row r="6411" spans="15:28">
      <c r="O6411" s="1"/>
      <c r="P6411" s="1"/>
      <c r="Q6411" s="1"/>
      <c r="R6411" s="1"/>
      <c r="Z6411" s="103"/>
      <c r="AA6411" s="103"/>
      <c r="AB6411" s="1"/>
    </row>
    <row r="6412" spans="15:28">
      <c r="O6412" s="1"/>
      <c r="P6412" s="1"/>
      <c r="Q6412" s="1"/>
      <c r="R6412" s="1"/>
      <c r="Z6412" s="103"/>
      <c r="AA6412" s="103"/>
      <c r="AB6412" s="1"/>
    </row>
    <row r="6413" spans="15:28">
      <c r="O6413" s="1"/>
      <c r="P6413" s="1"/>
      <c r="Q6413" s="1"/>
      <c r="R6413" s="1"/>
      <c r="Z6413" s="103"/>
      <c r="AA6413" s="103"/>
      <c r="AB6413" s="1"/>
    </row>
    <row r="6414" spans="15:28">
      <c r="O6414" s="1"/>
      <c r="P6414" s="1"/>
      <c r="Q6414" s="1"/>
      <c r="R6414" s="1"/>
      <c r="Z6414" s="103"/>
      <c r="AA6414" s="103"/>
      <c r="AB6414" s="1"/>
    </row>
    <row r="6415" spans="15:28">
      <c r="O6415" s="1"/>
      <c r="P6415" s="1"/>
      <c r="Q6415" s="1"/>
      <c r="R6415" s="1"/>
      <c r="Z6415" s="103"/>
      <c r="AA6415" s="103"/>
      <c r="AB6415" s="1"/>
    </row>
    <row r="6416" spans="15:28">
      <c r="O6416" s="1"/>
      <c r="P6416" s="1"/>
      <c r="Q6416" s="1"/>
      <c r="R6416" s="1"/>
      <c r="Z6416" s="103"/>
      <c r="AA6416" s="103"/>
      <c r="AB6416" s="1"/>
    </row>
    <row r="6417" spans="15:28">
      <c r="O6417" s="1"/>
      <c r="P6417" s="1"/>
      <c r="Q6417" s="1"/>
      <c r="R6417" s="1"/>
      <c r="Z6417" s="103"/>
      <c r="AA6417" s="103"/>
      <c r="AB6417" s="1"/>
    </row>
    <row r="6418" spans="15:28">
      <c r="O6418" s="1"/>
      <c r="P6418" s="1"/>
      <c r="Q6418" s="1"/>
      <c r="R6418" s="1"/>
      <c r="Z6418" s="103"/>
      <c r="AA6418" s="103"/>
      <c r="AB6418" s="1"/>
    </row>
    <row r="6419" spans="15:28">
      <c r="O6419" s="1"/>
      <c r="P6419" s="1"/>
      <c r="Q6419" s="1"/>
      <c r="R6419" s="1"/>
      <c r="Z6419" s="103"/>
      <c r="AA6419" s="103"/>
      <c r="AB6419" s="1"/>
    </row>
    <row r="6420" spans="15:28">
      <c r="O6420" s="1"/>
      <c r="P6420" s="1"/>
      <c r="Q6420" s="1"/>
      <c r="R6420" s="1"/>
      <c r="Z6420" s="103"/>
      <c r="AA6420" s="103"/>
      <c r="AB6420" s="1"/>
    </row>
    <row r="6421" spans="15:28">
      <c r="O6421" s="1"/>
      <c r="P6421" s="1"/>
      <c r="Q6421" s="1"/>
      <c r="R6421" s="1"/>
      <c r="Z6421" s="103"/>
      <c r="AA6421" s="103"/>
      <c r="AB6421" s="1"/>
    </row>
    <row r="6422" spans="15:28">
      <c r="O6422" s="1"/>
      <c r="P6422" s="1"/>
      <c r="Q6422" s="1"/>
      <c r="R6422" s="1"/>
      <c r="Z6422" s="103"/>
      <c r="AA6422" s="103"/>
      <c r="AB6422" s="1"/>
    </row>
    <row r="6423" spans="15:28">
      <c r="O6423" s="1"/>
      <c r="P6423" s="1"/>
      <c r="Q6423" s="1"/>
      <c r="R6423" s="1"/>
      <c r="Z6423" s="103"/>
      <c r="AA6423" s="103"/>
      <c r="AB6423" s="1"/>
    </row>
    <row r="6424" spans="15:28">
      <c r="O6424" s="1"/>
      <c r="P6424" s="1"/>
      <c r="Q6424" s="1"/>
      <c r="R6424" s="1"/>
      <c r="Z6424" s="103"/>
      <c r="AA6424" s="103"/>
      <c r="AB6424" s="1"/>
    </row>
    <row r="6425" spans="15:28">
      <c r="O6425" s="1"/>
      <c r="P6425" s="1"/>
      <c r="Q6425" s="1"/>
      <c r="R6425" s="1"/>
      <c r="Z6425" s="103"/>
      <c r="AA6425" s="103"/>
      <c r="AB6425" s="1"/>
    </row>
    <row r="6426" spans="15:28">
      <c r="O6426" s="1"/>
      <c r="P6426" s="1"/>
      <c r="Q6426" s="1"/>
      <c r="R6426" s="1"/>
      <c r="Z6426" s="103"/>
      <c r="AA6426" s="103"/>
      <c r="AB6426" s="1"/>
    </row>
    <row r="6427" spans="15:28">
      <c r="O6427" s="1"/>
      <c r="P6427" s="1"/>
      <c r="Q6427" s="1"/>
      <c r="R6427" s="1"/>
      <c r="Z6427" s="103"/>
      <c r="AA6427" s="103"/>
      <c r="AB6427" s="1"/>
    </row>
    <row r="6428" spans="15:28">
      <c r="O6428" s="1"/>
      <c r="P6428" s="1"/>
      <c r="Q6428" s="1"/>
      <c r="R6428" s="1"/>
      <c r="Z6428" s="103"/>
      <c r="AA6428" s="103"/>
      <c r="AB6428" s="1"/>
    </row>
    <row r="6429" spans="15:28">
      <c r="O6429" s="1"/>
      <c r="P6429" s="1"/>
      <c r="Q6429" s="1"/>
      <c r="R6429" s="1"/>
      <c r="Z6429" s="103"/>
      <c r="AA6429" s="103"/>
      <c r="AB6429" s="1"/>
    </row>
    <row r="6430" spans="15:28">
      <c r="O6430" s="1"/>
      <c r="P6430" s="1"/>
      <c r="Q6430" s="1"/>
      <c r="R6430" s="1"/>
      <c r="Z6430" s="103"/>
      <c r="AA6430" s="103"/>
      <c r="AB6430" s="1"/>
    </row>
    <row r="6431" spans="15:28">
      <c r="O6431" s="1"/>
      <c r="P6431" s="1"/>
      <c r="Q6431" s="1"/>
      <c r="R6431" s="1"/>
      <c r="Z6431" s="103"/>
      <c r="AA6431" s="103"/>
      <c r="AB6431" s="1"/>
    </row>
    <row r="6432" spans="15:28">
      <c r="O6432" s="1"/>
      <c r="P6432" s="1"/>
      <c r="Q6432" s="1"/>
      <c r="R6432" s="1"/>
      <c r="Z6432" s="103"/>
      <c r="AA6432" s="103"/>
      <c r="AB6432" s="1"/>
    </row>
    <row r="6433" spans="15:30">
      <c r="O6433" s="1"/>
      <c r="P6433" s="1"/>
      <c r="Q6433" s="1"/>
      <c r="R6433" s="1"/>
      <c r="Z6433" s="103"/>
      <c r="AA6433" s="103"/>
      <c r="AB6433" s="1"/>
    </row>
    <row r="6434" spans="15:30">
      <c r="O6434" s="1"/>
      <c r="P6434" s="1"/>
      <c r="Q6434" s="1"/>
      <c r="R6434" s="1"/>
      <c r="Z6434" s="103"/>
      <c r="AA6434" s="103"/>
      <c r="AB6434" s="1"/>
    </row>
    <row r="6435" spans="15:30">
      <c r="O6435" s="1"/>
      <c r="P6435" s="1"/>
      <c r="Q6435" s="1"/>
      <c r="R6435" s="1"/>
      <c r="Z6435" s="103"/>
      <c r="AA6435" s="103"/>
      <c r="AB6435" s="1"/>
    </row>
    <row r="6436" spans="15:30">
      <c r="O6436" s="1"/>
      <c r="P6436" s="1"/>
      <c r="Q6436" s="1"/>
      <c r="R6436" s="1"/>
      <c r="Z6436" s="103"/>
      <c r="AA6436" s="103"/>
      <c r="AB6436" s="1"/>
    </row>
    <row r="6437" spans="15:30">
      <c r="O6437" s="1"/>
      <c r="P6437" s="1"/>
      <c r="Q6437" s="1"/>
      <c r="R6437" s="1"/>
      <c r="Z6437" s="103"/>
      <c r="AA6437" s="103"/>
      <c r="AB6437" s="1"/>
    </row>
    <row r="6438" spans="15:30">
      <c r="O6438" s="1"/>
      <c r="P6438" s="1"/>
      <c r="Q6438" s="1"/>
      <c r="R6438" s="1"/>
      <c r="Z6438" s="103"/>
      <c r="AA6438" s="103"/>
      <c r="AB6438" s="1"/>
      <c r="AD6438" s="102"/>
    </row>
    <row r="6439" spans="15:30">
      <c r="O6439" s="1"/>
      <c r="P6439" s="1"/>
      <c r="Q6439" s="1"/>
      <c r="R6439" s="1"/>
      <c r="Z6439" s="103"/>
      <c r="AA6439" s="103"/>
      <c r="AB6439" s="1"/>
    </row>
    <row r="6440" spans="15:30">
      <c r="O6440" s="1"/>
      <c r="P6440" s="1"/>
      <c r="Q6440" s="1"/>
      <c r="R6440" s="1"/>
      <c r="Z6440" s="103"/>
      <c r="AA6440" s="103"/>
      <c r="AB6440" s="1"/>
    </row>
    <row r="6441" spans="15:30">
      <c r="O6441" s="1"/>
      <c r="P6441" s="1"/>
      <c r="Q6441" s="1"/>
      <c r="R6441" s="1"/>
      <c r="Z6441" s="103"/>
      <c r="AA6441" s="103"/>
      <c r="AB6441" s="1"/>
    </row>
    <row r="6442" spans="15:30">
      <c r="O6442" s="1"/>
      <c r="P6442" s="1"/>
      <c r="Q6442" s="1"/>
      <c r="R6442" s="1"/>
      <c r="Z6442" s="103"/>
      <c r="AA6442" s="103"/>
      <c r="AB6442" s="1"/>
    </row>
    <row r="6443" spans="15:30">
      <c r="O6443" s="1"/>
      <c r="P6443" s="1"/>
      <c r="Q6443" s="1"/>
      <c r="R6443" s="1"/>
      <c r="Z6443" s="103"/>
      <c r="AA6443" s="103"/>
      <c r="AB6443" s="1"/>
    </row>
    <row r="6444" spans="15:30">
      <c r="O6444" s="1"/>
      <c r="P6444" s="1"/>
      <c r="Q6444" s="1"/>
      <c r="R6444" s="1"/>
      <c r="Z6444" s="103"/>
      <c r="AA6444" s="103"/>
      <c r="AB6444" s="1"/>
    </row>
    <row r="6445" spans="15:30">
      <c r="O6445" s="1"/>
      <c r="P6445" s="1"/>
      <c r="Q6445" s="1"/>
      <c r="R6445" s="1"/>
      <c r="Z6445" s="103"/>
      <c r="AA6445" s="103"/>
      <c r="AB6445" s="1"/>
    </row>
    <row r="6446" spans="15:30">
      <c r="O6446" s="1"/>
      <c r="P6446" s="1"/>
      <c r="Q6446" s="1"/>
      <c r="R6446" s="1"/>
      <c r="Z6446" s="103"/>
      <c r="AA6446" s="103"/>
      <c r="AB6446" s="1"/>
    </row>
    <row r="6447" spans="15:30">
      <c r="O6447" s="1"/>
      <c r="P6447" s="1"/>
      <c r="Q6447" s="1"/>
      <c r="R6447" s="1"/>
      <c r="Z6447" s="103"/>
      <c r="AA6447" s="103"/>
      <c r="AB6447" s="1"/>
    </row>
    <row r="6448" spans="15:30">
      <c r="O6448" s="1"/>
      <c r="P6448" s="1"/>
      <c r="Q6448" s="1"/>
      <c r="R6448" s="1"/>
      <c r="Z6448" s="103"/>
      <c r="AA6448" s="103"/>
      <c r="AB6448" s="1"/>
    </row>
    <row r="6449" spans="15:28">
      <c r="O6449" s="1"/>
      <c r="P6449" s="1"/>
      <c r="Q6449" s="1"/>
      <c r="R6449" s="1"/>
      <c r="Z6449" s="103"/>
      <c r="AA6449" s="103"/>
      <c r="AB6449" s="1"/>
    </row>
    <row r="6450" spans="15:28">
      <c r="O6450" s="1"/>
      <c r="P6450" s="1"/>
      <c r="Q6450" s="1"/>
      <c r="R6450" s="1"/>
      <c r="Z6450" s="103"/>
      <c r="AA6450" s="103"/>
      <c r="AB6450" s="1"/>
    </row>
    <row r="6451" spans="15:28">
      <c r="O6451" s="1"/>
      <c r="P6451" s="1"/>
      <c r="Q6451" s="1"/>
      <c r="R6451" s="1"/>
      <c r="Z6451" s="103"/>
      <c r="AA6451" s="103"/>
      <c r="AB6451" s="1"/>
    </row>
    <row r="6452" spans="15:28">
      <c r="O6452" s="1"/>
      <c r="P6452" s="1"/>
      <c r="Q6452" s="1"/>
      <c r="R6452" s="1"/>
      <c r="Z6452" s="103"/>
      <c r="AA6452" s="103"/>
      <c r="AB6452" s="1"/>
    </row>
    <row r="6453" spans="15:28">
      <c r="O6453" s="1"/>
      <c r="P6453" s="1"/>
      <c r="Q6453" s="1"/>
      <c r="R6453" s="1"/>
      <c r="Z6453" s="103"/>
      <c r="AA6453" s="103"/>
      <c r="AB6453" s="1"/>
    </row>
    <row r="6454" spans="15:28">
      <c r="O6454" s="1"/>
      <c r="P6454" s="1"/>
      <c r="Q6454" s="1"/>
      <c r="R6454" s="1"/>
      <c r="Z6454" s="103"/>
      <c r="AA6454" s="103"/>
      <c r="AB6454" s="1"/>
    </row>
    <row r="6455" spans="15:28">
      <c r="O6455" s="1"/>
      <c r="P6455" s="1"/>
      <c r="Q6455" s="1"/>
      <c r="R6455" s="1"/>
      <c r="Z6455" s="103"/>
      <c r="AA6455" s="103"/>
      <c r="AB6455" s="1"/>
    </row>
    <row r="6456" spans="15:28">
      <c r="O6456" s="1"/>
      <c r="P6456" s="1"/>
      <c r="Q6456" s="1"/>
      <c r="R6456" s="1"/>
      <c r="Z6456" s="103"/>
      <c r="AA6456" s="103"/>
      <c r="AB6456" s="1"/>
    </row>
    <row r="6457" spans="15:28">
      <c r="O6457" s="1"/>
      <c r="P6457" s="1"/>
      <c r="Q6457" s="1"/>
      <c r="R6457" s="1"/>
      <c r="Z6457" s="103"/>
      <c r="AA6457" s="103"/>
      <c r="AB6457" s="1"/>
    </row>
    <row r="6458" spans="15:28">
      <c r="O6458" s="1"/>
      <c r="P6458" s="1"/>
      <c r="Q6458" s="1"/>
      <c r="R6458" s="1"/>
      <c r="Z6458" s="103"/>
      <c r="AA6458" s="103"/>
      <c r="AB6458" s="1"/>
    </row>
    <row r="6459" spans="15:28">
      <c r="O6459" s="1"/>
      <c r="P6459" s="1"/>
      <c r="Q6459" s="1"/>
      <c r="R6459" s="1"/>
      <c r="Z6459" s="103"/>
      <c r="AA6459" s="103"/>
      <c r="AB6459" s="1"/>
    </row>
    <row r="6460" spans="15:28">
      <c r="O6460" s="1"/>
      <c r="P6460" s="1"/>
      <c r="Q6460" s="1"/>
      <c r="R6460" s="1"/>
      <c r="Z6460" s="103"/>
      <c r="AA6460" s="103"/>
      <c r="AB6460" s="1"/>
    </row>
    <row r="6461" spans="15:28">
      <c r="O6461" s="1"/>
      <c r="P6461" s="1"/>
      <c r="Q6461" s="1"/>
      <c r="R6461" s="1"/>
      <c r="Z6461" s="103"/>
      <c r="AA6461" s="103"/>
      <c r="AB6461" s="1"/>
    </row>
    <row r="6462" spans="15:28">
      <c r="O6462" s="1"/>
      <c r="P6462" s="1"/>
      <c r="Q6462" s="1"/>
      <c r="R6462" s="1"/>
      <c r="Z6462" s="103"/>
      <c r="AA6462" s="103"/>
      <c r="AB6462" s="1"/>
    </row>
    <row r="6463" spans="15:28">
      <c r="O6463" s="1"/>
      <c r="P6463" s="1"/>
      <c r="Q6463" s="1"/>
      <c r="R6463" s="1"/>
      <c r="Z6463" s="103"/>
      <c r="AA6463" s="103"/>
      <c r="AB6463" s="1"/>
    </row>
    <row r="6464" spans="15:28">
      <c r="O6464" s="1"/>
      <c r="P6464" s="1"/>
      <c r="Q6464" s="1"/>
      <c r="R6464" s="1"/>
      <c r="Z6464" s="103"/>
      <c r="AA6464" s="103"/>
      <c r="AB6464" s="1"/>
    </row>
    <row r="6465" spans="15:30">
      <c r="O6465" s="1"/>
      <c r="P6465" s="1"/>
      <c r="Q6465" s="1"/>
      <c r="R6465" s="1"/>
      <c r="Z6465" s="103"/>
      <c r="AA6465" s="103"/>
      <c r="AB6465" s="1"/>
    </row>
    <row r="6466" spans="15:30">
      <c r="O6466" s="1"/>
      <c r="P6466" s="1"/>
      <c r="Q6466" s="1"/>
      <c r="R6466" s="1"/>
      <c r="Z6466" s="103"/>
      <c r="AA6466" s="103"/>
      <c r="AB6466" s="1"/>
    </row>
    <row r="6467" spans="15:30">
      <c r="O6467" s="1"/>
      <c r="P6467" s="1"/>
      <c r="Q6467" s="1"/>
      <c r="R6467" s="1"/>
      <c r="Z6467" s="103"/>
      <c r="AA6467" s="103"/>
      <c r="AB6467" s="1"/>
    </row>
    <row r="6468" spans="15:30">
      <c r="O6468" s="1"/>
      <c r="P6468" s="1"/>
      <c r="Q6468" s="1"/>
      <c r="R6468" s="1"/>
      <c r="Z6468" s="103"/>
      <c r="AA6468" s="103"/>
      <c r="AB6468" s="1"/>
    </row>
    <row r="6469" spans="15:30">
      <c r="O6469" s="1"/>
      <c r="P6469" s="1"/>
      <c r="Q6469" s="1"/>
      <c r="R6469" s="1"/>
      <c r="Z6469" s="103"/>
      <c r="AA6469" s="103"/>
      <c r="AB6469" s="1"/>
    </row>
    <row r="6470" spans="15:30">
      <c r="O6470" s="1"/>
      <c r="P6470" s="1"/>
      <c r="Q6470" s="1"/>
      <c r="R6470" s="1"/>
      <c r="Z6470" s="103"/>
      <c r="AA6470" s="103"/>
      <c r="AB6470" s="1"/>
    </row>
    <row r="6471" spans="15:30">
      <c r="O6471" s="1"/>
      <c r="P6471" s="1"/>
      <c r="Q6471" s="1"/>
      <c r="R6471" s="1"/>
      <c r="Z6471" s="103"/>
      <c r="AA6471" s="103"/>
      <c r="AB6471" s="1"/>
    </row>
    <row r="6472" spans="15:30">
      <c r="O6472" s="1"/>
      <c r="P6472" s="1"/>
      <c r="Q6472" s="1"/>
      <c r="R6472" s="1"/>
      <c r="Z6472" s="103"/>
      <c r="AA6472" s="103"/>
      <c r="AB6472" s="1"/>
    </row>
    <row r="6473" spans="15:30">
      <c r="O6473" s="1"/>
      <c r="P6473" s="1"/>
      <c r="Q6473" s="1"/>
      <c r="R6473" s="1"/>
      <c r="Z6473" s="103"/>
      <c r="AA6473" s="103"/>
      <c r="AB6473" s="1"/>
    </row>
    <row r="6474" spans="15:30">
      <c r="O6474" s="1"/>
      <c r="P6474" s="1"/>
      <c r="Q6474" s="1"/>
      <c r="R6474" s="1"/>
      <c r="Z6474" s="103"/>
      <c r="AA6474" s="103"/>
      <c r="AB6474" s="1"/>
    </row>
    <row r="6475" spans="15:30">
      <c r="O6475" s="1"/>
      <c r="P6475" s="1"/>
      <c r="Q6475" s="1"/>
      <c r="R6475" s="1"/>
      <c r="Z6475" s="103"/>
      <c r="AA6475" s="103"/>
      <c r="AB6475" s="1"/>
    </row>
    <row r="6476" spans="15:30">
      <c r="O6476" s="1"/>
      <c r="P6476" s="1"/>
      <c r="Q6476" s="1"/>
      <c r="R6476" s="1"/>
      <c r="Z6476" s="103"/>
      <c r="AA6476" s="103"/>
      <c r="AB6476" s="1"/>
    </row>
    <row r="6477" spans="15:30">
      <c r="O6477" s="1"/>
      <c r="P6477" s="1"/>
      <c r="Q6477" s="1"/>
      <c r="R6477" s="1"/>
      <c r="Z6477" s="103"/>
      <c r="AA6477" s="103"/>
      <c r="AB6477" s="1"/>
      <c r="AD6477" s="102"/>
    </row>
    <row r="6478" spans="15:30">
      <c r="O6478" s="1"/>
      <c r="P6478" s="1"/>
      <c r="Q6478" s="1"/>
      <c r="R6478" s="1"/>
      <c r="Z6478" s="103"/>
      <c r="AA6478" s="103"/>
      <c r="AB6478" s="1"/>
    </row>
    <row r="6479" spans="15:30">
      <c r="O6479" s="1"/>
      <c r="P6479" s="1"/>
      <c r="Q6479" s="1"/>
      <c r="R6479" s="1"/>
      <c r="Z6479" s="103"/>
      <c r="AA6479" s="103"/>
      <c r="AB6479" s="1"/>
    </row>
    <row r="6480" spans="15:30">
      <c r="O6480" s="1"/>
      <c r="P6480" s="1"/>
      <c r="Q6480" s="1"/>
      <c r="R6480" s="1"/>
      <c r="Z6480" s="103"/>
      <c r="AA6480" s="103"/>
      <c r="AB6480" s="1"/>
    </row>
    <row r="6481" spans="15:28">
      <c r="O6481" s="1"/>
      <c r="P6481" s="1"/>
      <c r="Q6481" s="1"/>
      <c r="R6481" s="1"/>
      <c r="Z6481" s="103"/>
      <c r="AA6481" s="103"/>
      <c r="AB6481" s="1"/>
    </row>
    <row r="6482" spans="15:28">
      <c r="O6482" s="1"/>
      <c r="P6482" s="1"/>
      <c r="Q6482" s="1"/>
      <c r="R6482" s="1"/>
      <c r="Z6482" s="103"/>
      <c r="AA6482" s="103"/>
      <c r="AB6482" s="1"/>
    </row>
    <row r="6483" spans="15:28">
      <c r="O6483" s="1"/>
      <c r="P6483" s="1"/>
      <c r="Q6483" s="1"/>
      <c r="R6483" s="1"/>
      <c r="Z6483" s="103"/>
      <c r="AA6483" s="103"/>
      <c r="AB6483" s="1"/>
    </row>
    <row r="6484" spans="15:28">
      <c r="O6484" s="1"/>
      <c r="P6484" s="1"/>
      <c r="Q6484" s="1"/>
      <c r="R6484" s="1"/>
      <c r="Z6484" s="103"/>
      <c r="AA6484" s="103"/>
      <c r="AB6484" s="1"/>
    </row>
    <row r="6485" spans="15:28">
      <c r="O6485" s="1"/>
      <c r="P6485" s="1"/>
      <c r="Q6485" s="1"/>
      <c r="R6485" s="1"/>
      <c r="Z6485" s="103"/>
      <c r="AA6485" s="103"/>
      <c r="AB6485" s="1"/>
    </row>
    <row r="6486" spans="15:28">
      <c r="O6486" s="1"/>
      <c r="P6486" s="1"/>
      <c r="Q6486" s="1"/>
      <c r="R6486" s="1"/>
      <c r="Z6486" s="103"/>
      <c r="AA6486" s="103"/>
      <c r="AB6486" s="1"/>
    </row>
    <row r="6487" spans="15:28">
      <c r="O6487" s="1"/>
      <c r="P6487" s="1"/>
      <c r="Q6487" s="1"/>
      <c r="R6487" s="1"/>
      <c r="Z6487" s="103"/>
      <c r="AA6487" s="103"/>
      <c r="AB6487" s="1"/>
    </row>
    <row r="6488" spans="15:28">
      <c r="O6488" s="1"/>
      <c r="P6488" s="1"/>
      <c r="Q6488" s="1"/>
      <c r="R6488" s="1"/>
      <c r="Z6488" s="103"/>
      <c r="AA6488" s="103"/>
      <c r="AB6488" s="1"/>
    </row>
    <row r="6489" spans="15:28">
      <c r="O6489" s="1"/>
      <c r="P6489" s="1"/>
      <c r="Q6489" s="1"/>
      <c r="R6489" s="1"/>
      <c r="Z6489" s="103"/>
      <c r="AA6489" s="103"/>
      <c r="AB6489" s="1"/>
    </row>
    <row r="6490" spans="15:28">
      <c r="O6490" s="1"/>
      <c r="P6490" s="1"/>
      <c r="Q6490" s="1"/>
      <c r="R6490" s="1"/>
      <c r="Z6490" s="103"/>
      <c r="AA6490" s="103"/>
      <c r="AB6490" s="1"/>
    </row>
    <row r="6491" spans="15:28">
      <c r="O6491" s="1"/>
      <c r="P6491" s="1"/>
      <c r="Q6491" s="1"/>
      <c r="R6491" s="1"/>
      <c r="Z6491" s="103"/>
      <c r="AA6491" s="103"/>
      <c r="AB6491" s="1"/>
    </row>
    <row r="6492" spans="15:28">
      <c r="O6492" s="1"/>
      <c r="P6492" s="1"/>
      <c r="Q6492" s="1"/>
      <c r="R6492" s="1"/>
      <c r="Z6492" s="103"/>
      <c r="AA6492" s="103"/>
      <c r="AB6492" s="1"/>
    </row>
    <row r="6493" spans="15:28">
      <c r="O6493" s="1"/>
      <c r="P6493" s="1"/>
      <c r="Q6493" s="1"/>
      <c r="R6493" s="1"/>
      <c r="Z6493" s="103"/>
      <c r="AA6493" s="103"/>
      <c r="AB6493" s="1"/>
    </row>
    <row r="6494" spans="15:28">
      <c r="O6494" s="1"/>
      <c r="P6494" s="1"/>
      <c r="Q6494" s="1"/>
      <c r="R6494" s="1"/>
      <c r="Z6494" s="103"/>
      <c r="AA6494" s="103"/>
      <c r="AB6494" s="1"/>
    </row>
    <row r="6495" spans="15:28">
      <c r="O6495" s="1"/>
      <c r="P6495" s="1"/>
      <c r="Q6495" s="1"/>
      <c r="R6495" s="1"/>
      <c r="Z6495" s="103"/>
      <c r="AA6495" s="103"/>
      <c r="AB6495" s="1"/>
    </row>
    <row r="6496" spans="15:28">
      <c r="O6496" s="1"/>
      <c r="P6496" s="1"/>
      <c r="Q6496" s="1"/>
      <c r="R6496" s="1"/>
      <c r="Z6496" s="103"/>
      <c r="AA6496" s="103"/>
      <c r="AB6496" s="1"/>
    </row>
    <row r="6497" spans="15:28">
      <c r="O6497" s="1"/>
      <c r="P6497" s="1"/>
      <c r="Q6497" s="1"/>
      <c r="R6497" s="1"/>
      <c r="Z6497" s="103"/>
      <c r="AA6497" s="103"/>
      <c r="AB6497" s="1"/>
    </row>
    <row r="6498" spans="15:28">
      <c r="O6498" s="1"/>
      <c r="P6498" s="1"/>
      <c r="Q6498" s="1"/>
      <c r="R6498" s="1"/>
      <c r="Z6498" s="103"/>
      <c r="AA6498" s="103"/>
      <c r="AB6498" s="1"/>
    </row>
    <row r="6499" spans="15:28">
      <c r="O6499" s="1"/>
      <c r="P6499" s="1"/>
      <c r="Q6499" s="1"/>
      <c r="R6499" s="1"/>
      <c r="Z6499" s="103"/>
      <c r="AA6499" s="103"/>
      <c r="AB6499" s="1"/>
    </row>
    <row r="6500" spans="15:28">
      <c r="O6500" s="1"/>
      <c r="P6500" s="1"/>
      <c r="Q6500" s="1"/>
      <c r="R6500" s="1"/>
      <c r="Z6500" s="103"/>
      <c r="AA6500" s="103"/>
      <c r="AB6500" s="1"/>
    </row>
    <row r="6501" spans="15:28">
      <c r="O6501" s="1"/>
      <c r="P6501" s="1"/>
      <c r="Q6501" s="1"/>
      <c r="R6501" s="1"/>
      <c r="Z6501" s="103"/>
      <c r="AA6501" s="103"/>
      <c r="AB6501" s="1"/>
    </row>
    <row r="6502" spans="15:28">
      <c r="O6502" s="1"/>
      <c r="P6502" s="1"/>
      <c r="Q6502" s="1"/>
      <c r="R6502" s="1"/>
      <c r="Z6502" s="103"/>
      <c r="AA6502" s="103"/>
      <c r="AB6502" s="1"/>
    </row>
    <row r="6503" spans="15:28">
      <c r="O6503" s="1"/>
      <c r="P6503" s="1"/>
      <c r="Q6503" s="1"/>
      <c r="R6503" s="1"/>
      <c r="Z6503" s="103"/>
      <c r="AA6503" s="103"/>
      <c r="AB6503" s="1"/>
    </row>
    <row r="6504" spans="15:28">
      <c r="O6504" s="1"/>
      <c r="P6504" s="1"/>
      <c r="Q6504" s="1"/>
      <c r="R6504" s="1"/>
      <c r="Z6504" s="103"/>
      <c r="AA6504" s="103"/>
      <c r="AB6504" s="1"/>
    </row>
    <row r="6505" spans="15:28">
      <c r="O6505" s="1"/>
      <c r="P6505" s="1"/>
      <c r="Q6505" s="1"/>
      <c r="R6505" s="1"/>
      <c r="Z6505" s="103"/>
      <c r="AA6505" s="103"/>
      <c r="AB6505" s="1"/>
    </row>
    <row r="6506" spans="15:28">
      <c r="O6506" s="1"/>
      <c r="P6506" s="1"/>
      <c r="Q6506" s="1"/>
      <c r="R6506" s="1"/>
      <c r="Z6506" s="103"/>
      <c r="AA6506" s="103"/>
      <c r="AB6506" s="1"/>
    </row>
    <row r="6507" spans="15:28">
      <c r="O6507" s="1"/>
      <c r="P6507" s="1"/>
      <c r="Q6507" s="1"/>
      <c r="R6507" s="1"/>
      <c r="Z6507" s="103"/>
      <c r="AA6507" s="103"/>
      <c r="AB6507" s="1"/>
    </row>
    <row r="6508" spans="15:28">
      <c r="O6508" s="1"/>
      <c r="P6508" s="1"/>
      <c r="Q6508" s="1"/>
      <c r="R6508" s="1"/>
      <c r="Z6508" s="103"/>
      <c r="AA6508" s="103"/>
      <c r="AB6508" s="1"/>
    </row>
    <row r="6509" spans="15:28">
      <c r="O6509" s="1"/>
      <c r="P6509" s="1"/>
      <c r="Q6509" s="1"/>
      <c r="R6509" s="1"/>
      <c r="Z6509" s="103"/>
      <c r="AA6509" s="103"/>
      <c r="AB6509" s="1"/>
    </row>
    <row r="6510" spans="15:28">
      <c r="O6510" s="1"/>
      <c r="P6510" s="1"/>
      <c r="Q6510" s="1"/>
      <c r="R6510" s="1"/>
      <c r="Z6510" s="103"/>
      <c r="AA6510" s="103"/>
      <c r="AB6510" s="1"/>
    </row>
    <row r="6511" spans="15:28">
      <c r="O6511" s="1"/>
      <c r="P6511" s="1"/>
      <c r="Q6511" s="1"/>
      <c r="R6511" s="1"/>
      <c r="Z6511" s="103"/>
      <c r="AA6511" s="103"/>
      <c r="AB6511" s="1"/>
    </row>
    <row r="6512" spans="15:28">
      <c r="O6512" s="1"/>
      <c r="P6512" s="1"/>
      <c r="Q6512" s="1"/>
      <c r="R6512" s="1"/>
      <c r="Z6512" s="103"/>
      <c r="AA6512" s="103"/>
      <c r="AB6512" s="1"/>
    </row>
    <row r="6513" spans="15:30">
      <c r="O6513" s="1"/>
      <c r="P6513" s="1"/>
      <c r="Q6513" s="1"/>
      <c r="R6513" s="1"/>
      <c r="Z6513" s="103"/>
      <c r="AA6513" s="103"/>
      <c r="AB6513" s="1"/>
    </row>
    <row r="6514" spans="15:30">
      <c r="O6514" s="1"/>
      <c r="P6514" s="1"/>
      <c r="Q6514" s="1"/>
      <c r="R6514" s="1"/>
      <c r="Z6514" s="103"/>
      <c r="AA6514" s="103"/>
      <c r="AB6514" s="1"/>
    </row>
    <row r="6515" spans="15:30">
      <c r="O6515" s="1"/>
      <c r="P6515" s="1"/>
      <c r="Q6515" s="1"/>
      <c r="R6515" s="1"/>
      <c r="Z6515" s="103"/>
      <c r="AA6515" s="103"/>
      <c r="AB6515" s="1"/>
    </row>
    <row r="6516" spans="15:30">
      <c r="O6516" s="1"/>
      <c r="P6516" s="1"/>
      <c r="Q6516" s="1"/>
      <c r="R6516" s="1"/>
      <c r="Z6516" s="103"/>
      <c r="AA6516" s="103"/>
      <c r="AB6516" s="1"/>
    </row>
    <row r="6517" spans="15:30">
      <c r="O6517" s="1"/>
      <c r="P6517" s="1"/>
      <c r="Q6517" s="1"/>
      <c r="R6517" s="1"/>
      <c r="Z6517" s="103"/>
      <c r="AA6517" s="103"/>
      <c r="AB6517" s="1"/>
    </row>
    <row r="6518" spans="15:30">
      <c r="O6518" s="1"/>
      <c r="P6518" s="1"/>
      <c r="Q6518" s="1"/>
      <c r="R6518" s="1"/>
      <c r="Z6518" s="103"/>
      <c r="AA6518" s="103"/>
      <c r="AB6518" s="1"/>
    </row>
    <row r="6519" spans="15:30">
      <c r="O6519" s="1"/>
      <c r="P6519" s="1"/>
      <c r="Q6519" s="1"/>
      <c r="R6519" s="1"/>
      <c r="Z6519" s="103"/>
      <c r="AA6519" s="103"/>
      <c r="AB6519" s="1"/>
    </row>
    <row r="6520" spans="15:30">
      <c r="O6520" s="1"/>
      <c r="P6520" s="1"/>
      <c r="Q6520" s="1"/>
      <c r="R6520" s="1"/>
      <c r="Z6520" s="103"/>
      <c r="AA6520" s="103"/>
      <c r="AB6520" s="1"/>
    </row>
    <row r="6521" spans="15:30">
      <c r="O6521" s="1"/>
      <c r="P6521" s="1"/>
      <c r="Q6521" s="1"/>
      <c r="R6521" s="1"/>
      <c r="Z6521" s="103"/>
      <c r="AA6521" s="103"/>
      <c r="AB6521" s="1"/>
    </row>
    <row r="6522" spans="15:30">
      <c r="O6522" s="1"/>
      <c r="P6522" s="1"/>
      <c r="Q6522" s="1"/>
      <c r="R6522" s="1"/>
      <c r="Z6522" s="103"/>
      <c r="AA6522" s="103"/>
      <c r="AB6522" s="1"/>
    </row>
    <row r="6523" spans="15:30">
      <c r="O6523" s="1"/>
      <c r="P6523" s="1"/>
      <c r="Q6523" s="1"/>
      <c r="R6523" s="1"/>
      <c r="Z6523" s="103"/>
      <c r="AA6523" s="103"/>
      <c r="AB6523" s="1"/>
    </row>
    <row r="6524" spans="15:30">
      <c r="O6524" s="1"/>
      <c r="P6524" s="1"/>
      <c r="Q6524" s="1"/>
      <c r="R6524" s="1"/>
      <c r="Z6524" s="103"/>
      <c r="AA6524" s="103"/>
      <c r="AB6524" s="1"/>
      <c r="AD6524" s="102"/>
    </row>
    <row r="6525" spans="15:30">
      <c r="O6525" s="1"/>
      <c r="P6525" s="1"/>
      <c r="Q6525" s="1"/>
      <c r="R6525" s="1"/>
      <c r="Z6525" s="103"/>
      <c r="AA6525" s="103"/>
      <c r="AB6525" s="1"/>
    </row>
    <row r="6526" spans="15:30">
      <c r="O6526" s="1"/>
      <c r="P6526" s="1"/>
      <c r="Q6526" s="1"/>
      <c r="R6526" s="1"/>
      <c r="Z6526" s="103"/>
      <c r="AA6526" s="103"/>
      <c r="AB6526" s="1"/>
    </row>
    <row r="6527" spans="15:30">
      <c r="O6527" s="1"/>
      <c r="P6527" s="1"/>
      <c r="Q6527" s="1"/>
      <c r="R6527" s="1"/>
      <c r="Z6527" s="103"/>
      <c r="AA6527" s="103"/>
      <c r="AB6527" s="1"/>
    </row>
    <row r="6528" spans="15:30">
      <c r="O6528" s="1"/>
      <c r="P6528" s="1"/>
      <c r="Q6528" s="1"/>
      <c r="R6528" s="1"/>
      <c r="Z6528" s="103"/>
      <c r="AA6528" s="103"/>
      <c r="AB6528" s="1"/>
    </row>
    <row r="6529" spans="15:28">
      <c r="O6529" s="1"/>
      <c r="P6529" s="1"/>
      <c r="Q6529" s="1"/>
      <c r="R6529" s="1"/>
      <c r="Z6529" s="103"/>
      <c r="AA6529" s="103"/>
      <c r="AB6529" s="1"/>
    </row>
    <row r="6530" spans="15:28">
      <c r="O6530" s="1"/>
      <c r="P6530" s="1"/>
      <c r="Q6530" s="1"/>
      <c r="R6530" s="1"/>
      <c r="Z6530" s="103"/>
      <c r="AA6530" s="103"/>
      <c r="AB6530" s="1"/>
    </row>
    <row r="6531" spans="15:28">
      <c r="O6531" s="1"/>
      <c r="P6531" s="1"/>
      <c r="Q6531" s="1"/>
      <c r="R6531" s="1"/>
      <c r="Z6531" s="103"/>
      <c r="AA6531" s="103"/>
      <c r="AB6531" s="1"/>
    </row>
    <row r="6532" spans="15:28">
      <c r="O6532" s="1"/>
      <c r="P6532" s="1"/>
      <c r="Q6532" s="1"/>
      <c r="R6532" s="1"/>
      <c r="Z6532" s="103"/>
      <c r="AA6532" s="103"/>
      <c r="AB6532" s="1"/>
    </row>
    <row r="6533" spans="15:28">
      <c r="O6533" s="1"/>
      <c r="P6533" s="1"/>
      <c r="Q6533" s="1"/>
      <c r="R6533" s="1"/>
      <c r="Z6533" s="103"/>
      <c r="AA6533" s="103"/>
      <c r="AB6533" s="1"/>
    </row>
    <row r="6534" spans="15:28">
      <c r="O6534" s="1"/>
      <c r="P6534" s="1"/>
      <c r="Q6534" s="1"/>
      <c r="R6534" s="1"/>
      <c r="Z6534" s="103"/>
      <c r="AA6534" s="103"/>
      <c r="AB6534" s="1"/>
    </row>
    <row r="6535" spans="15:28">
      <c r="O6535" s="1"/>
      <c r="P6535" s="1"/>
      <c r="Q6535" s="1"/>
      <c r="R6535" s="1"/>
      <c r="Z6535" s="103"/>
      <c r="AA6535" s="103"/>
      <c r="AB6535" s="1"/>
    </row>
    <row r="6536" spans="15:28">
      <c r="O6536" s="1"/>
      <c r="P6536" s="1"/>
      <c r="Q6536" s="1"/>
      <c r="R6536" s="1"/>
      <c r="Z6536" s="103"/>
      <c r="AA6536" s="103"/>
      <c r="AB6536" s="1"/>
    </row>
    <row r="6537" spans="15:28">
      <c r="O6537" s="1"/>
      <c r="P6537" s="1"/>
      <c r="Q6537" s="1"/>
      <c r="R6537" s="1"/>
      <c r="Z6537" s="103"/>
      <c r="AA6537" s="103"/>
      <c r="AB6537" s="1"/>
    </row>
    <row r="6538" spans="15:28">
      <c r="O6538" s="1"/>
      <c r="P6538" s="1"/>
      <c r="Q6538" s="1"/>
      <c r="R6538" s="1"/>
      <c r="Z6538" s="103"/>
      <c r="AA6538" s="103"/>
      <c r="AB6538" s="1"/>
    </row>
    <row r="6539" spans="15:28">
      <c r="O6539" s="1"/>
      <c r="P6539" s="1"/>
      <c r="Q6539" s="1"/>
      <c r="R6539" s="1"/>
      <c r="Z6539" s="103"/>
      <c r="AA6539" s="103"/>
      <c r="AB6539" s="1"/>
    </row>
    <row r="6540" spans="15:28">
      <c r="O6540" s="1"/>
      <c r="P6540" s="1"/>
      <c r="Q6540" s="1"/>
      <c r="R6540" s="1"/>
      <c r="Z6540" s="103"/>
      <c r="AA6540" s="103"/>
      <c r="AB6540" s="1"/>
    </row>
    <row r="6541" spans="15:28">
      <c r="O6541" s="1"/>
      <c r="P6541" s="1"/>
      <c r="Q6541" s="1"/>
      <c r="R6541" s="1"/>
      <c r="Z6541" s="103"/>
      <c r="AA6541" s="103"/>
      <c r="AB6541" s="1"/>
    </row>
    <row r="6542" spans="15:28">
      <c r="O6542" s="1"/>
      <c r="P6542" s="1"/>
      <c r="Q6542" s="1"/>
      <c r="R6542" s="1"/>
      <c r="Z6542" s="103"/>
      <c r="AA6542" s="103"/>
      <c r="AB6542" s="1"/>
    </row>
    <row r="6543" spans="15:28">
      <c r="O6543" s="1"/>
      <c r="P6543" s="1"/>
      <c r="Q6543" s="1"/>
      <c r="R6543" s="1"/>
      <c r="Z6543" s="103"/>
      <c r="AA6543" s="103"/>
      <c r="AB6543" s="1"/>
    </row>
    <row r="6544" spans="15:28">
      <c r="O6544" s="1"/>
      <c r="P6544" s="1"/>
      <c r="Q6544" s="1"/>
      <c r="R6544" s="1"/>
      <c r="Z6544" s="103"/>
      <c r="AA6544" s="103"/>
      <c r="AB6544" s="1"/>
    </row>
    <row r="6545" spans="15:30">
      <c r="O6545" s="1"/>
      <c r="P6545" s="1"/>
      <c r="Q6545" s="1"/>
      <c r="R6545" s="1"/>
      <c r="Z6545" s="103"/>
      <c r="AA6545" s="103"/>
      <c r="AB6545" s="1"/>
    </row>
    <row r="6546" spans="15:30">
      <c r="O6546" s="1"/>
      <c r="P6546" s="1"/>
      <c r="Q6546" s="1"/>
      <c r="R6546" s="1"/>
      <c r="Z6546" s="103"/>
      <c r="AA6546" s="103"/>
      <c r="AB6546" s="1"/>
    </row>
    <row r="6547" spans="15:30">
      <c r="O6547" s="1"/>
      <c r="P6547" s="1"/>
      <c r="Q6547" s="1"/>
      <c r="R6547" s="1"/>
      <c r="Z6547" s="103"/>
      <c r="AA6547" s="103"/>
      <c r="AB6547" s="1"/>
    </row>
    <row r="6548" spans="15:30">
      <c r="O6548" s="1"/>
      <c r="P6548" s="1"/>
      <c r="Q6548" s="1"/>
      <c r="R6548" s="1"/>
      <c r="Z6548" s="103"/>
      <c r="AA6548" s="103"/>
      <c r="AB6548" s="1"/>
    </row>
    <row r="6549" spans="15:30">
      <c r="O6549" s="1"/>
      <c r="P6549" s="1"/>
      <c r="Q6549" s="1"/>
      <c r="R6549" s="1"/>
      <c r="Z6549" s="103"/>
      <c r="AA6549" s="103"/>
      <c r="AB6549" s="1"/>
      <c r="AD6549" s="102"/>
    </row>
    <row r="6550" spans="15:30">
      <c r="O6550" s="1"/>
      <c r="P6550" s="1"/>
      <c r="Q6550" s="1"/>
      <c r="R6550" s="1"/>
      <c r="Z6550" s="103"/>
      <c r="AA6550" s="103"/>
      <c r="AB6550" s="1"/>
    </row>
    <row r="6551" spans="15:30">
      <c r="O6551" s="1"/>
      <c r="P6551" s="1"/>
      <c r="Q6551" s="1"/>
      <c r="R6551" s="1"/>
      <c r="Z6551" s="103"/>
      <c r="AA6551" s="103"/>
      <c r="AB6551" s="1"/>
    </row>
    <row r="6552" spans="15:30">
      <c r="O6552" s="1"/>
      <c r="P6552" s="1"/>
      <c r="Q6552" s="1"/>
      <c r="R6552" s="1"/>
      <c r="Z6552" s="103"/>
      <c r="AA6552" s="103"/>
      <c r="AB6552" s="1"/>
    </row>
    <row r="6553" spans="15:30">
      <c r="O6553" s="1"/>
      <c r="P6553" s="1"/>
      <c r="Q6553" s="1"/>
      <c r="R6553" s="1"/>
      <c r="Z6553" s="103"/>
      <c r="AA6553" s="103"/>
      <c r="AB6553" s="1"/>
    </row>
    <row r="6554" spans="15:30">
      <c r="O6554" s="1"/>
      <c r="P6554" s="1"/>
      <c r="Q6554" s="1"/>
      <c r="R6554" s="1"/>
      <c r="Z6554" s="103"/>
      <c r="AA6554" s="103"/>
      <c r="AB6554" s="1"/>
    </row>
    <row r="6555" spans="15:30">
      <c r="O6555" s="1"/>
      <c r="P6555" s="1"/>
      <c r="Q6555" s="1"/>
      <c r="R6555" s="1"/>
      <c r="Z6555" s="103"/>
      <c r="AA6555" s="103"/>
      <c r="AB6555" s="1"/>
    </row>
    <row r="6556" spans="15:30">
      <c r="O6556" s="1"/>
      <c r="P6556" s="1"/>
      <c r="Q6556" s="1"/>
      <c r="R6556" s="1"/>
      <c r="Z6556" s="103"/>
      <c r="AA6556" s="103"/>
      <c r="AB6556" s="1"/>
    </row>
    <row r="6557" spans="15:30">
      <c r="O6557" s="1"/>
      <c r="P6557" s="1"/>
      <c r="Q6557" s="1"/>
      <c r="R6557" s="1"/>
      <c r="Z6557" s="103"/>
      <c r="AA6557" s="103"/>
      <c r="AB6557" s="1"/>
      <c r="AD6557" s="102"/>
    </row>
    <row r="6558" spans="15:30">
      <c r="O6558" s="1"/>
      <c r="P6558" s="1"/>
      <c r="Q6558" s="1"/>
      <c r="R6558" s="1"/>
      <c r="Z6558" s="103"/>
      <c r="AA6558" s="103"/>
      <c r="AB6558" s="1"/>
    </row>
    <row r="6559" spans="15:30">
      <c r="O6559" s="1"/>
      <c r="P6559" s="1"/>
      <c r="Q6559" s="1"/>
      <c r="R6559" s="1"/>
      <c r="Z6559" s="103"/>
      <c r="AA6559" s="103"/>
      <c r="AB6559" s="1"/>
    </row>
    <row r="6560" spans="15:30">
      <c r="O6560" s="1"/>
      <c r="P6560" s="1"/>
      <c r="Q6560" s="1"/>
      <c r="R6560" s="1"/>
      <c r="Z6560" s="103"/>
      <c r="AA6560" s="103"/>
      <c r="AB6560" s="1"/>
    </row>
    <row r="6561" spans="15:28">
      <c r="O6561" s="1"/>
      <c r="P6561" s="1"/>
      <c r="Q6561" s="1"/>
      <c r="R6561" s="1"/>
      <c r="Z6561" s="103"/>
      <c r="AA6561" s="103"/>
      <c r="AB6561" s="1"/>
    </row>
    <row r="6562" spans="15:28">
      <c r="O6562" s="1"/>
      <c r="P6562" s="1"/>
      <c r="Q6562" s="1"/>
      <c r="R6562" s="1"/>
      <c r="Z6562" s="103"/>
      <c r="AA6562" s="103"/>
      <c r="AB6562" s="1"/>
    </row>
    <row r="6563" spans="15:28">
      <c r="O6563" s="1"/>
      <c r="P6563" s="1"/>
      <c r="Q6563" s="1"/>
      <c r="R6563" s="1"/>
      <c r="Z6563" s="103"/>
      <c r="AA6563" s="103"/>
      <c r="AB6563" s="1"/>
    </row>
    <row r="6564" spans="15:28">
      <c r="O6564" s="1"/>
      <c r="P6564" s="1"/>
      <c r="Q6564" s="1"/>
      <c r="R6564" s="1"/>
      <c r="Z6564" s="103"/>
      <c r="AA6564" s="103"/>
      <c r="AB6564" s="1"/>
    </row>
    <row r="6565" spans="15:28">
      <c r="O6565" s="1"/>
      <c r="P6565" s="1"/>
      <c r="Q6565" s="1"/>
      <c r="R6565" s="1"/>
      <c r="Z6565" s="103"/>
      <c r="AA6565" s="103"/>
      <c r="AB6565" s="1"/>
    </row>
    <row r="6566" spans="15:28">
      <c r="O6566" s="1"/>
      <c r="P6566" s="1"/>
      <c r="Q6566" s="1"/>
      <c r="R6566" s="1"/>
      <c r="Z6566" s="103"/>
      <c r="AA6566" s="103"/>
      <c r="AB6566" s="1"/>
    </row>
    <row r="6567" spans="15:28">
      <c r="O6567" s="1"/>
      <c r="P6567" s="1"/>
      <c r="Q6567" s="1"/>
      <c r="R6567" s="1"/>
      <c r="Z6567" s="103"/>
      <c r="AA6567" s="103"/>
      <c r="AB6567" s="1"/>
    </row>
    <row r="6568" spans="15:28">
      <c r="O6568" s="1"/>
      <c r="P6568" s="1"/>
      <c r="Q6568" s="1"/>
      <c r="R6568" s="1"/>
      <c r="Z6568" s="103"/>
      <c r="AA6568" s="103"/>
      <c r="AB6568" s="1"/>
    </row>
    <row r="6569" spans="15:28">
      <c r="O6569" s="1"/>
      <c r="P6569" s="1"/>
      <c r="Q6569" s="1"/>
      <c r="R6569" s="1"/>
      <c r="Z6569" s="103"/>
      <c r="AA6569" s="103"/>
      <c r="AB6569" s="1"/>
    </row>
    <row r="6570" spans="15:28">
      <c r="O6570" s="1"/>
      <c r="P6570" s="1"/>
      <c r="Q6570" s="1"/>
      <c r="R6570" s="1"/>
      <c r="Z6570" s="103"/>
      <c r="AA6570" s="103"/>
      <c r="AB6570" s="1"/>
    </row>
    <row r="6571" spans="15:28">
      <c r="O6571" s="1"/>
      <c r="P6571" s="1"/>
      <c r="Q6571" s="1"/>
      <c r="R6571" s="1"/>
      <c r="Z6571" s="103"/>
      <c r="AA6571" s="103"/>
      <c r="AB6571" s="1"/>
    </row>
    <row r="6572" spans="15:28">
      <c r="O6572" s="1"/>
      <c r="P6572" s="1"/>
      <c r="Q6572" s="1"/>
      <c r="R6572" s="1"/>
      <c r="Z6572" s="103"/>
      <c r="AA6572" s="103"/>
      <c r="AB6572" s="1"/>
    </row>
    <row r="6573" spans="15:28">
      <c r="O6573" s="1"/>
      <c r="P6573" s="1"/>
      <c r="Q6573" s="1"/>
      <c r="R6573" s="1"/>
      <c r="Z6573" s="103"/>
      <c r="AA6573" s="103"/>
      <c r="AB6573" s="1"/>
    </row>
    <row r="6574" spans="15:28">
      <c r="O6574" s="1"/>
      <c r="P6574" s="1"/>
      <c r="Q6574" s="1"/>
      <c r="R6574" s="1"/>
      <c r="Z6574" s="103"/>
      <c r="AA6574" s="103"/>
      <c r="AB6574" s="1"/>
    </row>
    <row r="6575" spans="15:28">
      <c r="O6575" s="1"/>
      <c r="P6575" s="1"/>
      <c r="Q6575" s="1"/>
      <c r="R6575" s="1"/>
      <c r="Z6575" s="103"/>
      <c r="AA6575" s="103"/>
      <c r="AB6575" s="1"/>
    </row>
    <row r="6576" spans="15:28">
      <c r="O6576" s="1"/>
      <c r="P6576" s="1"/>
      <c r="Q6576" s="1"/>
      <c r="R6576" s="1"/>
      <c r="Z6576" s="103"/>
      <c r="AA6576" s="103"/>
      <c r="AB6576" s="1"/>
    </row>
    <row r="6577" spans="15:30">
      <c r="O6577" s="1"/>
      <c r="P6577" s="1"/>
      <c r="Q6577" s="1"/>
      <c r="R6577" s="1"/>
      <c r="Z6577" s="103"/>
      <c r="AA6577" s="103"/>
      <c r="AB6577" s="1"/>
    </row>
    <row r="6578" spans="15:30">
      <c r="O6578" s="1"/>
      <c r="P6578" s="1"/>
      <c r="Q6578" s="1"/>
      <c r="R6578" s="1"/>
      <c r="Z6578" s="103"/>
      <c r="AA6578" s="103"/>
      <c r="AB6578" s="1"/>
    </row>
    <row r="6579" spans="15:30">
      <c r="O6579" s="1"/>
      <c r="P6579" s="1"/>
      <c r="Q6579" s="1"/>
      <c r="R6579" s="1"/>
      <c r="Z6579" s="103"/>
      <c r="AA6579" s="103"/>
      <c r="AB6579" s="1"/>
    </row>
    <row r="6580" spans="15:30">
      <c r="O6580" s="1"/>
      <c r="P6580" s="1"/>
      <c r="Q6580" s="1"/>
      <c r="R6580" s="1"/>
      <c r="Z6580" s="103"/>
      <c r="AA6580" s="103"/>
      <c r="AB6580" s="1"/>
    </row>
    <row r="6581" spans="15:30">
      <c r="O6581" s="1"/>
      <c r="P6581" s="1"/>
      <c r="Q6581" s="1"/>
      <c r="R6581" s="1"/>
      <c r="Z6581" s="103"/>
      <c r="AA6581" s="103"/>
      <c r="AB6581" s="1"/>
    </row>
    <row r="6582" spans="15:30">
      <c r="O6582" s="1"/>
      <c r="P6582" s="1"/>
      <c r="Q6582" s="1"/>
      <c r="R6582" s="1"/>
      <c r="Z6582" s="103"/>
      <c r="AA6582" s="103"/>
      <c r="AB6582" s="1"/>
    </row>
    <row r="6583" spans="15:30">
      <c r="O6583" s="1"/>
      <c r="P6583" s="1"/>
      <c r="Q6583" s="1"/>
      <c r="R6583" s="1"/>
      <c r="Z6583" s="103"/>
      <c r="AA6583" s="103"/>
      <c r="AB6583" s="1"/>
    </row>
    <row r="6584" spans="15:30">
      <c r="O6584" s="1"/>
      <c r="P6584" s="1"/>
      <c r="Q6584" s="1"/>
      <c r="R6584" s="1"/>
      <c r="Z6584" s="103"/>
      <c r="AA6584" s="103"/>
      <c r="AB6584" s="1"/>
      <c r="AD6584" s="102"/>
    </row>
    <row r="6585" spans="15:30">
      <c r="O6585" s="1"/>
      <c r="P6585" s="1"/>
      <c r="Q6585" s="1"/>
      <c r="R6585" s="1"/>
      <c r="Z6585" s="103"/>
      <c r="AA6585" s="103"/>
      <c r="AB6585" s="1"/>
    </row>
    <row r="6586" spans="15:30">
      <c r="O6586" s="1"/>
      <c r="P6586" s="1"/>
      <c r="Q6586" s="1"/>
      <c r="R6586" s="1"/>
      <c r="Z6586" s="103"/>
      <c r="AA6586" s="103"/>
      <c r="AB6586" s="1"/>
    </row>
    <row r="6587" spans="15:30">
      <c r="O6587" s="1"/>
      <c r="P6587" s="1"/>
      <c r="Q6587" s="1"/>
      <c r="R6587" s="1"/>
      <c r="Z6587" s="103"/>
      <c r="AA6587" s="103"/>
      <c r="AB6587" s="1"/>
    </row>
    <row r="6588" spans="15:30">
      <c r="O6588" s="1"/>
      <c r="P6588" s="1"/>
      <c r="Q6588" s="1"/>
      <c r="R6588" s="1"/>
      <c r="Z6588" s="103"/>
      <c r="AA6588" s="103"/>
      <c r="AB6588" s="1"/>
      <c r="AD6588" s="102"/>
    </row>
    <row r="6589" spans="15:30">
      <c r="O6589" s="1"/>
      <c r="P6589" s="1"/>
      <c r="Q6589" s="1"/>
      <c r="R6589" s="1"/>
      <c r="Z6589" s="103"/>
      <c r="AA6589" s="103"/>
      <c r="AB6589" s="1"/>
    </row>
    <row r="6590" spans="15:30">
      <c r="O6590" s="1"/>
      <c r="P6590" s="1"/>
      <c r="Q6590" s="1"/>
      <c r="R6590" s="1"/>
      <c r="Z6590" s="103"/>
      <c r="AA6590" s="103"/>
      <c r="AB6590" s="1"/>
    </row>
    <row r="6591" spans="15:30">
      <c r="O6591" s="1"/>
      <c r="P6591" s="1"/>
      <c r="Q6591" s="1"/>
      <c r="R6591" s="1"/>
      <c r="Z6591" s="103"/>
      <c r="AA6591" s="103"/>
      <c r="AB6591" s="1"/>
    </row>
    <row r="6592" spans="15:30">
      <c r="O6592" s="1"/>
      <c r="P6592" s="1"/>
      <c r="Q6592" s="1"/>
      <c r="R6592" s="1"/>
      <c r="Z6592" s="103"/>
      <c r="AA6592" s="103"/>
      <c r="AB6592" s="1"/>
    </row>
    <row r="6593" spans="15:28">
      <c r="O6593" s="1"/>
      <c r="P6593" s="1"/>
      <c r="Q6593" s="1"/>
      <c r="R6593" s="1"/>
      <c r="Z6593" s="103"/>
      <c r="AA6593" s="103"/>
      <c r="AB6593" s="1"/>
    </row>
    <row r="6594" spans="15:28">
      <c r="O6594" s="1"/>
      <c r="P6594" s="1"/>
      <c r="Q6594" s="1"/>
      <c r="R6594" s="1"/>
      <c r="Z6594" s="103"/>
      <c r="AA6594" s="103"/>
      <c r="AB6594" s="1"/>
    </row>
    <row r="6595" spans="15:28">
      <c r="O6595" s="1"/>
      <c r="P6595" s="1"/>
      <c r="Q6595" s="1"/>
      <c r="R6595" s="1"/>
      <c r="Z6595" s="103"/>
      <c r="AA6595" s="103"/>
      <c r="AB6595" s="1"/>
    </row>
    <row r="6596" spans="15:28">
      <c r="O6596" s="1"/>
      <c r="P6596" s="1"/>
      <c r="Q6596" s="1"/>
      <c r="R6596" s="1"/>
      <c r="Z6596" s="103"/>
      <c r="AA6596" s="103"/>
      <c r="AB6596" s="1"/>
    </row>
    <row r="6597" spans="15:28">
      <c r="O6597" s="1"/>
      <c r="P6597" s="1"/>
      <c r="Q6597" s="1"/>
      <c r="R6597" s="1"/>
      <c r="Z6597" s="103"/>
      <c r="AA6597" s="103"/>
      <c r="AB6597" s="1"/>
    </row>
    <row r="6598" spans="15:28">
      <c r="O6598" s="1"/>
      <c r="P6598" s="1"/>
      <c r="Q6598" s="1"/>
      <c r="R6598" s="1"/>
      <c r="Z6598" s="103"/>
      <c r="AA6598" s="103"/>
      <c r="AB6598" s="1"/>
    </row>
    <row r="6599" spans="15:28">
      <c r="O6599" s="1"/>
      <c r="P6599" s="1"/>
      <c r="Q6599" s="1"/>
      <c r="R6599" s="1"/>
      <c r="Z6599" s="103"/>
      <c r="AA6599" s="103"/>
      <c r="AB6599" s="1"/>
    </row>
    <row r="6600" spans="15:28">
      <c r="O6600" s="1"/>
      <c r="P6600" s="1"/>
      <c r="Q6600" s="1"/>
      <c r="R6600" s="1"/>
      <c r="Z6600" s="103"/>
      <c r="AA6600" s="103"/>
      <c r="AB6600" s="1"/>
    </row>
    <row r="6601" spans="15:28">
      <c r="O6601" s="1"/>
      <c r="P6601" s="1"/>
      <c r="Q6601" s="1"/>
      <c r="R6601" s="1"/>
      <c r="Z6601" s="103"/>
      <c r="AA6601" s="103"/>
      <c r="AB6601" s="1"/>
    </row>
    <row r="6602" spans="15:28">
      <c r="O6602" s="1"/>
      <c r="P6602" s="1"/>
      <c r="Q6602" s="1"/>
      <c r="R6602" s="1"/>
      <c r="Z6602" s="103"/>
      <c r="AA6602" s="103"/>
      <c r="AB6602" s="1"/>
    </row>
    <row r="6603" spans="15:28">
      <c r="O6603" s="1"/>
      <c r="P6603" s="1"/>
      <c r="Q6603" s="1"/>
      <c r="R6603" s="1"/>
      <c r="Z6603" s="103"/>
      <c r="AA6603" s="103"/>
      <c r="AB6603" s="1"/>
    </row>
    <row r="6604" spans="15:28">
      <c r="O6604" s="1"/>
      <c r="P6604" s="1"/>
      <c r="Q6604" s="1"/>
      <c r="R6604" s="1"/>
      <c r="Z6604" s="103"/>
      <c r="AA6604" s="103"/>
      <c r="AB6604" s="1"/>
    </row>
    <row r="6605" spans="15:28">
      <c r="O6605" s="1"/>
      <c r="P6605" s="1"/>
      <c r="Q6605" s="1"/>
      <c r="R6605" s="1"/>
      <c r="Z6605" s="103"/>
      <c r="AA6605" s="103"/>
      <c r="AB6605" s="1"/>
    </row>
    <row r="6606" spans="15:28">
      <c r="O6606" s="1"/>
      <c r="P6606" s="1"/>
      <c r="Q6606" s="1"/>
      <c r="R6606" s="1"/>
      <c r="Z6606" s="103"/>
      <c r="AA6606" s="103"/>
      <c r="AB6606" s="1"/>
    </row>
    <row r="6607" spans="15:28">
      <c r="O6607" s="1"/>
      <c r="P6607" s="1"/>
      <c r="Q6607" s="1"/>
      <c r="R6607" s="1"/>
      <c r="Z6607" s="103"/>
      <c r="AA6607" s="103"/>
      <c r="AB6607" s="1"/>
    </row>
    <row r="6608" spans="15:28">
      <c r="O6608" s="1"/>
      <c r="P6608" s="1"/>
      <c r="Q6608" s="1"/>
      <c r="R6608" s="1"/>
      <c r="Z6608" s="103"/>
      <c r="AA6608" s="103"/>
      <c r="AB6608" s="1"/>
    </row>
    <row r="6609" spans="15:30">
      <c r="O6609" s="1"/>
      <c r="P6609" s="1"/>
      <c r="Q6609" s="1"/>
      <c r="R6609" s="1"/>
      <c r="Z6609" s="103"/>
      <c r="AA6609" s="103"/>
      <c r="AB6609" s="1"/>
    </row>
    <row r="6610" spans="15:30">
      <c r="O6610" s="1"/>
      <c r="P6610" s="1"/>
      <c r="Q6610" s="1"/>
      <c r="R6610" s="1"/>
      <c r="Z6610" s="103"/>
      <c r="AA6610" s="103"/>
      <c r="AB6610" s="1"/>
    </row>
    <row r="6611" spans="15:30">
      <c r="O6611" s="1"/>
      <c r="P6611" s="1"/>
      <c r="Q6611" s="1"/>
      <c r="R6611" s="1"/>
      <c r="Z6611" s="103"/>
      <c r="AA6611" s="103"/>
      <c r="AB6611" s="1"/>
    </row>
    <row r="6612" spans="15:30">
      <c r="O6612" s="1"/>
      <c r="P6612" s="1"/>
      <c r="Q6612" s="1"/>
      <c r="R6612" s="1"/>
      <c r="Z6612" s="103"/>
      <c r="AA6612" s="103"/>
      <c r="AB6612" s="1"/>
    </row>
    <row r="6613" spans="15:30">
      <c r="O6613" s="1"/>
      <c r="P6613" s="1"/>
      <c r="Q6613" s="1"/>
      <c r="R6613" s="1"/>
      <c r="Z6613" s="103"/>
      <c r="AA6613" s="103"/>
      <c r="AB6613" s="1"/>
    </row>
    <row r="6614" spans="15:30">
      <c r="O6614" s="1"/>
      <c r="P6614" s="1"/>
      <c r="Q6614" s="1"/>
      <c r="R6614" s="1"/>
      <c r="Z6614" s="103"/>
      <c r="AA6614" s="103"/>
      <c r="AB6614" s="1"/>
    </row>
    <row r="6615" spans="15:30">
      <c r="O6615" s="1"/>
      <c r="P6615" s="1"/>
      <c r="Q6615" s="1"/>
      <c r="R6615" s="1"/>
      <c r="Z6615" s="103"/>
      <c r="AA6615" s="103"/>
      <c r="AB6615" s="1"/>
    </row>
    <row r="6616" spans="15:30">
      <c r="O6616" s="1"/>
      <c r="P6616" s="1"/>
      <c r="Q6616" s="1"/>
      <c r="R6616" s="1"/>
      <c r="Z6616" s="103"/>
      <c r="AA6616" s="103"/>
      <c r="AB6616" s="1"/>
    </row>
    <row r="6617" spans="15:30">
      <c r="O6617" s="1"/>
      <c r="P6617" s="1"/>
      <c r="Q6617" s="1"/>
      <c r="R6617" s="1"/>
      <c r="Z6617" s="103"/>
      <c r="AA6617" s="103"/>
      <c r="AB6617" s="1"/>
    </row>
    <row r="6618" spans="15:30">
      <c r="O6618" s="1"/>
      <c r="P6618" s="1"/>
      <c r="Q6618" s="1"/>
      <c r="R6618" s="1"/>
      <c r="Z6618" s="103"/>
      <c r="AA6618" s="103"/>
      <c r="AB6618" s="1"/>
    </row>
    <row r="6619" spans="15:30">
      <c r="O6619" s="1"/>
      <c r="P6619" s="1"/>
      <c r="Q6619" s="1"/>
      <c r="R6619" s="1"/>
      <c r="Z6619" s="103"/>
      <c r="AA6619" s="103"/>
      <c r="AB6619" s="1"/>
      <c r="AD6619" s="102"/>
    </row>
    <row r="6620" spans="15:30">
      <c r="O6620" s="1"/>
      <c r="P6620" s="1"/>
      <c r="Q6620" s="1"/>
      <c r="R6620" s="1"/>
      <c r="Z6620" s="103"/>
      <c r="AA6620" s="103"/>
      <c r="AB6620" s="1"/>
    </row>
    <row r="6621" spans="15:30">
      <c r="O6621" s="1"/>
      <c r="P6621" s="1"/>
      <c r="Q6621" s="1"/>
      <c r="R6621" s="1"/>
      <c r="Z6621" s="103"/>
      <c r="AA6621" s="103"/>
      <c r="AB6621" s="1"/>
    </row>
    <row r="6622" spans="15:30">
      <c r="O6622" s="1"/>
      <c r="P6622" s="1"/>
      <c r="Q6622" s="1"/>
      <c r="R6622" s="1"/>
      <c r="Z6622" s="103"/>
      <c r="AA6622" s="103"/>
      <c r="AB6622" s="1"/>
    </row>
    <row r="6623" spans="15:30">
      <c r="O6623" s="1"/>
      <c r="P6623" s="1"/>
      <c r="Q6623" s="1"/>
      <c r="R6623" s="1"/>
      <c r="Z6623" s="103"/>
      <c r="AA6623" s="103"/>
      <c r="AB6623" s="1"/>
    </row>
    <row r="6624" spans="15:30">
      <c r="O6624" s="1"/>
      <c r="P6624" s="1"/>
      <c r="Q6624" s="1"/>
      <c r="R6624" s="1"/>
      <c r="Z6624" s="103"/>
      <c r="AA6624" s="103"/>
      <c r="AB6624" s="1"/>
    </row>
    <row r="6625" spans="15:28">
      <c r="O6625" s="1"/>
      <c r="P6625" s="1"/>
      <c r="Q6625" s="1"/>
      <c r="R6625" s="1"/>
      <c r="Z6625" s="103"/>
      <c r="AA6625" s="103"/>
      <c r="AB6625" s="1"/>
    </row>
    <row r="6626" spans="15:28">
      <c r="O6626" s="1"/>
      <c r="P6626" s="1"/>
      <c r="Q6626" s="1"/>
      <c r="R6626" s="1"/>
      <c r="Z6626" s="103"/>
      <c r="AA6626" s="103"/>
      <c r="AB6626" s="1"/>
    </row>
    <row r="6627" spans="15:28">
      <c r="O6627" s="1"/>
      <c r="P6627" s="1"/>
      <c r="Q6627" s="1"/>
      <c r="R6627" s="1"/>
      <c r="Z6627" s="103"/>
      <c r="AA6627" s="103"/>
      <c r="AB6627" s="1"/>
    </row>
    <row r="6628" spans="15:28">
      <c r="O6628" s="1"/>
      <c r="P6628" s="1"/>
      <c r="Q6628" s="1"/>
      <c r="R6628" s="1"/>
      <c r="Z6628" s="103"/>
      <c r="AA6628" s="103"/>
      <c r="AB6628" s="1"/>
    </row>
    <row r="6629" spans="15:28">
      <c r="O6629" s="1"/>
      <c r="P6629" s="1"/>
      <c r="Q6629" s="1"/>
      <c r="R6629" s="1"/>
      <c r="Z6629" s="103"/>
      <c r="AA6629" s="103"/>
      <c r="AB6629" s="1"/>
    </row>
    <row r="6630" spans="15:28">
      <c r="O6630" s="1"/>
      <c r="P6630" s="1"/>
      <c r="Q6630" s="1"/>
      <c r="R6630" s="1"/>
      <c r="Z6630" s="103"/>
      <c r="AA6630" s="103"/>
      <c r="AB6630" s="1"/>
    </row>
    <row r="6631" spans="15:28">
      <c r="O6631" s="1"/>
      <c r="P6631" s="1"/>
      <c r="Q6631" s="1"/>
      <c r="R6631" s="1"/>
      <c r="Z6631" s="103"/>
      <c r="AA6631" s="103"/>
      <c r="AB6631" s="1"/>
    </row>
    <row r="6632" spans="15:28">
      <c r="O6632" s="1"/>
      <c r="P6632" s="1"/>
      <c r="Q6632" s="1"/>
      <c r="R6632" s="1"/>
      <c r="Z6632" s="103"/>
      <c r="AA6632" s="103"/>
      <c r="AB6632" s="1"/>
    </row>
    <row r="6633" spans="15:28">
      <c r="O6633" s="1"/>
      <c r="P6633" s="1"/>
      <c r="Q6633" s="1"/>
      <c r="R6633" s="1"/>
      <c r="Z6633" s="103"/>
      <c r="AA6633" s="103"/>
      <c r="AB6633" s="1"/>
    </row>
    <row r="6634" spans="15:28">
      <c r="O6634" s="1"/>
      <c r="P6634" s="1"/>
      <c r="Q6634" s="1"/>
      <c r="R6634" s="1"/>
      <c r="Z6634" s="103"/>
      <c r="AA6634" s="103"/>
      <c r="AB6634" s="1"/>
    </row>
    <row r="6635" spans="15:28">
      <c r="O6635" s="1"/>
      <c r="P6635" s="1"/>
      <c r="Q6635" s="1"/>
      <c r="R6635" s="1"/>
      <c r="Z6635" s="103"/>
      <c r="AA6635" s="103"/>
      <c r="AB6635" s="1"/>
    </row>
    <row r="6636" spans="15:28">
      <c r="O6636" s="1"/>
      <c r="P6636" s="1"/>
      <c r="Q6636" s="1"/>
      <c r="R6636" s="1"/>
      <c r="Z6636" s="103"/>
      <c r="AA6636" s="103"/>
      <c r="AB6636" s="1"/>
    </row>
    <row r="6637" spans="15:28">
      <c r="O6637" s="1"/>
      <c r="P6637" s="1"/>
      <c r="Q6637" s="1"/>
      <c r="R6637" s="1"/>
      <c r="Z6637" s="103"/>
      <c r="AA6637" s="103"/>
      <c r="AB6637" s="1"/>
    </row>
    <row r="6638" spans="15:28">
      <c r="O6638" s="1"/>
      <c r="P6638" s="1"/>
      <c r="Q6638" s="1"/>
      <c r="R6638" s="1"/>
      <c r="Z6638" s="103"/>
      <c r="AA6638" s="103"/>
      <c r="AB6638" s="1"/>
    </row>
    <row r="6639" spans="15:28">
      <c r="O6639" s="1"/>
      <c r="P6639" s="1"/>
      <c r="Q6639" s="1"/>
      <c r="R6639" s="1"/>
      <c r="Z6639" s="103"/>
      <c r="AA6639" s="103"/>
      <c r="AB6639" s="1"/>
    </row>
    <row r="6640" spans="15:28">
      <c r="O6640" s="1"/>
      <c r="P6640" s="1"/>
      <c r="Q6640" s="1"/>
      <c r="R6640" s="1"/>
      <c r="Z6640" s="103"/>
      <c r="AA6640" s="103"/>
      <c r="AB6640" s="1"/>
    </row>
    <row r="6641" spans="15:28">
      <c r="O6641" s="1"/>
      <c r="P6641" s="1"/>
      <c r="Q6641" s="1"/>
      <c r="R6641" s="1"/>
      <c r="Z6641" s="103"/>
      <c r="AA6641" s="103"/>
      <c r="AB6641" s="1"/>
    </row>
    <row r="6642" spans="15:28">
      <c r="O6642" s="1"/>
      <c r="P6642" s="1"/>
      <c r="Q6642" s="1"/>
      <c r="R6642" s="1"/>
      <c r="Z6642" s="103"/>
      <c r="AA6642" s="103"/>
      <c r="AB6642" s="1"/>
    </row>
    <row r="6643" spans="15:28">
      <c r="O6643" s="1"/>
      <c r="P6643" s="1"/>
      <c r="Q6643" s="1"/>
      <c r="R6643" s="1"/>
      <c r="Z6643" s="103"/>
      <c r="AA6643" s="103"/>
      <c r="AB6643" s="1"/>
    </row>
    <row r="6644" spans="15:28">
      <c r="O6644" s="1"/>
      <c r="P6644" s="1"/>
      <c r="Q6644" s="1"/>
      <c r="R6644" s="1"/>
      <c r="Z6644" s="103"/>
      <c r="AA6644" s="103"/>
      <c r="AB6644" s="1"/>
    </row>
    <row r="6645" spans="15:28">
      <c r="O6645" s="1"/>
      <c r="P6645" s="1"/>
      <c r="Q6645" s="1"/>
      <c r="R6645" s="1"/>
      <c r="Z6645" s="103"/>
      <c r="AA6645" s="103"/>
      <c r="AB6645" s="1"/>
    </row>
    <row r="6646" spans="15:28">
      <c r="O6646" s="1"/>
      <c r="P6646" s="1"/>
      <c r="Q6646" s="1"/>
      <c r="R6646" s="1"/>
      <c r="Z6646" s="103"/>
      <c r="AA6646" s="103"/>
      <c r="AB6646" s="1"/>
    </row>
    <row r="6647" spans="15:28">
      <c r="O6647" s="1"/>
      <c r="P6647" s="1"/>
      <c r="Q6647" s="1"/>
      <c r="R6647" s="1"/>
      <c r="Z6647" s="103"/>
      <c r="AA6647" s="103"/>
      <c r="AB6647" s="1"/>
    </row>
    <row r="6648" spans="15:28">
      <c r="O6648" s="1"/>
      <c r="P6648" s="1"/>
      <c r="Q6648" s="1"/>
      <c r="R6648" s="1"/>
      <c r="Z6648" s="103"/>
      <c r="AA6648" s="103"/>
      <c r="AB6648" s="1"/>
    </row>
    <row r="6649" spans="15:28">
      <c r="O6649" s="1"/>
      <c r="P6649" s="1"/>
      <c r="Q6649" s="1"/>
      <c r="R6649" s="1"/>
      <c r="Z6649" s="103"/>
      <c r="AA6649" s="103"/>
      <c r="AB6649" s="1"/>
    </row>
    <row r="6650" spans="15:28">
      <c r="O6650" s="1"/>
      <c r="P6650" s="1"/>
      <c r="Q6650" s="1"/>
      <c r="R6650" s="1"/>
      <c r="Z6650" s="103"/>
      <c r="AA6650" s="103"/>
      <c r="AB6650" s="1"/>
    </row>
    <row r="6651" spans="15:28">
      <c r="O6651" s="1"/>
      <c r="P6651" s="1"/>
      <c r="Q6651" s="1"/>
      <c r="R6651" s="1"/>
      <c r="Z6651" s="103"/>
      <c r="AA6651" s="103"/>
      <c r="AB6651" s="1"/>
    </row>
    <row r="6652" spans="15:28">
      <c r="O6652" s="1"/>
      <c r="P6652" s="1"/>
      <c r="Q6652" s="1"/>
      <c r="R6652" s="1"/>
      <c r="Z6652" s="103"/>
      <c r="AA6652" s="103"/>
      <c r="AB6652" s="1"/>
    </row>
    <row r="6653" spans="15:28">
      <c r="O6653" s="1"/>
      <c r="P6653" s="1"/>
      <c r="Q6653" s="1"/>
      <c r="R6653" s="1"/>
      <c r="Z6653" s="103"/>
      <c r="AA6653" s="103"/>
      <c r="AB6653" s="1"/>
    </row>
    <row r="6654" spans="15:28">
      <c r="O6654" s="1"/>
      <c r="P6654" s="1"/>
      <c r="Q6654" s="1"/>
      <c r="R6654" s="1"/>
      <c r="Z6654" s="103"/>
      <c r="AA6654" s="103"/>
      <c r="AB6654" s="1"/>
    </row>
    <row r="6655" spans="15:28">
      <c r="O6655" s="1"/>
      <c r="P6655" s="1"/>
      <c r="Q6655" s="1"/>
      <c r="R6655" s="1"/>
      <c r="Z6655" s="103"/>
      <c r="AA6655" s="103"/>
      <c r="AB6655" s="1"/>
    </row>
    <row r="6656" spans="15:28">
      <c r="O6656" s="1"/>
      <c r="P6656" s="1"/>
      <c r="Q6656" s="1"/>
      <c r="R6656" s="1"/>
      <c r="Z6656" s="103"/>
      <c r="AA6656" s="103"/>
      <c r="AB6656" s="1"/>
    </row>
    <row r="6657" spans="15:28">
      <c r="O6657" s="1"/>
      <c r="P6657" s="1"/>
      <c r="Q6657" s="1"/>
      <c r="R6657" s="1"/>
      <c r="Z6657" s="103"/>
      <c r="AA6657" s="103"/>
      <c r="AB6657" s="1"/>
    </row>
    <row r="6658" spans="15:28">
      <c r="O6658" s="1"/>
      <c r="P6658" s="1"/>
      <c r="Q6658" s="1"/>
      <c r="R6658" s="1"/>
      <c r="Z6658" s="103"/>
      <c r="AA6658" s="103"/>
      <c r="AB6658" s="1"/>
    </row>
    <row r="6659" spans="15:28">
      <c r="O6659" s="1"/>
      <c r="P6659" s="1"/>
      <c r="Q6659" s="1"/>
      <c r="R6659" s="1"/>
      <c r="Z6659" s="103"/>
      <c r="AA6659" s="103"/>
      <c r="AB6659" s="1"/>
    </row>
    <row r="6660" spans="15:28">
      <c r="O6660" s="1"/>
      <c r="P6660" s="1"/>
      <c r="Q6660" s="1"/>
      <c r="R6660" s="1"/>
      <c r="Z6660" s="103"/>
      <c r="AA6660" s="103"/>
      <c r="AB6660" s="1"/>
    </row>
    <row r="6661" spans="15:28">
      <c r="O6661" s="1"/>
      <c r="P6661" s="1"/>
      <c r="Q6661" s="1"/>
      <c r="R6661" s="1"/>
      <c r="Z6661" s="103"/>
      <c r="AA6661" s="103"/>
      <c r="AB6661" s="1"/>
    </row>
    <row r="6662" spans="15:28">
      <c r="O6662" s="1"/>
      <c r="P6662" s="1"/>
      <c r="Q6662" s="1"/>
      <c r="R6662" s="1"/>
      <c r="Z6662" s="103"/>
      <c r="AA6662" s="103"/>
      <c r="AB6662" s="1"/>
    </row>
    <row r="6663" spans="15:28">
      <c r="O6663" s="1"/>
      <c r="P6663" s="1"/>
      <c r="Q6663" s="1"/>
      <c r="R6663" s="1"/>
      <c r="Z6663" s="103"/>
      <c r="AA6663" s="103"/>
      <c r="AB6663" s="1"/>
    </row>
    <row r="6664" spans="15:28">
      <c r="O6664" s="1"/>
      <c r="P6664" s="1"/>
      <c r="Q6664" s="1"/>
      <c r="R6664" s="1"/>
      <c r="Z6664" s="103"/>
      <c r="AA6664" s="103"/>
      <c r="AB6664" s="1"/>
    </row>
    <row r="6665" spans="15:28">
      <c r="O6665" s="1"/>
      <c r="P6665" s="1"/>
      <c r="Q6665" s="1"/>
      <c r="R6665" s="1"/>
      <c r="Z6665" s="103"/>
      <c r="AA6665" s="103"/>
      <c r="AB6665" s="1"/>
    </row>
    <row r="6666" spans="15:28">
      <c r="O6666" s="1"/>
      <c r="P6666" s="1"/>
      <c r="Q6666" s="1"/>
      <c r="R6666" s="1"/>
      <c r="Z6666" s="103"/>
      <c r="AA6666" s="103"/>
      <c r="AB6666" s="1"/>
    </row>
    <row r="6667" spans="15:28">
      <c r="O6667" s="1"/>
      <c r="P6667" s="1"/>
      <c r="Q6667" s="1"/>
      <c r="R6667" s="1"/>
      <c r="Z6667" s="103"/>
      <c r="AA6667" s="103"/>
      <c r="AB6667" s="1"/>
    </row>
    <row r="6668" spans="15:28">
      <c r="O6668" s="1"/>
      <c r="P6668" s="1"/>
      <c r="Q6668" s="1"/>
      <c r="R6668" s="1"/>
      <c r="Z6668" s="103"/>
      <c r="AA6668" s="103"/>
      <c r="AB6668" s="1"/>
    </row>
    <row r="6669" spans="15:28">
      <c r="O6669" s="1"/>
      <c r="P6669" s="1"/>
      <c r="Q6669" s="1"/>
      <c r="R6669" s="1"/>
      <c r="Z6669" s="103"/>
      <c r="AA6669" s="103"/>
      <c r="AB6669" s="1"/>
    </row>
    <row r="6670" spans="15:28">
      <c r="O6670" s="1"/>
      <c r="P6670" s="1"/>
      <c r="Q6670" s="1"/>
      <c r="R6670" s="1"/>
      <c r="Z6670" s="103"/>
      <c r="AA6670" s="103"/>
      <c r="AB6670" s="1"/>
    </row>
    <row r="6671" spans="15:28">
      <c r="O6671" s="1"/>
      <c r="P6671" s="1"/>
      <c r="Q6671" s="1"/>
      <c r="R6671" s="1"/>
      <c r="Z6671" s="103"/>
      <c r="AA6671" s="103"/>
      <c r="AB6671" s="1"/>
    </row>
    <row r="6672" spans="15:28">
      <c r="O6672" s="1"/>
      <c r="P6672" s="1"/>
      <c r="Q6672" s="1"/>
      <c r="R6672" s="1"/>
      <c r="Z6672" s="103"/>
      <c r="AA6672" s="103"/>
      <c r="AB6672" s="1"/>
    </row>
    <row r="6673" spans="15:30">
      <c r="O6673" s="1"/>
      <c r="P6673" s="1"/>
      <c r="Q6673" s="1"/>
      <c r="R6673" s="1"/>
      <c r="Z6673" s="103"/>
      <c r="AA6673" s="103"/>
      <c r="AB6673" s="1"/>
    </row>
    <row r="6674" spans="15:30">
      <c r="O6674" s="1"/>
      <c r="P6674" s="1"/>
      <c r="Q6674" s="1"/>
      <c r="R6674" s="1"/>
      <c r="Z6674" s="103"/>
      <c r="AA6674" s="103"/>
      <c r="AB6674" s="1"/>
    </row>
    <row r="6675" spans="15:30">
      <c r="O6675" s="1"/>
      <c r="P6675" s="1"/>
      <c r="Q6675" s="1"/>
      <c r="R6675" s="1"/>
      <c r="Z6675" s="103"/>
      <c r="AA6675" s="103"/>
      <c r="AB6675" s="1"/>
      <c r="AD6675" s="102"/>
    </row>
    <row r="6676" spans="15:30">
      <c r="O6676" s="1"/>
      <c r="P6676" s="1"/>
      <c r="Q6676" s="1"/>
      <c r="R6676" s="1"/>
      <c r="Z6676" s="103"/>
      <c r="AA6676" s="103"/>
      <c r="AB6676" s="1"/>
    </row>
    <row r="6677" spans="15:30">
      <c r="O6677" s="1"/>
      <c r="P6677" s="1"/>
      <c r="Q6677" s="1"/>
      <c r="R6677" s="1"/>
      <c r="Z6677" s="103"/>
      <c r="AA6677" s="103"/>
      <c r="AB6677" s="1"/>
    </row>
    <row r="6678" spans="15:30">
      <c r="O6678" s="1"/>
      <c r="P6678" s="1"/>
      <c r="Q6678" s="1"/>
      <c r="R6678" s="1"/>
      <c r="Z6678" s="103"/>
      <c r="AA6678" s="103"/>
      <c r="AB6678" s="1"/>
    </row>
    <row r="6679" spans="15:30">
      <c r="O6679" s="1"/>
      <c r="P6679" s="1"/>
      <c r="Q6679" s="1"/>
      <c r="R6679" s="1"/>
      <c r="Z6679" s="103"/>
      <c r="AA6679" s="103"/>
      <c r="AB6679" s="1"/>
    </row>
    <row r="6680" spans="15:30">
      <c r="O6680" s="1"/>
      <c r="P6680" s="1"/>
      <c r="Q6680" s="1"/>
      <c r="R6680" s="1"/>
      <c r="Z6680" s="103"/>
      <c r="AA6680" s="103"/>
      <c r="AB6680" s="1"/>
    </row>
    <row r="6681" spans="15:30">
      <c r="O6681" s="1"/>
      <c r="P6681" s="1"/>
      <c r="Q6681" s="1"/>
      <c r="R6681" s="1"/>
      <c r="Z6681" s="103"/>
      <c r="AA6681" s="103"/>
      <c r="AB6681" s="1"/>
    </row>
    <row r="6682" spans="15:30">
      <c r="O6682" s="1"/>
      <c r="P6682" s="1"/>
      <c r="Q6682" s="1"/>
      <c r="R6682" s="1"/>
      <c r="Z6682" s="103"/>
      <c r="AA6682" s="103"/>
      <c r="AB6682" s="1"/>
    </row>
    <row r="6683" spans="15:30">
      <c r="O6683" s="1"/>
      <c r="P6683" s="1"/>
      <c r="Q6683" s="1"/>
      <c r="R6683" s="1"/>
      <c r="Z6683" s="103"/>
      <c r="AA6683" s="103"/>
      <c r="AB6683" s="1"/>
    </row>
    <row r="6684" spans="15:30">
      <c r="O6684" s="1"/>
      <c r="P6684" s="1"/>
      <c r="Q6684" s="1"/>
      <c r="R6684" s="1"/>
      <c r="Z6684" s="103"/>
      <c r="AA6684" s="103"/>
      <c r="AB6684" s="1"/>
    </row>
    <row r="6685" spans="15:30">
      <c r="O6685" s="1"/>
      <c r="P6685" s="1"/>
      <c r="Q6685" s="1"/>
      <c r="R6685" s="1"/>
      <c r="Z6685" s="103"/>
      <c r="AA6685" s="103"/>
      <c r="AB6685" s="1"/>
    </row>
    <row r="6686" spans="15:30">
      <c r="O6686" s="1"/>
      <c r="P6686" s="1"/>
      <c r="Q6686" s="1"/>
      <c r="R6686" s="1"/>
      <c r="Z6686" s="103"/>
      <c r="AA6686" s="103"/>
      <c r="AB6686" s="1"/>
    </row>
    <row r="6687" spans="15:30">
      <c r="O6687" s="1"/>
      <c r="P6687" s="1"/>
      <c r="Q6687" s="1"/>
      <c r="R6687" s="1"/>
      <c r="Z6687" s="103"/>
      <c r="AA6687" s="103"/>
      <c r="AB6687" s="1"/>
    </row>
    <row r="6688" spans="15:30">
      <c r="O6688" s="1"/>
      <c r="P6688" s="1"/>
      <c r="Q6688" s="1"/>
      <c r="R6688" s="1"/>
      <c r="Z6688" s="103"/>
      <c r="AA6688" s="103"/>
      <c r="AB6688" s="1"/>
    </row>
    <row r="6689" spans="15:28">
      <c r="O6689" s="1"/>
      <c r="P6689" s="1"/>
      <c r="Q6689" s="1"/>
      <c r="R6689" s="1"/>
      <c r="Z6689" s="103"/>
      <c r="AA6689" s="103"/>
      <c r="AB6689" s="1"/>
    </row>
    <row r="6690" spans="15:28">
      <c r="O6690" s="1"/>
      <c r="P6690" s="1"/>
      <c r="Q6690" s="1"/>
      <c r="R6690" s="1"/>
      <c r="Z6690" s="103"/>
      <c r="AA6690" s="103"/>
      <c r="AB6690" s="1"/>
    </row>
    <row r="6691" spans="15:28">
      <c r="O6691" s="1"/>
      <c r="P6691" s="1"/>
      <c r="Q6691" s="1"/>
      <c r="R6691" s="1"/>
      <c r="Z6691" s="103"/>
      <c r="AA6691" s="103"/>
      <c r="AB6691" s="1"/>
    </row>
    <row r="6692" spans="15:28">
      <c r="O6692" s="1"/>
      <c r="P6692" s="1"/>
      <c r="Q6692" s="1"/>
      <c r="R6692" s="1"/>
      <c r="Z6692" s="103"/>
      <c r="AA6692" s="103"/>
      <c r="AB6692" s="1"/>
    </row>
    <row r="6693" spans="15:28">
      <c r="O6693" s="1"/>
      <c r="P6693" s="1"/>
      <c r="Q6693" s="1"/>
      <c r="R6693" s="1"/>
      <c r="Z6693" s="103"/>
      <c r="AA6693" s="103"/>
      <c r="AB6693" s="1"/>
    </row>
    <row r="6694" spans="15:28">
      <c r="O6694" s="1"/>
      <c r="P6694" s="1"/>
      <c r="Q6694" s="1"/>
      <c r="R6694" s="1"/>
      <c r="Z6694" s="103"/>
      <c r="AA6694" s="103"/>
      <c r="AB6694" s="1"/>
    </row>
    <row r="6695" spans="15:28">
      <c r="O6695" s="1"/>
      <c r="P6695" s="1"/>
      <c r="Q6695" s="1"/>
      <c r="R6695" s="1"/>
      <c r="Z6695" s="103"/>
      <c r="AA6695" s="103"/>
      <c r="AB6695" s="1"/>
    </row>
    <row r="6696" spans="15:28">
      <c r="O6696" s="1"/>
      <c r="P6696" s="1"/>
      <c r="Q6696" s="1"/>
      <c r="R6696" s="1"/>
      <c r="Z6696" s="103"/>
      <c r="AA6696" s="103"/>
      <c r="AB6696" s="1"/>
    </row>
    <row r="6697" spans="15:28">
      <c r="O6697" s="1"/>
      <c r="P6697" s="1"/>
      <c r="Q6697" s="1"/>
      <c r="R6697" s="1"/>
      <c r="Z6697" s="103"/>
      <c r="AA6697" s="103"/>
      <c r="AB6697" s="1"/>
    </row>
    <row r="6698" spans="15:28">
      <c r="O6698" s="1"/>
      <c r="P6698" s="1"/>
      <c r="Q6698" s="1"/>
      <c r="R6698" s="1"/>
      <c r="Z6698" s="103"/>
      <c r="AA6698" s="103"/>
      <c r="AB6698" s="1"/>
    </row>
    <row r="6699" spans="15:28">
      <c r="O6699" s="1"/>
      <c r="P6699" s="1"/>
      <c r="Q6699" s="1"/>
      <c r="R6699" s="1"/>
      <c r="Z6699" s="103"/>
      <c r="AA6699" s="103"/>
      <c r="AB6699" s="1"/>
    </row>
    <row r="6700" spans="15:28">
      <c r="O6700" s="1"/>
      <c r="P6700" s="1"/>
      <c r="Q6700" s="1"/>
      <c r="R6700" s="1"/>
      <c r="Z6700" s="103"/>
      <c r="AA6700" s="103"/>
      <c r="AB6700" s="1"/>
    </row>
    <row r="6701" spans="15:28">
      <c r="O6701" s="1"/>
      <c r="P6701" s="1"/>
      <c r="Q6701" s="1"/>
      <c r="R6701" s="1"/>
      <c r="Z6701" s="103"/>
      <c r="AA6701" s="103"/>
      <c r="AB6701" s="1"/>
    </row>
    <row r="6702" spans="15:28">
      <c r="O6702" s="1"/>
      <c r="P6702" s="1"/>
      <c r="Q6702" s="1"/>
      <c r="R6702" s="1"/>
      <c r="Z6702" s="103"/>
      <c r="AA6702" s="103"/>
      <c r="AB6702" s="1"/>
    </row>
    <row r="6703" spans="15:28">
      <c r="O6703" s="1"/>
      <c r="P6703" s="1"/>
      <c r="Q6703" s="1"/>
      <c r="R6703" s="1"/>
      <c r="Z6703" s="103"/>
      <c r="AA6703" s="103"/>
      <c r="AB6703" s="1"/>
    </row>
    <row r="6704" spans="15:28">
      <c r="O6704" s="1"/>
      <c r="P6704" s="1"/>
      <c r="Q6704" s="1"/>
      <c r="R6704" s="1"/>
      <c r="Z6704" s="103"/>
      <c r="AA6704" s="103"/>
      <c r="AB6704" s="1"/>
    </row>
    <row r="6705" spans="15:28">
      <c r="O6705" s="1"/>
      <c r="P6705" s="1"/>
      <c r="Q6705" s="1"/>
      <c r="R6705" s="1"/>
      <c r="Z6705" s="103"/>
      <c r="AA6705" s="103"/>
      <c r="AB6705" s="1"/>
    </row>
    <row r="6706" spans="15:28">
      <c r="O6706" s="1"/>
      <c r="P6706" s="1"/>
      <c r="Q6706" s="1"/>
      <c r="R6706" s="1"/>
      <c r="Z6706" s="103"/>
      <c r="AA6706" s="103"/>
      <c r="AB6706" s="1"/>
    </row>
    <row r="6707" spans="15:28">
      <c r="O6707" s="1"/>
      <c r="P6707" s="1"/>
      <c r="Q6707" s="1"/>
      <c r="R6707" s="1"/>
      <c r="Z6707" s="103"/>
      <c r="AA6707" s="103"/>
      <c r="AB6707" s="1"/>
    </row>
    <row r="6708" spans="15:28">
      <c r="O6708" s="1"/>
      <c r="P6708" s="1"/>
      <c r="Q6708" s="1"/>
      <c r="R6708" s="1"/>
      <c r="Z6708" s="103"/>
      <c r="AA6708" s="103"/>
      <c r="AB6708" s="1"/>
    </row>
    <row r="6709" spans="15:28">
      <c r="O6709" s="1"/>
      <c r="P6709" s="1"/>
      <c r="Q6709" s="1"/>
      <c r="R6709" s="1"/>
      <c r="Z6709" s="103"/>
      <c r="AA6709" s="103"/>
      <c r="AB6709" s="1"/>
    </row>
    <row r="6710" spans="15:28">
      <c r="O6710" s="1"/>
      <c r="P6710" s="1"/>
      <c r="Q6710" s="1"/>
      <c r="R6710" s="1"/>
      <c r="Z6710" s="103"/>
      <c r="AA6710" s="103"/>
      <c r="AB6710" s="1"/>
    </row>
    <row r="6711" spans="15:28">
      <c r="O6711" s="1"/>
      <c r="P6711" s="1"/>
      <c r="Q6711" s="1"/>
      <c r="R6711" s="1"/>
      <c r="Z6711" s="103"/>
      <c r="AA6711" s="103"/>
      <c r="AB6711" s="1"/>
    </row>
    <row r="6712" spans="15:28">
      <c r="O6712" s="1"/>
      <c r="P6712" s="1"/>
      <c r="Q6712" s="1"/>
      <c r="R6712" s="1"/>
      <c r="Z6712" s="103"/>
      <c r="AA6712" s="103"/>
      <c r="AB6712" s="1"/>
    </row>
    <row r="6713" spans="15:28">
      <c r="O6713" s="1"/>
      <c r="P6713" s="1"/>
      <c r="Q6713" s="1"/>
      <c r="R6713" s="1"/>
      <c r="Z6713" s="103"/>
      <c r="AA6713" s="103"/>
      <c r="AB6713" s="1"/>
    </row>
    <row r="6714" spans="15:28">
      <c r="O6714" s="1"/>
      <c r="P6714" s="1"/>
      <c r="Q6714" s="1"/>
      <c r="R6714" s="1"/>
      <c r="Z6714" s="103"/>
      <c r="AA6714" s="103"/>
      <c r="AB6714" s="1"/>
    </row>
    <row r="6715" spans="15:28">
      <c r="O6715" s="1"/>
      <c r="P6715" s="1"/>
      <c r="Q6715" s="1"/>
      <c r="R6715" s="1"/>
      <c r="Z6715" s="103"/>
      <c r="AA6715" s="103"/>
      <c r="AB6715" s="1"/>
    </row>
    <row r="6716" spans="15:28">
      <c r="O6716" s="1"/>
      <c r="P6716" s="1"/>
      <c r="Q6716" s="1"/>
      <c r="R6716" s="1"/>
      <c r="Z6716" s="103"/>
      <c r="AA6716" s="103"/>
      <c r="AB6716" s="1"/>
    </row>
    <row r="6717" spans="15:28">
      <c r="O6717" s="1"/>
      <c r="P6717" s="1"/>
      <c r="Q6717" s="1"/>
      <c r="R6717" s="1"/>
      <c r="Z6717" s="103"/>
      <c r="AA6717" s="103"/>
      <c r="AB6717" s="1"/>
    </row>
    <row r="6718" spans="15:28">
      <c r="O6718" s="1"/>
      <c r="P6718" s="1"/>
      <c r="Q6718" s="1"/>
      <c r="R6718" s="1"/>
      <c r="Z6718" s="103"/>
      <c r="AA6718" s="103"/>
      <c r="AB6718" s="1"/>
    </row>
    <row r="6719" spans="15:28">
      <c r="O6719" s="1"/>
      <c r="P6719" s="1"/>
      <c r="Q6719" s="1"/>
      <c r="R6719" s="1"/>
      <c r="Z6719" s="103"/>
      <c r="AA6719" s="103"/>
      <c r="AB6719" s="1"/>
    </row>
    <row r="6720" spans="15:28">
      <c r="O6720" s="1"/>
      <c r="P6720" s="1"/>
      <c r="Q6720" s="1"/>
      <c r="R6720" s="1"/>
      <c r="Z6720" s="103"/>
      <c r="AA6720" s="103"/>
      <c r="AB6720" s="1"/>
    </row>
    <row r="6721" spans="15:30">
      <c r="O6721" s="1"/>
      <c r="P6721" s="1"/>
      <c r="Q6721" s="1"/>
      <c r="R6721" s="1"/>
      <c r="Z6721" s="103"/>
      <c r="AA6721" s="103"/>
      <c r="AB6721" s="1"/>
    </row>
    <row r="6722" spans="15:30">
      <c r="O6722" s="1"/>
      <c r="P6722" s="1"/>
      <c r="Q6722" s="1"/>
      <c r="R6722" s="1"/>
      <c r="Z6722" s="103"/>
      <c r="AA6722" s="103"/>
      <c r="AB6722" s="1"/>
    </row>
    <row r="6723" spans="15:30">
      <c r="O6723" s="1"/>
      <c r="P6723" s="1"/>
      <c r="Q6723" s="1"/>
      <c r="R6723" s="1"/>
      <c r="Z6723" s="103"/>
      <c r="AA6723" s="103"/>
      <c r="AB6723" s="1"/>
    </row>
    <row r="6724" spans="15:30">
      <c r="O6724" s="1"/>
      <c r="P6724" s="1"/>
      <c r="Q6724" s="1"/>
      <c r="R6724" s="1"/>
      <c r="Z6724" s="103"/>
      <c r="AA6724" s="103"/>
      <c r="AB6724" s="1"/>
    </row>
    <row r="6725" spans="15:30">
      <c r="O6725" s="1"/>
      <c r="P6725" s="1"/>
      <c r="Q6725" s="1"/>
      <c r="R6725" s="1"/>
      <c r="Z6725" s="103"/>
      <c r="AA6725" s="103"/>
      <c r="AB6725" s="1"/>
    </row>
    <row r="6726" spans="15:30">
      <c r="O6726" s="1"/>
      <c r="P6726" s="1"/>
      <c r="Q6726" s="1"/>
      <c r="R6726" s="1"/>
      <c r="Z6726" s="103"/>
      <c r="AA6726" s="103"/>
      <c r="AB6726" s="1"/>
    </row>
    <row r="6727" spans="15:30">
      <c r="O6727" s="1"/>
      <c r="P6727" s="1"/>
      <c r="Q6727" s="1"/>
      <c r="R6727" s="1"/>
      <c r="Z6727" s="103"/>
      <c r="AA6727" s="103"/>
      <c r="AB6727" s="1"/>
    </row>
    <row r="6728" spans="15:30">
      <c r="O6728" s="1"/>
      <c r="P6728" s="1"/>
      <c r="Q6728" s="1"/>
      <c r="R6728" s="1"/>
      <c r="Z6728" s="103"/>
      <c r="AA6728" s="103"/>
      <c r="AB6728" s="1"/>
    </row>
    <row r="6729" spans="15:30">
      <c r="O6729" s="1"/>
      <c r="P6729" s="1"/>
      <c r="Q6729" s="1"/>
      <c r="R6729" s="1"/>
      <c r="Z6729" s="103"/>
      <c r="AA6729" s="103"/>
      <c r="AB6729" s="1"/>
      <c r="AD6729" s="102"/>
    </row>
    <row r="6730" spans="15:30">
      <c r="O6730" s="1"/>
      <c r="P6730" s="1"/>
      <c r="Q6730" s="1"/>
      <c r="R6730" s="1"/>
      <c r="Z6730" s="103"/>
      <c r="AA6730" s="103"/>
      <c r="AB6730" s="1"/>
    </row>
    <row r="6731" spans="15:30">
      <c r="O6731" s="1"/>
      <c r="P6731" s="1"/>
      <c r="Q6731" s="1"/>
      <c r="R6731" s="1"/>
      <c r="Z6731" s="103"/>
      <c r="AA6731" s="103"/>
      <c r="AB6731" s="1"/>
    </row>
    <row r="6732" spans="15:30">
      <c r="O6732" s="1"/>
      <c r="P6732" s="1"/>
      <c r="Q6732" s="1"/>
      <c r="R6732" s="1"/>
      <c r="Z6732" s="103"/>
      <c r="AA6732" s="103"/>
      <c r="AB6732" s="1"/>
    </row>
    <row r="6733" spans="15:30">
      <c r="O6733" s="1"/>
      <c r="P6733" s="1"/>
      <c r="Q6733" s="1"/>
      <c r="R6733" s="1"/>
      <c r="Z6733" s="103"/>
      <c r="AA6733" s="103"/>
      <c r="AB6733" s="1"/>
    </row>
    <row r="6734" spans="15:30">
      <c r="O6734" s="1"/>
      <c r="P6734" s="1"/>
      <c r="Q6734" s="1"/>
      <c r="R6734" s="1"/>
      <c r="Z6734" s="103"/>
      <c r="AA6734" s="103"/>
      <c r="AB6734" s="1"/>
    </row>
    <row r="6735" spans="15:30">
      <c r="O6735" s="1"/>
      <c r="P6735" s="1"/>
      <c r="Q6735" s="1"/>
      <c r="R6735" s="1"/>
      <c r="Z6735" s="103"/>
      <c r="AA6735" s="103"/>
      <c r="AB6735" s="1"/>
    </row>
    <row r="6736" spans="15:30">
      <c r="O6736" s="1"/>
      <c r="P6736" s="1"/>
      <c r="Q6736" s="1"/>
      <c r="R6736" s="1"/>
      <c r="Z6736" s="103"/>
      <c r="AA6736" s="103"/>
      <c r="AB6736" s="1"/>
    </row>
    <row r="6737" spans="15:30">
      <c r="O6737" s="1"/>
      <c r="P6737" s="1"/>
      <c r="Q6737" s="1"/>
      <c r="R6737" s="1"/>
      <c r="Z6737" s="103"/>
      <c r="AA6737" s="103"/>
      <c r="AB6737" s="1"/>
    </row>
    <row r="6738" spans="15:30">
      <c r="O6738" s="1"/>
      <c r="P6738" s="1"/>
      <c r="Q6738" s="1"/>
      <c r="R6738" s="1"/>
      <c r="Z6738" s="103"/>
      <c r="AA6738" s="103"/>
      <c r="AB6738" s="1"/>
    </row>
    <row r="6739" spans="15:30">
      <c r="O6739" s="1"/>
      <c r="P6739" s="1"/>
      <c r="Q6739" s="1"/>
      <c r="R6739" s="1"/>
      <c r="Z6739" s="103"/>
      <c r="AA6739" s="103"/>
      <c r="AB6739" s="1"/>
    </row>
    <row r="6740" spans="15:30">
      <c r="O6740" s="1"/>
      <c r="P6740" s="1"/>
      <c r="Q6740" s="1"/>
      <c r="R6740" s="1"/>
      <c r="Z6740" s="103"/>
      <c r="AA6740" s="103"/>
      <c r="AB6740" s="1"/>
    </row>
    <row r="6741" spans="15:30">
      <c r="O6741" s="1"/>
      <c r="P6741" s="1"/>
      <c r="Q6741" s="1"/>
      <c r="R6741" s="1"/>
      <c r="Z6741" s="103"/>
      <c r="AA6741" s="103"/>
      <c r="AB6741" s="1"/>
    </row>
    <row r="6742" spans="15:30">
      <c r="O6742" s="1"/>
      <c r="P6742" s="1"/>
      <c r="Q6742" s="1"/>
      <c r="R6742" s="1"/>
      <c r="Z6742" s="103"/>
      <c r="AA6742" s="103"/>
      <c r="AB6742" s="1"/>
    </row>
    <row r="6743" spans="15:30">
      <c r="O6743" s="1"/>
      <c r="P6743" s="1"/>
      <c r="Q6743" s="1"/>
      <c r="R6743" s="1"/>
      <c r="Z6743" s="103"/>
      <c r="AA6743" s="103"/>
      <c r="AB6743" s="1"/>
    </row>
    <row r="6744" spans="15:30">
      <c r="O6744" s="1"/>
      <c r="P6744" s="1"/>
      <c r="Q6744" s="1"/>
      <c r="R6744" s="1"/>
      <c r="Z6744" s="103"/>
      <c r="AA6744" s="103"/>
      <c r="AB6744" s="1"/>
    </row>
    <row r="6745" spans="15:30">
      <c r="O6745" s="1"/>
      <c r="P6745" s="1"/>
      <c r="Q6745" s="1"/>
      <c r="R6745" s="1"/>
      <c r="Z6745" s="103"/>
      <c r="AA6745" s="103"/>
      <c r="AB6745" s="1"/>
      <c r="AD6745" s="102"/>
    </row>
    <row r="6746" spans="15:30">
      <c r="O6746" s="1"/>
      <c r="P6746" s="1"/>
      <c r="Q6746" s="1"/>
      <c r="R6746" s="1"/>
      <c r="Z6746" s="103"/>
      <c r="AA6746" s="103"/>
      <c r="AB6746" s="1"/>
    </row>
    <row r="6747" spans="15:30">
      <c r="O6747" s="1"/>
      <c r="P6747" s="1"/>
      <c r="Q6747" s="1"/>
      <c r="R6747" s="1"/>
      <c r="Z6747" s="103"/>
      <c r="AA6747" s="103"/>
      <c r="AB6747" s="1"/>
    </row>
    <row r="6748" spans="15:30">
      <c r="O6748" s="1"/>
      <c r="P6748" s="1"/>
      <c r="Q6748" s="1"/>
      <c r="R6748" s="1"/>
      <c r="Z6748" s="103"/>
      <c r="AA6748" s="103"/>
      <c r="AB6748" s="1"/>
    </row>
    <row r="6749" spans="15:30">
      <c r="O6749" s="1"/>
      <c r="P6749" s="1"/>
      <c r="Q6749" s="1"/>
      <c r="R6749" s="1"/>
      <c r="Z6749" s="103"/>
      <c r="AA6749" s="103"/>
      <c r="AB6749" s="1"/>
    </row>
    <row r="6750" spans="15:30">
      <c r="O6750" s="1"/>
      <c r="P6750" s="1"/>
      <c r="Q6750" s="1"/>
      <c r="R6750" s="1"/>
      <c r="Z6750" s="103"/>
      <c r="AA6750" s="103"/>
      <c r="AB6750" s="1"/>
    </row>
    <row r="6751" spans="15:30">
      <c r="O6751" s="1"/>
      <c r="P6751" s="1"/>
      <c r="Q6751" s="1"/>
      <c r="R6751" s="1"/>
      <c r="Z6751" s="103"/>
      <c r="AA6751" s="103"/>
      <c r="AB6751" s="1"/>
    </row>
    <row r="6752" spans="15:30">
      <c r="O6752" s="1"/>
      <c r="P6752" s="1"/>
      <c r="Q6752" s="1"/>
      <c r="R6752" s="1"/>
      <c r="Z6752" s="103"/>
      <c r="AA6752" s="103"/>
      <c r="AB6752" s="1"/>
    </row>
    <row r="6753" spans="15:28">
      <c r="O6753" s="1"/>
      <c r="P6753" s="1"/>
      <c r="Q6753" s="1"/>
      <c r="R6753" s="1"/>
      <c r="Z6753" s="103"/>
      <c r="AA6753" s="103"/>
      <c r="AB6753" s="1"/>
    </row>
    <row r="6754" spans="15:28">
      <c r="O6754" s="1"/>
      <c r="P6754" s="1"/>
      <c r="Q6754" s="1"/>
      <c r="R6754" s="1"/>
      <c r="Z6754" s="103"/>
      <c r="AA6754" s="103"/>
      <c r="AB6754" s="1"/>
    </row>
    <row r="6755" spans="15:28">
      <c r="O6755" s="1"/>
      <c r="P6755" s="1"/>
      <c r="Q6755" s="1"/>
      <c r="R6755" s="1"/>
      <c r="Z6755" s="103"/>
      <c r="AA6755" s="103"/>
      <c r="AB6755" s="1"/>
    </row>
    <row r="6756" spans="15:28">
      <c r="O6756" s="1"/>
      <c r="P6756" s="1"/>
      <c r="Q6756" s="1"/>
      <c r="R6756" s="1"/>
      <c r="Z6756" s="103"/>
      <c r="AA6756" s="103"/>
      <c r="AB6756" s="1"/>
    </row>
    <row r="6757" spans="15:28">
      <c r="O6757" s="1"/>
      <c r="P6757" s="1"/>
      <c r="Q6757" s="1"/>
      <c r="R6757" s="1"/>
      <c r="Z6757" s="103"/>
      <c r="AA6757" s="103"/>
      <c r="AB6757" s="1"/>
    </row>
    <row r="6758" spans="15:28">
      <c r="O6758" s="1"/>
      <c r="P6758" s="1"/>
      <c r="Q6758" s="1"/>
      <c r="R6758" s="1"/>
      <c r="Z6758" s="103"/>
      <c r="AA6758" s="103"/>
      <c r="AB6758" s="1"/>
    </row>
    <row r="6759" spans="15:28">
      <c r="O6759" s="1"/>
      <c r="P6759" s="1"/>
      <c r="Q6759" s="1"/>
      <c r="R6759" s="1"/>
      <c r="Z6759" s="103"/>
      <c r="AA6759" s="103"/>
      <c r="AB6759" s="1"/>
    </row>
    <row r="6760" spans="15:28">
      <c r="O6760" s="1"/>
      <c r="P6760" s="1"/>
      <c r="Q6760" s="1"/>
      <c r="R6760" s="1"/>
      <c r="Z6760" s="103"/>
      <c r="AA6760" s="103"/>
      <c r="AB6760" s="1"/>
    </row>
    <row r="6761" spans="15:28">
      <c r="O6761" s="1"/>
      <c r="P6761" s="1"/>
      <c r="Q6761" s="1"/>
      <c r="R6761" s="1"/>
      <c r="Z6761" s="103"/>
      <c r="AA6761" s="103"/>
      <c r="AB6761" s="1"/>
    </row>
    <row r="6762" spans="15:28">
      <c r="O6762" s="1"/>
      <c r="P6762" s="1"/>
      <c r="Q6762" s="1"/>
      <c r="R6762" s="1"/>
      <c r="Z6762" s="103"/>
      <c r="AA6762" s="103"/>
      <c r="AB6762" s="1"/>
    </row>
    <row r="6763" spans="15:28">
      <c r="O6763" s="1"/>
      <c r="P6763" s="1"/>
      <c r="Q6763" s="1"/>
      <c r="R6763" s="1"/>
      <c r="Z6763" s="103"/>
      <c r="AA6763" s="103"/>
      <c r="AB6763" s="1"/>
    </row>
    <row r="6764" spans="15:28">
      <c r="O6764" s="1"/>
      <c r="P6764" s="1"/>
      <c r="Q6764" s="1"/>
      <c r="R6764" s="1"/>
      <c r="Z6764" s="103"/>
      <c r="AA6764" s="103"/>
      <c r="AB6764" s="1"/>
    </row>
    <row r="6765" spans="15:28">
      <c r="O6765" s="1"/>
      <c r="P6765" s="1"/>
      <c r="Q6765" s="1"/>
      <c r="R6765" s="1"/>
      <c r="Z6765" s="103"/>
      <c r="AA6765" s="103"/>
      <c r="AB6765" s="1"/>
    </row>
    <row r="6766" spans="15:28">
      <c r="O6766" s="1"/>
      <c r="P6766" s="1"/>
      <c r="Q6766" s="1"/>
      <c r="R6766" s="1"/>
      <c r="Z6766" s="103"/>
      <c r="AA6766" s="103"/>
      <c r="AB6766" s="1"/>
    </row>
    <row r="6767" spans="15:28">
      <c r="O6767" s="1"/>
      <c r="P6767" s="1"/>
      <c r="Q6767" s="1"/>
      <c r="R6767" s="1"/>
      <c r="Z6767" s="103"/>
      <c r="AA6767" s="103"/>
      <c r="AB6767" s="1"/>
    </row>
    <row r="6768" spans="15:28">
      <c r="O6768" s="1"/>
      <c r="P6768" s="1"/>
      <c r="Q6768" s="1"/>
      <c r="R6768" s="1"/>
      <c r="Z6768" s="103"/>
      <c r="AA6768" s="103"/>
      <c r="AB6768" s="1"/>
    </row>
    <row r="6769" spans="15:30">
      <c r="O6769" s="1"/>
      <c r="P6769" s="1"/>
      <c r="Q6769" s="1"/>
      <c r="R6769" s="1"/>
      <c r="Z6769" s="103"/>
      <c r="AA6769" s="103"/>
      <c r="AB6769" s="1"/>
    </row>
    <row r="6770" spans="15:30">
      <c r="O6770" s="1"/>
      <c r="P6770" s="1"/>
      <c r="Q6770" s="1"/>
      <c r="R6770" s="1"/>
      <c r="Z6770" s="103"/>
      <c r="AA6770" s="103"/>
      <c r="AB6770" s="1"/>
    </row>
    <row r="6771" spans="15:30">
      <c r="O6771" s="1"/>
      <c r="P6771" s="1"/>
      <c r="Q6771" s="1"/>
      <c r="R6771" s="1"/>
      <c r="Z6771" s="103"/>
      <c r="AA6771" s="103"/>
      <c r="AB6771" s="1"/>
    </row>
    <row r="6772" spans="15:30">
      <c r="O6772" s="1"/>
      <c r="P6772" s="1"/>
      <c r="Q6772" s="1"/>
      <c r="R6772" s="1"/>
      <c r="Z6772" s="103"/>
      <c r="AA6772" s="103"/>
      <c r="AB6772" s="1"/>
    </row>
    <row r="6773" spans="15:30">
      <c r="O6773" s="1"/>
      <c r="P6773" s="1"/>
      <c r="Q6773" s="1"/>
      <c r="R6773" s="1"/>
      <c r="Z6773" s="103"/>
      <c r="AA6773" s="103"/>
      <c r="AB6773" s="1"/>
    </row>
    <row r="6774" spans="15:30">
      <c r="O6774" s="1"/>
      <c r="P6774" s="1"/>
      <c r="Q6774" s="1"/>
      <c r="R6774" s="1"/>
      <c r="Z6774" s="103"/>
      <c r="AA6774" s="103"/>
      <c r="AB6774" s="1"/>
    </row>
    <row r="6775" spans="15:30">
      <c r="O6775" s="1"/>
      <c r="P6775" s="1"/>
      <c r="Q6775" s="1"/>
      <c r="R6775" s="1"/>
      <c r="Z6775" s="103"/>
      <c r="AA6775" s="103"/>
      <c r="AB6775" s="1"/>
    </row>
    <row r="6776" spans="15:30">
      <c r="O6776" s="1"/>
      <c r="P6776" s="1"/>
      <c r="Q6776" s="1"/>
      <c r="R6776" s="1"/>
      <c r="Z6776" s="103"/>
      <c r="AA6776" s="103"/>
      <c r="AB6776" s="1"/>
    </row>
    <row r="6777" spans="15:30">
      <c r="O6777" s="1"/>
      <c r="P6777" s="1"/>
      <c r="Q6777" s="1"/>
      <c r="R6777" s="1"/>
      <c r="Z6777" s="103"/>
      <c r="AA6777" s="103"/>
      <c r="AB6777" s="1"/>
    </row>
    <row r="6778" spans="15:30">
      <c r="O6778" s="1"/>
      <c r="P6778" s="1"/>
      <c r="Q6778" s="1"/>
      <c r="R6778" s="1"/>
      <c r="Z6778" s="103"/>
      <c r="AA6778" s="103"/>
      <c r="AB6778" s="1"/>
    </row>
    <row r="6779" spans="15:30">
      <c r="O6779" s="1"/>
      <c r="P6779" s="1"/>
      <c r="Q6779" s="1"/>
      <c r="R6779" s="1"/>
      <c r="Z6779" s="103"/>
      <c r="AA6779" s="103"/>
      <c r="AB6779" s="1"/>
    </row>
    <row r="6780" spans="15:30">
      <c r="O6780" s="1"/>
      <c r="P6780" s="1"/>
      <c r="Q6780" s="1"/>
      <c r="R6780" s="1"/>
      <c r="Z6780" s="103"/>
      <c r="AA6780" s="103"/>
      <c r="AB6780" s="1"/>
    </row>
    <row r="6781" spans="15:30">
      <c r="O6781" s="1"/>
      <c r="P6781" s="1"/>
      <c r="Q6781" s="1"/>
      <c r="R6781" s="1"/>
      <c r="Z6781" s="103"/>
      <c r="AA6781" s="103"/>
      <c r="AB6781" s="1"/>
    </row>
    <row r="6782" spans="15:30">
      <c r="O6782" s="1"/>
      <c r="P6782" s="1"/>
      <c r="Q6782" s="1"/>
      <c r="R6782" s="1"/>
      <c r="Z6782" s="103"/>
      <c r="AA6782" s="103"/>
      <c r="AB6782" s="1"/>
      <c r="AD6782" s="102"/>
    </row>
    <row r="6783" spans="15:30">
      <c r="O6783" s="1"/>
      <c r="P6783" s="1"/>
      <c r="Q6783" s="1"/>
      <c r="R6783" s="1"/>
      <c r="Z6783" s="103"/>
      <c r="AA6783" s="103"/>
      <c r="AB6783" s="1"/>
    </row>
    <row r="6784" spans="15:30">
      <c r="O6784" s="1"/>
      <c r="P6784" s="1"/>
      <c r="Q6784" s="1"/>
      <c r="R6784" s="1"/>
      <c r="Z6784" s="103"/>
      <c r="AA6784" s="103"/>
      <c r="AB6784" s="1"/>
    </row>
    <row r="6785" spans="15:30">
      <c r="O6785" s="1"/>
      <c r="P6785" s="1"/>
      <c r="Q6785" s="1"/>
      <c r="R6785" s="1"/>
      <c r="Z6785" s="103"/>
      <c r="AA6785" s="103"/>
      <c r="AB6785" s="1"/>
    </row>
    <row r="6786" spans="15:30">
      <c r="O6786" s="1"/>
      <c r="P6786" s="1"/>
      <c r="Q6786" s="1"/>
      <c r="R6786" s="1"/>
      <c r="Z6786" s="103"/>
      <c r="AA6786" s="103"/>
      <c r="AB6786" s="1"/>
    </row>
    <row r="6787" spans="15:30">
      <c r="O6787" s="1"/>
      <c r="P6787" s="1"/>
      <c r="Q6787" s="1"/>
      <c r="R6787" s="1"/>
      <c r="Z6787" s="103"/>
      <c r="AA6787" s="103"/>
      <c r="AB6787" s="1"/>
    </row>
    <row r="6788" spans="15:30">
      <c r="O6788" s="1"/>
      <c r="P6788" s="1"/>
      <c r="Q6788" s="1"/>
      <c r="R6788" s="1"/>
      <c r="Z6788" s="103"/>
      <c r="AA6788" s="103"/>
      <c r="AB6788" s="1"/>
    </row>
    <row r="6789" spans="15:30">
      <c r="O6789" s="1"/>
      <c r="P6789" s="1"/>
      <c r="Q6789" s="1"/>
      <c r="R6789" s="1"/>
      <c r="Z6789" s="103"/>
      <c r="AA6789" s="103"/>
      <c r="AB6789" s="1"/>
    </row>
    <row r="6790" spans="15:30">
      <c r="O6790" s="1"/>
      <c r="P6790" s="1"/>
      <c r="Q6790" s="1"/>
      <c r="R6790" s="1"/>
      <c r="Z6790" s="103"/>
      <c r="AA6790" s="103"/>
      <c r="AB6790" s="1"/>
    </row>
    <row r="6791" spans="15:30">
      <c r="O6791" s="1"/>
      <c r="P6791" s="1"/>
      <c r="Q6791" s="1"/>
      <c r="R6791" s="1"/>
      <c r="Z6791" s="103"/>
      <c r="AA6791" s="103"/>
      <c r="AB6791" s="1"/>
    </row>
    <row r="6792" spans="15:30">
      <c r="O6792" s="1"/>
      <c r="P6792" s="1"/>
      <c r="Q6792" s="1"/>
      <c r="R6792" s="1"/>
      <c r="Z6792" s="103"/>
      <c r="AA6792" s="103"/>
      <c r="AB6792" s="1"/>
    </row>
    <row r="6793" spans="15:30">
      <c r="O6793" s="1"/>
      <c r="P6793" s="1"/>
      <c r="Q6793" s="1"/>
      <c r="R6793" s="1"/>
      <c r="Z6793" s="103"/>
      <c r="AA6793" s="103"/>
      <c r="AB6793" s="1"/>
    </row>
    <row r="6794" spans="15:30">
      <c r="O6794" s="1"/>
      <c r="P6794" s="1"/>
      <c r="Q6794" s="1"/>
      <c r="R6794" s="1"/>
      <c r="Z6794" s="103"/>
      <c r="AA6794" s="103"/>
      <c r="AB6794" s="1"/>
    </row>
    <row r="6795" spans="15:30">
      <c r="O6795" s="1"/>
      <c r="P6795" s="1"/>
      <c r="Q6795" s="1"/>
      <c r="R6795" s="1"/>
      <c r="Z6795" s="103"/>
      <c r="AA6795" s="103"/>
      <c r="AB6795" s="1"/>
    </row>
    <row r="6796" spans="15:30">
      <c r="O6796" s="1"/>
      <c r="P6796" s="1"/>
      <c r="Q6796" s="1"/>
      <c r="R6796" s="1"/>
      <c r="Z6796" s="103"/>
      <c r="AA6796" s="103"/>
      <c r="AB6796" s="1"/>
    </row>
    <row r="6797" spans="15:30">
      <c r="O6797" s="1"/>
      <c r="P6797" s="1"/>
      <c r="Q6797" s="1"/>
      <c r="R6797" s="1"/>
      <c r="Z6797" s="103"/>
      <c r="AA6797" s="103"/>
      <c r="AB6797" s="1"/>
    </row>
    <row r="6798" spans="15:30">
      <c r="O6798" s="1"/>
      <c r="P6798" s="1"/>
      <c r="Q6798" s="1"/>
      <c r="R6798" s="1"/>
      <c r="Z6798" s="103"/>
      <c r="AA6798" s="103"/>
      <c r="AB6798" s="1"/>
      <c r="AD6798" s="102"/>
    </row>
    <row r="6799" spans="15:30">
      <c r="O6799" s="1"/>
      <c r="P6799" s="1"/>
      <c r="Q6799" s="1"/>
      <c r="R6799" s="1"/>
      <c r="Z6799" s="103"/>
      <c r="AA6799" s="103"/>
      <c r="AB6799" s="1"/>
    </row>
    <row r="6800" spans="15:30">
      <c r="O6800" s="1"/>
      <c r="P6800" s="1"/>
      <c r="Q6800" s="1"/>
      <c r="R6800" s="1"/>
      <c r="Z6800" s="103"/>
      <c r="AA6800" s="103"/>
      <c r="AB6800" s="1"/>
      <c r="AD6800" s="102"/>
    </row>
    <row r="6801" spans="15:28">
      <c r="O6801" s="1"/>
      <c r="P6801" s="1"/>
      <c r="Q6801" s="1"/>
      <c r="R6801" s="1"/>
      <c r="Z6801" s="103"/>
      <c r="AA6801" s="103"/>
      <c r="AB6801" s="1"/>
    </row>
    <row r="6802" spans="15:28">
      <c r="O6802" s="1"/>
      <c r="P6802" s="1"/>
      <c r="Q6802" s="1"/>
      <c r="R6802" s="1"/>
      <c r="Z6802" s="103"/>
      <c r="AA6802" s="103"/>
      <c r="AB6802" s="1"/>
    </row>
    <row r="6803" spans="15:28">
      <c r="O6803" s="1"/>
      <c r="P6803" s="1"/>
      <c r="Q6803" s="1"/>
      <c r="R6803" s="1"/>
      <c r="Z6803" s="103"/>
      <c r="AA6803" s="103"/>
      <c r="AB6803" s="1"/>
    </row>
    <row r="6804" spans="15:28">
      <c r="O6804" s="1"/>
      <c r="P6804" s="1"/>
      <c r="Q6804" s="1"/>
      <c r="R6804" s="1"/>
      <c r="Z6804" s="103"/>
      <c r="AA6804" s="103"/>
      <c r="AB6804" s="1"/>
    </row>
    <row r="6805" spans="15:28">
      <c r="O6805" s="1"/>
      <c r="P6805" s="1"/>
      <c r="Q6805" s="1"/>
      <c r="R6805" s="1"/>
      <c r="Z6805" s="103"/>
      <c r="AA6805" s="103"/>
      <c r="AB6805" s="1"/>
    </row>
    <row r="6806" spans="15:28">
      <c r="O6806" s="1"/>
      <c r="P6806" s="1"/>
      <c r="Q6806" s="1"/>
      <c r="R6806" s="1"/>
      <c r="Z6806" s="103"/>
      <c r="AA6806" s="103"/>
      <c r="AB6806" s="1"/>
    </row>
    <row r="6807" spans="15:28">
      <c r="O6807" s="1"/>
      <c r="P6807" s="1"/>
      <c r="Q6807" s="1"/>
      <c r="R6807" s="1"/>
      <c r="Z6807" s="103"/>
      <c r="AA6807" s="103"/>
      <c r="AB6807" s="1"/>
    </row>
    <row r="6808" spans="15:28">
      <c r="O6808" s="1"/>
      <c r="P6808" s="1"/>
      <c r="Q6808" s="1"/>
      <c r="R6808" s="1"/>
      <c r="Z6808" s="103"/>
      <c r="AA6808" s="103"/>
      <c r="AB6808" s="1"/>
    </row>
    <row r="6809" spans="15:28">
      <c r="O6809" s="1"/>
      <c r="P6809" s="1"/>
      <c r="Q6809" s="1"/>
      <c r="R6809" s="1"/>
      <c r="Z6809" s="103"/>
      <c r="AA6809" s="103"/>
      <c r="AB6809" s="1"/>
    </row>
    <row r="6810" spans="15:28">
      <c r="O6810" s="1"/>
      <c r="P6810" s="1"/>
      <c r="Q6810" s="1"/>
      <c r="R6810" s="1"/>
      <c r="Z6810" s="103"/>
      <c r="AA6810" s="103"/>
      <c r="AB6810" s="1"/>
    </row>
    <row r="6811" spans="15:28">
      <c r="O6811" s="1"/>
      <c r="P6811" s="1"/>
      <c r="Q6811" s="1"/>
      <c r="R6811" s="1"/>
      <c r="Z6811" s="103"/>
      <c r="AA6811" s="103"/>
      <c r="AB6811" s="1"/>
    </row>
    <row r="6812" spans="15:28">
      <c r="O6812" s="1"/>
      <c r="P6812" s="1"/>
      <c r="Q6812" s="1"/>
      <c r="R6812" s="1"/>
      <c r="Z6812" s="103"/>
      <c r="AA6812" s="103"/>
      <c r="AB6812" s="1"/>
    </row>
    <row r="6813" spans="15:28">
      <c r="O6813" s="1"/>
      <c r="P6813" s="1"/>
      <c r="Q6813" s="1"/>
      <c r="R6813" s="1"/>
      <c r="Z6813" s="103"/>
      <c r="AA6813" s="103"/>
      <c r="AB6813" s="1"/>
    </row>
    <row r="6814" spans="15:28">
      <c r="O6814" s="1"/>
      <c r="P6814" s="1"/>
      <c r="Q6814" s="1"/>
      <c r="R6814" s="1"/>
      <c r="Z6814" s="103"/>
      <c r="AA6814" s="103"/>
      <c r="AB6814" s="1"/>
    </row>
    <row r="6815" spans="15:28">
      <c r="O6815" s="1"/>
      <c r="P6815" s="1"/>
      <c r="Q6815" s="1"/>
      <c r="R6815" s="1"/>
      <c r="Z6815" s="103"/>
      <c r="AA6815" s="103"/>
      <c r="AB6815" s="1"/>
    </row>
    <row r="6816" spans="15:28">
      <c r="O6816" s="1"/>
      <c r="P6816" s="1"/>
      <c r="Q6816" s="1"/>
      <c r="R6816" s="1"/>
      <c r="Z6816" s="103"/>
      <c r="AA6816" s="103"/>
      <c r="AB6816" s="1"/>
    </row>
    <row r="6817" spans="15:30">
      <c r="O6817" s="1"/>
      <c r="P6817" s="1"/>
      <c r="Q6817" s="1"/>
      <c r="R6817" s="1"/>
      <c r="Z6817" s="103"/>
      <c r="AA6817" s="103"/>
      <c r="AB6817" s="1"/>
    </row>
    <row r="6818" spans="15:30">
      <c r="O6818" s="1"/>
      <c r="P6818" s="1"/>
      <c r="Q6818" s="1"/>
      <c r="R6818" s="1"/>
      <c r="Z6818" s="103"/>
      <c r="AA6818" s="103"/>
      <c r="AB6818" s="1"/>
    </row>
    <row r="6819" spans="15:30">
      <c r="O6819" s="1"/>
      <c r="P6819" s="1"/>
      <c r="Q6819" s="1"/>
      <c r="R6819" s="1"/>
      <c r="Z6819" s="103"/>
      <c r="AA6819" s="103"/>
      <c r="AB6819" s="1"/>
    </row>
    <row r="6820" spans="15:30">
      <c r="O6820" s="1"/>
      <c r="P6820" s="1"/>
      <c r="Q6820" s="1"/>
      <c r="R6820" s="1"/>
      <c r="Z6820" s="103"/>
      <c r="AA6820" s="103"/>
      <c r="AB6820" s="1"/>
    </row>
    <row r="6821" spans="15:30">
      <c r="O6821" s="1"/>
      <c r="P6821" s="1"/>
      <c r="Q6821" s="1"/>
      <c r="R6821" s="1"/>
      <c r="Z6821" s="103"/>
      <c r="AA6821" s="103"/>
      <c r="AB6821" s="1"/>
    </row>
    <row r="6822" spans="15:30">
      <c r="O6822" s="1"/>
      <c r="P6822" s="1"/>
      <c r="Q6822" s="1"/>
      <c r="R6822" s="1"/>
      <c r="Z6822" s="103"/>
      <c r="AA6822" s="103"/>
      <c r="AB6822" s="1"/>
    </row>
    <row r="6823" spans="15:30">
      <c r="O6823" s="1"/>
      <c r="P6823" s="1"/>
      <c r="Q6823" s="1"/>
      <c r="R6823" s="1"/>
      <c r="Z6823" s="103"/>
      <c r="AA6823" s="103"/>
      <c r="AB6823" s="1"/>
      <c r="AD6823" s="102"/>
    </row>
    <row r="6824" spans="15:30">
      <c r="O6824" s="1"/>
      <c r="P6824" s="1"/>
      <c r="Q6824" s="1"/>
      <c r="R6824" s="1"/>
      <c r="Z6824" s="103"/>
      <c r="AA6824" s="103"/>
      <c r="AB6824" s="1"/>
    </row>
    <row r="6825" spans="15:30">
      <c r="O6825" s="1"/>
      <c r="P6825" s="1"/>
      <c r="Q6825" s="1"/>
      <c r="R6825" s="1"/>
      <c r="Z6825" s="103"/>
      <c r="AA6825" s="103"/>
      <c r="AB6825" s="1"/>
    </row>
    <row r="6826" spans="15:30">
      <c r="O6826" s="1"/>
      <c r="P6826" s="1"/>
      <c r="Q6826" s="1"/>
      <c r="R6826" s="1"/>
      <c r="Z6826" s="103"/>
      <c r="AA6826" s="103"/>
      <c r="AB6826" s="1"/>
    </row>
    <row r="6827" spans="15:30">
      <c r="O6827" s="1"/>
      <c r="P6827" s="1"/>
      <c r="Q6827" s="1"/>
      <c r="R6827" s="1"/>
      <c r="Z6827" s="103"/>
      <c r="AA6827" s="103"/>
      <c r="AB6827" s="1"/>
    </row>
    <row r="6828" spans="15:30">
      <c r="O6828" s="1"/>
      <c r="P6828" s="1"/>
      <c r="Q6828" s="1"/>
      <c r="R6828" s="1"/>
      <c r="Z6828" s="103"/>
      <c r="AA6828" s="103"/>
      <c r="AB6828" s="1"/>
    </row>
    <row r="6829" spans="15:30">
      <c r="O6829" s="1"/>
      <c r="P6829" s="1"/>
      <c r="Q6829" s="1"/>
      <c r="R6829" s="1"/>
      <c r="Z6829" s="103"/>
      <c r="AA6829" s="103"/>
      <c r="AB6829" s="1"/>
    </row>
    <row r="6830" spans="15:30">
      <c r="O6830" s="1"/>
      <c r="P6830" s="1"/>
      <c r="Q6830" s="1"/>
      <c r="R6830" s="1"/>
      <c r="Z6830" s="103"/>
      <c r="AA6830" s="103"/>
      <c r="AB6830" s="1"/>
    </row>
    <row r="6831" spans="15:30">
      <c r="O6831" s="1"/>
      <c r="P6831" s="1"/>
      <c r="Q6831" s="1"/>
      <c r="R6831" s="1"/>
      <c r="Z6831" s="103"/>
      <c r="AA6831" s="103"/>
      <c r="AB6831" s="1"/>
    </row>
    <row r="6832" spans="15:30">
      <c r="O6832" s="1"/>
      <c r="P6832" s="1"/>
      <c r="Q6832" s="1"/>
      <c r="R6832" s="1"/>
      <c r="Z6832" s="103"/>
      <c r="AA6832" s="103"/>
      <c r="AB6832" s="1"/>
    </row>
    <row r="6833" spans="15:28">
      <c r="O6833" s="1"/>
      <c r="P6833" s="1"/>
      <c r="Q6833" s="1"/>
      <c r="R6833" s="1"/>
      <c r="Z6833" s="103"/>
      <c r="AA6833" s="103"/>
      <c r="AB6833" s="1"/>
    </row>
    <row r="6834" spans="15:28">
      <c r="O6834" s="1"/>
      <c r="P6834" s="1"/>
      <c r="Q6834" s="1"/>
      <c r="R6834" s="1"/>
      <c r="Z6834" s="103"/>
      <c r="AA6834" s="103"/>
      <c r="AB6834" s="1"/>
    </row>
    <row r="6835" spans="15:28">
      <c r="O6835" s="1"/>
      <c r="P6835" s="1"/>
      <c r="Q6835" s="1"/>
      <c r="R6835" s="1"/>
      <c r="Z6835" s="103"/>
      <c r="AA6835" s="103"/>
      <c r="AB6835" s="1"/>
    </row>
    <row r="6836" spans="15:28">
      <c r="O6836" s="1"/>
      <c r="P6836" s="1"/>
      <c r="Q6836" s="1"/>
      <c r="R6836" s="1"/>
      <c r="Z6836" s="103"/>
      <c r="AA6836" s="103"/>
      <c r="AB6836" s="1"/>
    </row>
    <row r="6837" spans="15:28">
      <c r="O6837" s="1"/>
      <c r="P6837" s="1"/>
      <c r="Q6837" s="1"/>
      <c r="R6837" s="1"/>
      <c r="Z6837" s="103"/>
      <c r="AA6837" s="103"/>
      <c r="AB6837" s="1"/>
    </row>
    <row r="6838" spans="15:28">
      <c r="O6838" s="1"/>
      <c r="P6838" s="1"/>
      <c r="Q6838" s="1"/>
      <c r="R6838" s="1"/>
      <c r="Z6838" s="103"/>
      <c r="AA6838" s="103"/>
      <c r="AB6838" s="1"/>
    </row>
    <row r="6839" spans="15:28">
      <c r="O6839" s="1"/>
      <c r="P6839" s="1"/>
      <c r="Q6839" s="1"/>
      <c r="R6839" s="1"/>
      <c r="Z6839" s="103"/>
      <c r="AA6839" s="103"/>
      <c r="AB6839" s="1"/>
    </row>
    <row r="6840" spans="15:28">
      <c r="O6840" s="1"/>
      <c r="P6840" s="1"/>
      <c r="Q6840" s="1"/>
      <c r="R6840" s="1"/>
      <c r="Z6840" s="103"/>
      <c r="AA6840" s="103"/>
      <c r="AB6840" s="1"/>
    </row>
    <row r="6841" spans="15:28">
      <c r="O6841" s="1"/>
      <c r="P6841" s="1"/>
      <c r="Q6841" s="1"/>
      <c r="R6841" s="1"/>
      <c r="Z6841" s="103"/>
      <c r="AA6841" s="103"/>
      <c r="AB6841" s="1"/>
    </row>
    <row r="6842" spans="15:28">
      <c r="O6842" s="1"/>
      <c r="P6842" s="1"/>
      <c r="Q6842" s="1"/>
      <c r="R6842" s="1"/>
      <c r="Z6842" s="103"/>
      <c r="AA6842" s="103"/>
      <c r="AB6842" s="1"/>
    </row>
    <row r="6843" spans="15:28">
      <c r="O6843" s="1"/>
      <c r="P6843" s="1"/>
      <c r="Q6843" s="1"/>
      <c r="R6843" s="1"/>
      <c r="Z6843" s="103"/>
      <c r="AA6843" s="103"/>
      <c r="AB6843" s="1"/>
    </row>
    <row r="6844" spans="15:28">
      <c r="O6844" s="1"/>
      <c r="P6844" s="1"/>
      <c r="Q6844" s="1"/>
      <c r="R6844" s="1"/>
      <c r="Z6844" s="103"/>
      <c r="AA6844" s="103"/>
      <c r="AB6844" s="1"/>
    </row>
    <row r="6845" spans="15:28">
      <c r="O6845" s="1"/>
      <c r="P6845" s="1"/>
      <c r="Q6845" s="1"/>
      <c r="R6845" s="1"/>
      <c r="Z6845" s="103"/>
      <c r="AA6845" s="103"/>
      <c r="AB6845" s="1"/>
    </row>
    <row r="6846" spans="15:28">
      <c r="O6846" s="1"/>
      <c r="P6846" s="1"/>
      <c r="Q6846" s="1"/>
      <c r="R6846" s="1"/>
      <c r="Z6846" s="103"/>
      <c r="AA6846" s="103"/>
      <c r="AB6846" s="1"/>
    </row>
    <row r="6847" spans="15:28">
      <c r="O6847" s="1"/>
      <c r="P6847" s="1"/>
      <c r="Q6847" s="1"/>
      <c r="R6847" s="1"/>
      <c r="Z6847" s="103"/>
      <c r="AA6847" s="103"/>
      <c r="AB6847" s="1"/>
    </row>
    <row r="6848" spans="15:28">
      <c r="O6848" s="1"/>
      <c r="P6848" s="1"/>
      <c r="Q6848" s="1"/>
      <c r="R6848" s="1"/>
      <c r="Z6848" s="103"/>
      <c r="AA6848" s="103"/>
      <c r="AB6848" s="1"/>
    </row>
    <row r="6849" spans="15:28">
      <c r="O6849" s="1"/>
      <c r="P6849" s="1"/>
      <c r="Q6849" s="1"/>
      <c r="R6849" s="1"/>
      <c r="Z6849" s="103"/>
      <c r="AA6849" s="103"/>
      <c r="AB6849" s="1"/>
    </row>
    <row r="6850" spans="15:28">
      <c r="O6850" s="1"/>
      <c r="P6850" s="1"/>
      <c r="Q6850" s="1"/>
      <c r="R6850" s="1"/>
      <c r="Z6850" s="103"/>
      <c r="AA6850" s="103"/>
      <c r="AB6850" s="1"/>
    </row>
    <row r="6851" spans="15:28">
      <c r="O6851" s="1"/>
      <c r="P6851" s="1"/>
      <c r="Q6851" s="1"/>
      <c r="R6851" s="1"/>
      <c r="Z6851" s="103"/>
      <c r="AA6851" s="103"/>
      <c r="AB6851" s="1"/>
    </row>
    <row r="6852" spans="15:28">
      <c r="O6852" s="1"/>
      <c r="P6852" s="1"/>
      <c r="Q6852" s="1"/>
      <c r="R6852" s="1"/>
      <c r="Z6852" s="103"/>
      <c r="AA6852" s="103"/>
      <c r="AB6852" s="1"/>
    </row>
    <row r="6853" spans="15:28">
      <c r="O6853" s="1"/>
      <c r="P6853" s="1"/>
      <c r="Q6853" s="1"/>
      <c r="R6853" s="1"/>
      <c r="Z6853" s="103"/>
      <c r="AA6853" s="103"/>
      <c r="AB6853" s="1"/>
    </row>
    <row r="6854" spans="15:28">
      <c r="O6854" s="1"/>
      <c r="P6854" s="1"/>
      <c r="Q6854" s="1"/>
      <c r="R6854" s="1"/>
      <c r="Z6854" s="103"/>
      <c r="AA6854" s="103"/>
      <c r="AB6854" s="1"/>
    </row>
    <row r="6855" spans="15:28">
      <c r="O6855" s="1"/>
      <c r="P6855" s="1"/>
      <c r="Q6855" s="1"/>
      <c r="R6855" s="1"/>
      <c r="Z6855" s="103"/>
      <c r="AA6855" s="103"/>
      <c r="AB6855" s="1"/>
    </row>
    <row r="6856" spans="15:28">
      <c r="O6856" s="1"/>
      <c r="P6856" s="1"/>
      <c r="Q6856" s="1"/>
      <c r="R6856" s="1"/>
      <c r="Z6856" s="103"/>
      <c r="AA6856" s="103"/>
      <c r="AB6856" s="1"/>
    </row>
    <row r="6857" spans="15:28">
      <c r="O6857" s="1"/>
      <c r="P6857" s="1"/>
      <c r="Q6857" s="1"/>
      <c r="R6857" s="1"/>
      <c r="Z6857" s="103"/>
      <c r="AA6857" s="103"/>
      <c r="AB6857" s="1"/>
    </row>
    <row r="6858" spans="15:28">
      <c r="O6858" s="1"/>
      <c r="P6858" s="1"/>
      <c r="Q6858" s="1"/>
      <c r="R6858" s="1"/>
      <c r="Z6858" s="103"/>
      <c r="AA6858" s="103"/>
      <c r="AB6858" s="1"/>
    </row>
    <row r="6859" spans="15:28">
      <c r="O6859" s="1"/>
      <c r="P6859" s="1"/>
      <c r="Q6859" s="1"/>
      <c r="R6859" s="1"/>
      <c r="Z6859" s="103"/>
      <c r="AA6859" s="103"/>
      <c r="AB6859" s="1"/>
    </row>
    <row r="6860" spans="15:28">
      <c r="O6860" s="1"/>
      <c r="P6860" s="1"/>
      <c r="Q6860" s="1"/>
      <c r="R6860" s="1"/>
      <c r="Z6860" s="103"/>
      <c r="AA6860" s="103"/>
      <c r="AB6860" s="1"/>
    </row>
    <row r="6861" spans="15:28">
      <c r="O6861" s="1"/>
      <c r="P6861" s="1"/>
      <c r="Q6861" s="1"/>
      <c r="R6861" s="1"/>
      <c r="Z6861" s="103"/>
      <c r="AA6861" s="103"/>
      <c r="AB6861" s="1"/>
    </row>
    <row r="6862" spans="15:28">
      <c r="O6862" s="1"/>
      <c r="P6862" s="1"/>
      <c r="Q6862" s="1"/>
      <c r="R6862" s="1"/>
      <c r="Z6862" s="103"/>
      <c r="AA6862" s="103"/>
      <c r="AB6862" s="1"/>
    </row>
    <row r="6863" spans="15:28">
      <c r="O6863" s="1"/>
      <c r="P6863" s="1"/>
      <c r="Q6863" s="1"/>
      <c r="R6863" s="1"/>
      <c r="Z6863" s="103"/>
      <c r="AA6863" s="103"/>
      <c r="AB6863" s="1"/>
    </row>
    <row r="6864" spans="15:28">
      <c r="O6864" s="1"/>
      <c r="P6864" s="1"/>
      <c r="Q6864" s="1"/>
      <c r="R6864" s="1"/>
      <c r="Z6864" s="103"/>
      <c r="AA6864" s="103"/>
      <c r="AB6864" s="1"/>
    </row>
    <row r="6865" spans="15:28">
      <c r="O6865" s="1"/>
      <c r="P6865" s="1"/>
      <c r="Q6865" s="1"/>
      <c r="R6865" s="1"/>
      <c r="Z6865" s="103"/>
      <c r="AA6865" s="103"/>
      <c r="AB6865" s="1"/>
    </row>
    <row r="6866" spans="15:28">
      <c r="O6866" s="1"/>
      <c r="P6866" s="1"/>
      <c r="Q6866" s="1"/>
      <c r="R6866" s="1"/>
      <c r="Z6866" s="103"/>
      <c r="AA6866" s="103"/>
      <c r="AB6866" s="1"/>
    </row>
    <row r="6867" spans="15:28">
      <c r="O6867" s="1"/>
      <c r="P6867" s="1"/>
      <c r="Q6867" s="1"/>
      <c r="R6867" s="1"/>
      <c r="Z6867" s="103"/>
      <c r="AA6867" s="103"/>
      <c r="AB6867" s="1"/>
    </row>
    <row r="6868" spans="15:28">
      <c r="O6868" s="1"/>
      <c r="P6868" s="1"/>
      <c r="Q6868" s="1"/>
      <c r="R6868" s="1"/>
      <c r="Z6868" s="103"/>
      <c r="AA6868" s="103"/>
      <c r="AB6868" s="1"/>
    </row>
    <row r="6869" spans="15:28">
      <c r="O6869" s="1"/>
      <c r="P6869" s="1"/>
      <c r="Q6869" s="1"/>
      <c r="R6869" s="1"/>
      <c r="Z6869" s="103"/>
      <c r="AA6869" s="103"/>
      <c r="AB6869" s="1"/>
    </row>
    <row r="6870" spans="15:28">
      <c r="O6870" s="1"/>
      <c r="P6870" s="1"/>
      <c r="Q6870" s="1"/>
      <c r="R6870" s="1"/>
      <c r="Z6870" s="103"/>
      <c r="AA6870" s="103"/>
      <c r="AB6870" s="1"/>
    </row>
    <row r="6871" spans="15:28">
      <c r="O6871" s="1"/>
      <c r="P6871" s="1"/>
      <c r="Q6871" s="1"/>
      <c r="R6871" s="1"/>
      <c r="Z6871" s="103"/>
      <c r="AA6871" s="103"/>
      <c r="AB6871" s="1"/>
    </row>
    <row r="6872" spans="15:28">
      <c r="O6872" s="1"/>
      <c r="P6872" s="1"/>
      <c r="Q6872" s="1"/>
      <c r="R6872" s="1"/>
      <c r="Z6872" s="103"/>
      <c r="AA6872" s="103"/>
      <c r="AB6872" s="1"/>
    </row>
    <row r="6873" spans="15:28">
      <c r="O6873" s="1"/>
      <c r="P6873" s="1"/>
      <c r="Q6873" s="1"/>
      <c r="R6873" s="1"/>
      <c r="Z6873" s="103"/>
      <c r="AA6873" s="103"/>
      <c r="AB6873" s="1"/>
    </row>
    <row r="6874" spans="15:28">
      <c r="O6874" s="1"/>
      <c r="P6874" s="1"/>
      <c r="Q6874" s="1"/>
      <c r="R6874" s="1"/>
      <c r="Z6874" s="103"/>
      <c r="AA6874" s="103"/>
      <c r="AB6874" s="1"/>
    </row>
    <row r="6875" spans="15:28">
      <c r="O6875" s="1"/>
      <c r="P6875" s="1"/>
      <c r="Q6875" s="1"/>
      <c r="R6875" s="1"/>
      <c r="Z6875" s="103"/>
      <c r="AA6875" s="103"/>
      <c r="AB6875" s="1"/>
    </row>
    <row r="6876" spans="15:28">
      <c r="O6876" s="1"/>
      <c r="P6876" s="1"/>
      <c r="Q6876" s="1"/>
      <c r="R6876" s="1"/>
      <c r="Z6876" s="103"/>
      <c r="AA6876" s="103"/>
      <c r="AB6876" s="1"/>
    </row>
    <row r="6877" spans="15:28">
      <c r="O6877" s="1"/>
      <c r="P6877" s="1"/>
      <c r="Q6877" s="1"/>
      <c r="R6877" s="1"/>
      <c r="Z6877" s="103"/>
      <c r="AA6877" s="103"/>
      <c r="AB6877" s="1"/>
    </row>
    <row r="6878" spans="15:28">
      <c r="O6878" s="1"/>
      <c r="P6878" s="1"/>
      <c r="Q6878" s="1"/>
      <c r="R6878" s="1"/>
      <c r="Z6878" s="103"/>
      <c r="AA6878" s="103"/>
      <c r="AB6878" s="1"/>
    </row>
    <row r="6879" spans="15:28">
      <c r="O6879" s="1"/>
      <c r="P6879" s="1"/>
      <c r="Q6879" s="1"/>
      <c r="R6879" s="1"/>
      <c r="Z6879" s="103"/>
      <c r="AA6879" s="103"/>
      <c r="AB6879" s="1"/>
    </row>
    <row r="6880" spans="15:28">
      <c r="O6880" s="1"/>
      <c r="P6880" s="1"/>
      <c r="Q6880" s="1"/>
      <c r="R6880" s="1"/>
      <c r="Z6880" s="103"/>
      <c r="AA6880" s="103"/>
      <c r="AB6880" s="1"/>
    </row>
    <row r="6881" spans="15:28">
      <c r="O6881" s="1"/>
      <c r="P6881" s="1"/>
      <c r="Q6881" s="1"/>
      <c r="R6881" s="1"/>
      <c r="Z6881" s="103"/>
      <c r="AA6881" s="103"/>
      <c r="AB6881" s="1"/>
    </row>
    <row r="6882" spans="15:28">
      <c r="O6882" s="1"/>
      <c r="P6882" s="1"/>
      <c r="Q6882" s="1"/>
      <c r="R6882" s="1"/>
      <c r="Z6882" s="103"/>
      <c r="AA6882" s="103"/>
      <c r="AB6882" s="1"/>
    </row>
    <row r="6883" spans="15:28">
      <c r="O6883" s="1"/>
      <c r="P6883" s="1"/>
      <c r="Q6883" s="1"/>
      <c r="R6883" s="1"/>
      <c r="Z6883" s="103"/>
      <c r="AA6883" s="103"/>
      <c r="AB6883" s="1"/>
    </row>
    <row r="6884" spans="15:28">
      <c r="O6884" s="1"/>
      <c r="P6884" s="1"/>
      <c r="Q6884" s="1"/>
      <c r="R6884" s="1"/>
      <c r="Z6884" s="103"/>
      <c r="AA6884" s="103"/>
      <c r="AB6884" s="1"/>
    </row>
    <row r="6885" spans="15:28">
      <c r="O6885" s="1"/>
      <c r="P6885" s="1"/>
      <c r="Q6885" s="1"/>
      <c r="R6885" s="1"/>
      <c r="Z6885" s="103"/>
      <c r="AA6885" s="103"/>
      <c r="AB6885" s="1"/>
    </row>
    <row r="6886" spans="15:28">
      <c r="O6886" s="1"/>
      <c r="P6886" s="1"/>
      <c r="Q6886" s="1"/>
      <c r="R6886" s="1"/>
      <c r="Z6886" s="103"/>
      <c r="AA6886" s="103"/>
      <c r="AB6886" s="1"/>
    </row>
    <row r="6887" spans="15:28">
      <c r="O6887" s="1"/>
      <c r="P6887" s="1"/>
      <c r="Q6887" s="1"/>
      <c r="R6887" s="1"/>
      <c r="Z6887" s="103"/>
      <c r="AA6887" s="103"/>
      <c r="AB6887" s="1"/>
    </row>
    <row r="6888" spans="15:28">
      <c r="O6888" s="1"/>
      <c r="P6888" s="1"/>
      <c r="Q6888" s="1"/>
      <c r="R6888" s="1"/>
      <c r="Z6888" s="103"/>
      <c r="AA6888" s="103"/>
      <c r="AB6888" s="1"/>
    </row>
    <row r="6889" spans="15:28">
      <c r="O6889" s="1"/>
      <c r="P6889" s="1"/>
      <c r="Q6889" s="1"/>
      <c r="R6889" s="1"/>
      <c r="Z6889" s="103"/>
      <c r="AA6889" s="103"/>
      <c r="AB6889" s="1"/>
    </row>
    <row r="6890" spans="15:28">
      <c r="O6890" s="1"/>
      <c r="P6890" s="1"/>
      <c r="Q6890" s="1"/>
      <c r="R6890" s="1"/>
      <c r="Z6890" s="103"/>
      <c r="AA6890" s="103"/>
      <c r="AB6890" s="1"/>
    </row>
    <row r="6891" spans="15:28">
      <c r="O6891" s="1"/>
      <c r="P6891" s="1"/>
      <c r="Q6891" s="1"/>
      <c r="R6891" s="1"/>
      <c r="Z6891" s="103"/>
      <c r="AA6891" s="103"/>
      <c r="AB6891" s="1"/>
    </row>
    <row r="6892" spans="15:28">
      <c r="O6892" s="1"/>
      <c r="P6892" s="1"/>
      <c r="Q6892" s="1"/>
      <c r="R6892" s="1"/>
      <c r="Z6892" s="103"/>
      <c r="AA6892" s="103"/>
      <c r="AB6892" s="1"/>
    </row>
    <row r="6893" spans="15:28">
      <c r="O6893" s="1"/>
      <c r="P6893" s="1"/>
      <c r="Q6893" s="1"/>
      <c r="R6893" s="1"/>
      <c r="Z6893" s="103"/>
      <c r="AA6893" s="103"/>
      <c r="AB6893" s="1"/>
    </row>
    <row r="6894" spans="15:28">
      <c r="O6894" s="1"/>
      <c r="P6894" s="1"/>
      <c r="Q6894" s="1"/>
      <c r="R6894" s="1"/>
      <c r="Z6894" s="103"/>
      <c r="AA6894" s="103"/>
      <c r="AB6894" s="1"/>
    </row>
    <row r="6895" spans="15:28">
      <c r="O6895" s="1"/>
      <c r="P6895" s="1"/>
      <c r="Q6895" s="1"/>
      <c r="R6895" s="1"/>
      <c r="Z6895" s="103"/>
      <c r="AA6895" s="103"/>
      <c r="AB6895" s="1"/>
    </row>
    <row r="6896" spans="15:28">
      <c r="O6896" s="1"/>
      <c r="P6896" s="1"/>
      <c r="Q6896" s="1"/>
      <c r="R6896" s="1"/>
      <c r="Z6896" s="103"/>
      <c r="AA6896" s="103"/>
      <c r="AB6896" s="1"/>
    </row>
    <row r="6897" spans="15:28">
      <c r="O6897" s="1"/>
      <c r="P6897" s="1"/>
      <c r="Q6897" s="1"/>
      <c r="R6897" s="1"/>
      <c r="Z6897" s="103"/>
      <c r="AA6897" s="103"/>
      <c r="AB6897" s="1"/>
    </row>
    <row r="6898" spans="15:28">
      <c r="O6898" s="1"/>
      <c r="P6898" s="1"/>
      <c r="Q6898" s="1"/>
      <c r="R6898" s="1"/>
      <c r="Z6898" s="103"/>
      <c r="AA6898" s="103"/>
      <c r="AB6898" s="1"/>
    </row>
    <row r="6899" spans="15:28">
      <c r="O6899" s="1"/>
      <c r="P6899" s="1"/>
      <c r="Q6899" s="1"/>
      <c r="R6899" s="1"/>
      <c r="Z6899" s="103"/>
      <c r="AA6899" s="103"/>
      <c r="AB6899" s="1"/>
    </row>
    <row r="6900" spans="15:28">
      <c r="O6900" s="1"/>
      <c r="P6900" s="1"/>
      <c r="Q6900" s="1"/>
      <c r="R6900" s="1"/>
      <c r="Z6900" s="103"/>
      <c r="AA6900" s="103"/>
      <c r="AB6900" s="1"/>
    </row>
    <row r="6901" spans="15:28">
      <c r="O6901" s="1"/>
      <c r="P6901" s="1"/>
      <c r="Q6901" s="1"/>
      <c r="R6901" s="1"/>
      <c r="Z6901" s="103"/>
      <c r="AA6901" s="103"/>
      <c r="AB6901" s="1"/>
    </row>
    <row r="6902" spans="15:28">
      <c r="O6902" s="1"/>
      <c r="P6902" s="1"/>
      <c r="Q6902" s="1"/>
      <c r="R6902" s="1"/>
      <c r="Z6902" s="103"/>
      <c r="AA6902" s="103"/>
      <c r="AB6902" s="1"/>
    </row>
    <row r="6903" spans="15:28">
      <c r="O6903" s="1"/>
      <c r="P6903" s="1"/>
      <c r="Q6903" s="1"/>
      <c r="R6903" s="1"/>
      <c r="Z6903" s="103"/>
      <c r="AA6903" s="103"/>
      <c r="AB6903" s="1"/>
    </row>
    <row r="6904" spans="15:28">
      <c r="O6904" s="1"/>
      <c r="P6904" s="1"/>
      <c r="Q6904" s="1"/>
      <c r="R6904" s="1"/>
      <c r="Z6904" s="103"/>
      <c r="AA6904" s="103"/>
      <c r="AB6904" s="1"/>
    </row>
    <row r="6905" spans="15:28">
      <c r="O6905" s="1"/>
      <c r="P6905" s="1"/>
      <c r="Q6905" s="1"/>
      <c r="R6905" s="1"/>
      <c r="Z6905" s="103"/>
      <c r="AA6905" s="103"/>
      <c r="AB6905" s="1"/>
    </row>
    <row r="6906" spans="15:28">
      <c r="O6906" s="1"/>
      <c r="P6906" s="1"/>
      <c r="Q6906" s="1"/>
      <c r="R6906" s="1"/>
      <c r="Z6906" s="103"/>
      <c r="AA6906" s="103"/>
      <c r="AB6906" s="1"/>
    </row>
    <row r="6907" spans="15:28">
      <c r="O6907" s="1"/>
      <c r="P6907" s="1"/>
      <c r="Q6907" s="1"/>
      <c r="R6907" s="1"/>
      <c r="Z6907" s="103"/>
      <c r="AA6907" s="103"/>
      <c r="AB6907" s="1"/>
    </row>
    <row r="6908" spans="15:28">
      <c r="O6908" s="1"/>
      <c r="P6908" s="1"/>
      <c r="Q6908" s="1"/>
      <c r="R6908" s="1"/>
      <c r="Z6908" s="103"/>
      <c r="AA6908" s="103"/>
      <c r="AB6908" s="1"/>
    </row>
    <row r="6909" spans="15:28">
      <c r="O6909" s="1"/>
      <c r="P6909" s="1"/>
      <c r="Q6909" s="1"/>
      <c r="R6909" s="1"/>
      <c r="Z6909" s="103"/>
      <c r="AA6909" s="103"/>
      <c r="AB6909" s="1"/>
    </row>
    <row r="6910" spans="15:28">
      <c r="O6910" s="1"/>
      <c r="P6910" s="1"/>
      <c r="Q6910" s="1"/>
      <c r="R6910" s="1"/>
      <c r="Z6910" s="103"/>
      <c r="AA6910" s="103"/>
      <c r="AB6910" s="1"/>
    </row>
    <row r="6911" spans="15:28">
      <c r="O6911" s="1"/>
      <c r="P6911" s="1"/>
      <c r="Q6911" s="1"/>
      <c r="R6911" s="1"/>
      <c r="Z6911" s="103"/>
      <c r="AA6911" s="103"/>
      <c r="AB6911" s="1"/>
    </row>
    <row r="6912" spans="15:28">
      <c r="O6912" s="1"/>
      <c r="P6912" s="1"/>
      <c r="Q6912" s="1"/>
      <c r="R6912" s="1"/>
      <c r="Z6912" s="103"/>
      <c r="AA6912" s="103"/>
      <c r="AB6912" s="1"/>
    </row>
    <row r="6913" spans="15:30">
      <c r="O6913" s="1"/>
      <c r="P6913" s="1"/>
      <c r="Q6913" s="1"/>
      <c r="R6913" s="1"/>
      <c r="Z6913" s="103"/>
      <c r="AA6913" s="103"/>
      <c r="AB6913" s="1"/>
    </row>
    <row r="6914" spans="15:30">
      <c r="O6914" s="1"/>
      <c r="P6914" s="1"/>
      <c r="Q6914" s="1"/>
      <c r="R6914" s="1"/>
      <c r="Z6914" s="103"/>
      <c r="AA6914" s="103"/>
      <c r="AB6914" s="1"/>
    </row>
    <row r="6915" spans="15:30">
      <c r="O6915" s="1"/>
      <c r="P6915" s="1"/>
      <c r="Q6915" s="1"/>
      <c r="R6915" s="1"/>
      <c r="Z6915" s="103"/>
      <c r="AA6915" s="103"/>
      <c r="AB6915" s="1"/>
    </row>
    <row r="6916" spans="15:30">
      <c r="O6916" s="1"/>
      <c r="P6916" s="1"/>
      <c r="Q6916" s="1"/>
      <c r="R6916" s="1"/>
      <c r="Z6916" s="103"/>
      <c r="AA6916" s="103"/>
      <c r="AB6916" s="1"/>
    </row>
    <row r="6917" spans="15:30">
      <c r="O6917" s="1"/>
      <c r="P6917" s="1"/>
      <c r="Q6917" s="1"/>
      <c r="R6917" s="1"/>
      <c r="Z6917" s="103"/>
      <c r="AA6917" s="103"/>
      <c r="AB6917" s="1"/>
    </row>
    <row r="6918" spans="15:30">
      <c r="O6918" s="1"/>
      <c r="P6918" s="1"/>
      <c r="Q6918" s="1"/>
      <c r="R6918" s="1"/>
      <c r="Z6918" s="103"/>
      <c r="AA6918" s="103"/>
      <c r="AB6918" s="1"/>
    </row>
    <row r="6919" spans="15:30">
      <c r="O6919" s="1"/>
      <c r="P6919" s="1"/>
      <c r="Q6919" s="1"/>
      <c r="R6919" s="1"/>
      <c r="Z6919" s="103"/>
      <c r="AA6919" s="103"/>
      <c r="AB6919" s="1"/>
    </row>
    <row r="6920" spans="15:30">
      <c r="O6920" s="1"/>
      <c r="P6920" s="1"/>
      <c r="Q6920" s="1"/>
      <c r="R6920" s="1"/>
      <c r="Z6920" s="103"/>
      <c r="AA6920" s="103"/>
      <c r="AB6920" s="1"/>
    </row>
    <row r="6921" spans="15:30">
      <c r="O6921" s="1"/>
      <c r="P6921" s="1"/>
      <c r="Q6921" s="1"/>
      <c r="R6921" s="1"/>
      <c r="Z6921" s="103"/>
      <c r="AA6921" s="103"/>
      <c r="AB6921" s="1"/>
    </row>
    <row r="6922" spans="15:30">
      <c r="O6922" s="1"/>
      <c r="P6922" s="1"/>
      <c r="Q6922" s="1"/>
      <c r="R6922" s="1"/>
      <c r="Z6922" s="103"/>
      <c r="AA6922" s="103"/>
      <c r="AB6922" s="1"/>
      <c r="AD6922" s="102"/>
    </row>
    <row r="6923" spans="15:30">
      <c r="O6923" s="1"/>
      <c r="P6923" s="1"/>
      <c r="Q6923" s="1"/>
      <c r="R6923" s="1"/>
      <c r="Z6923" s="103"/>
      <c r="AA6923" s="103"/>
      <c r="AB6923" s="1"/>
      <c r="AD6923" s="102"/>
    </row>
    <row r="6924" spans="15:30">
      <c r="O6924" s="1"/>
      <c r="P6924" s="1"/>
      <c r="Q6924" s="1"/>
      <c r="R6924" s="1"/>
      <c r="Z6924" s="103"/>
      <c r="AA6924" s="103"/>
      <c r="AB6924" s="1"/>
    </row>
    <row r="6925" spans="15:30">
      <c r="O6925" s="1"/>
      <c r="P6925" s="1"/>
      <c r="Q6925" s="1"/>
      <c r="R6925" s="1"/>
      <c r="Z6925" s="103"/>
      <c r="AA6925" s="103"/>
      <c r="AB6925" s="1"/>
    </row>
    <row r="6926" spans="15:30">
      <c r="O6926" s="1"/>
      <c r="P6926" s="1"/>
      <c r="Q6926" s="1"/>
      <c r="R6926" s="1"/>
      <c r="Z6926" s="103"/>
      <c r="AA6926" s="103"/>
      <c r="AB6926" s="1"/>
    </row>
    <row r="6927" spans="15:30">
      <c r="O6927" s="1"/>
      <c r="P6927" s="1"/>
      <c r="Q6927" s="1"/>
      <c r="R6927" s="1"/>
      <c r="Z6927" s="103"/>
      <c r="AA6927" s="103"/>
      <c r="AB6927" s="1"/>
    </row>
    <row r="6928" spans="15:30">
      <c r="O6928" s="1"/>
      <c r="P6928" s="1"/>
      <c r="Q6928" s="1"/>
      <c r="R6928" s="1"/>
      <c r="Z6928" s="103"/>
      <c r="AA6928" s="103"/>
      <c r="AB6928" s="1"/>
    </row>
    <row r="6929" spans="15:30">
      <c r="O6929" s="1"/>
      <c r="P6929" s="1"/>
      <c r="Q6929" s="1"/>
      <c r="R6929" s="1"/>
      <c r="Z6929" s="103"/>
      <c r="AA6929" s="103"/>
      <c r="AB6929" s="1"/>
    </row>
    <row r="6930" spans="15:30">
      <c r="O6930" s="1"/>
      <c r="P6930" s="1"/>
      <c r="Q6930" s="1"/>
      <c r="R6930" s="1"/>
      <c r="Z6930" s="103"/>
      <c r="AA6930" s="103"/>
      <c r="AB6930" s="1"/>
    </row>
    <row r="6931" spans="15:30">
      <c r="O6931" s="1"/>
      <c r="P6931" s="1"/>
      <c r="Q6931" s="1"/>
      <c r="R6931" s="1"/>
      <c r="Z6931" s="103"/>
      <c r="AA6931" s="103"/>
      <c r="AB6931" s="1"/>
      <c r="AD6931" s="102"/>
    </row>
    <row r="6932" spans="15:30">
      <c r="O6932" s="1"/>
      <c r="P6932" s="1"/>
      <c r="Q6932" s="1"/>
      <c r="R6932" s="1"/>
      <c r="Z6932" s="103"/>
      <c r="AA6932" s="103"/>
      <c r="AB6932" s="1"/>
    </row>
    <row r="6933" spans="15:30">
      <c r="O6933" s="1"/>
      <c r="P6933" s="1"/>
      <c r="Q6933" s="1"/>
      <c r="R6933" s="1"/>
      <c r="Z6933" s="103"/>
      <c r="AA6933" s="103"/>
      <c r="AB6933" s="1"/>
    </row>
    <row r="6934" spans="15:30">
      <c r="O6934" s="1"/>
      <c r="P6934" s="1"/>
      <c r="Q6934" s="1"/>
      <c r="R6934" s="1"/>
      <c r="Z6934" s="103"/>
      <c r="AA6934" s="103"/>
      <c r="AB6934" s="1"/>
    </row>
    <row r="6935" spans="15:30">
      <c r="O6935" s="1"/>
      <c r="P6935" s="1"/>
      <c r="Q6935" s="1"/>
      <c r="R6935" s="1"/>
      <c r="Z6935" s="103"/>
      <c r="AA6935" s="103"/>
      <c r="AB6935" s="1"/>
      <c r="AD6935" s="102"/>
    </row>
    <row r="6936" spans="15:30">
      <c r="O6936" s="1"/>
      <c r="P6936" s="1"/>
      <c r="Q6936" s="1"/>
      <c r="R6936" s="1"/>
      <c r="Z6936" s="103"/>
      <c r="AA6936" s="103"/>
      <c r="AB6936" s="1"/>
    </row>
    <row r="6937" spans="15:30">
      <c r="O6937" s="1"/>
      <c r="P6937" s="1"/>
      <c r="Q6937" s="1"/>
      <c r="R6937" s="1"/>
      <c r="Z6937" s="103"/>
      <c r="AA6937" s="103"/>
      <c r="AB6937" s="1"/>
    </row>
    <row r="6938" spans="15:30">
      <c r="O6938" s="1"/>
      <c r="P6938" s="1"/>
      <c r="Q6938" s="1"/>
      <c r="R6938" s="1"/>
      <c r="Z6938" s="103"/>
      <c r="AA6938" s="103"/>
      <c r="AB6938" s="1"/>
    </row>
    <row r="6939" spans="15:30">
      <c r="O6939" s="1"/>
      <c r="P6939" s="1"/>
      <c r="Q6939" s="1"/>
      <c r="R6939" s="1"/>
      <c r="Z6939" s="103"/>
      <c r="AA6939" s="103"/>
      <c r="AB6939" s="1"/>
    </row>
    <row r="6940" spans="15:30">
      <c r="O6940" s="1"/>
      <c r="P6940" s="1"/>
      <c r="Q6940" s="1"/>
      <c r="R6940" s="1"/>
      <c r="Z6940" s="103"/>
      <c r="AA6940" s="103"/>
      <c r="AB6940" s="1"/>
    </row>
    <row r="6941" spans="15:30">
      <c r="O6941" s="1"/>
      <c r="P6941" s="1"/>
      <c r="Q6941" s="1"/>
      <c r="R6941" s="1"/>
      <c r="Z6941" s="103"/>
      <c r="AA6941" s="103"/>
      <c r="AB6941" s="1"/>
    </row>
    <row r="6942" spans="15:30">
      <c r="O6942" s="1"/>
      <c r="P6942" s="1"/>
      <c r="Q6942" s="1"/>
      <c r="R6942" s="1"/>
      <c r="Z6942" s="103"/>
      <c r="AA6942" s="103"/>
      <c r="AB6942" s="1"/>
    </row>
    <row r="6943" spans="15:30">
      <c r="O6943" s="1"/>
      <c r="P6943" s="1"/>
      <c r="Q6943" s="1"/>
      <c r="R6943" s="1"/>
      <c r="Z6943" s="103"/>
      <c r="AA6943" s="103"/>
      <c r="AB6943" s="1"/>
    </row>
    <row r="6944" spans="15:30">
      <c r="O6944" s="1"/>
      <c r="P6944" s="1"/>
      <c r="Q6944" s="1"/>
      <c r="R6944" s="1"/>
      <c r="Z6944" s="103"/>
      <c r="AA6944" s="103"/>
      <c r="AB6944" s="1"/>
    </row>
    <row r="6945" spans="15:30">
      <c r="O6945" s="1"/>
      <c r="P6945" s="1"/>
      <c r="Q6945" s="1"/>
      <c r="R6945" s="1"/>
      <c r="Z6945" s="103"/>
      <c r="AA6945" s="103"/>
      <c r="AB6945" s="1"/>
    </row>
    <row r="6946" spans="15:30">
      <c r="O6946" s="1"/>
      <c r="P6946" s="1"/>
      <c r="Q6946" s="1"/>
      <c r="R6946" s="1"/>
      <c r="Z6946" s="103"/>
      <c r="AA6946" s="103"/>
      <c r="AB6946" s="1"/>
    </row>
    <row r="6947" spans="15:30">
      <c r="O6947" s="1"/>
      <c r="P6947" s="1"/>
      <c r="Q6947" s="1"/>
      <c r="R6947" s="1"/>
      <c r="Z6947" s="103"/>
      <c r="AA6947" s="103"/>
      <c r="AB6947" s="1"/>
    </row>
    <row r="6948" spans="15:30">
      <c r="O6948" s="1"/>
      <c r="P6948" s="1"/>
      <c r="Q6948" s="1"/>
      <c r="R6948" s="1"/>
      <c r="Z6948" s="103"/>
      <c r="AA6948" s="103"/>
      <c r="AB6948" s="1"/>
    </row>
    <row r="6949" spans="15:30">
      <c r="O6949" s="1"/>
      <c r="P6949" s="1"/>
      <c r="Q6949" s="1"/>
      <c r="R6949" s="1"/>
      <c r="Z6949" s="103"/>
      <c r="AA6949" s="103"/>
      <c r="AB6949" s="1"/>
    </row>
    <row r="6950" spans="15:30">
      <c r="O6950" s="1"/>
      <c r="P6950" s="1"/>
      <c r="Q6950" s="1"/>
      <c r="R6950" s="1"/>
      <c r="Z6950" s="103"/>
      <c r="AA6950" s="103"/>
      <c r="AB6950" s="1"/>
    </row>
    <row r="6951" spans="15:30">
      <c r="O6951" s="1"/>
      <c r="P6951" s="1"/>
      <c r="Q6951" s="1"/>
      <c r="R6951" s="1"/>
      <c r="Z6951" s="103"/>
      <c r="AA6951" s="103"/>
      <c r="AB6951" s="1"/>
    </row>
    <row r="6952" spans="15:30">
      <c r="O6952" s="1"/>
      <c r="P6952" s="1"/>
      <c r="Q6952" s="1"/>
      <c r="R6952" s="1"/>
      <c r="Z6952" s="103"/>
      <c r="AA6952" s="103"/>
      <c r="AB6952" s="1"/>
    </row>
    <row r="6953" spans="15:30">
      <c r="O6953" s="1"/>
      <c r="P6953" s="1"/>
      <c r="Q6953" s="1"/>
      <c r="R6953" s="1"/>
      <c r="Z6953" s="103"/>
      <c r="AA6953" s="103"/>
      <c r="AB6953" s="1"/>
    </row>
    <row r="6954" spans="15:30">
      <c r="O6954" s="1"/>
      <c r="P6954" s="1"/>
      <c r="Q6954" s="1"/>
      <c r="R6954" s="1"/>
      <c r="Z6954" s="103"/>
      <c r="AA6954" s="103"/>
      <c r="AB6954" s="1"/>
    </row>
    <row r="6955" spans="15:30">
      <c r="O6955" s="1"/>
      <c r="P6955" s="1"/>
      <c r="Q6955" s="1"/>
      <c r="R6955" s="1"/>
      <c r="Z6955" s="103"/>
      <c r="AA6955" s="103"/>
      <c r="AB6955" s="1"/>
    </row>
    <row r="6956" spans="15:30">
      <c r="O6956" s="1"/>
      <c r="P6956" s="1"/>
      <c r="Q6956" s="1"/>
      <c r="R6956" s="1"/>
      <c r="Z6956" s="103"/>
      <c r="AA6956" s="103"/>
      <c r="AB6956" s="1"/>
    </row>
    <row r="6957" spans="15:30">
      <c r="O6957" s="1"/>
      <c r="P6957" s="1"/>
      <c r="Q6957" s="1"/>
      <c r="R6957" s="1"/>
      <c r="Z6957" s="103"/>
      <c r="AA6957" s="103"/>
      <c r="AB6957" s="1"/>
    </row>
    <row r="6958" spans="15:30">
      <c r="O6958" s="1"/>
      <c r="P6958" s="1"/>
      <c r="Q6958" s="1"/>
      <c r="R6958" s="1"/>
      <c r="Z6958" s="103"/>
      <c r="AA6958" s="103"/>
      <c r="AB6958" s="1"/>
    </row>
    <row r="6959" spans="15:30">
      <c r="O6959" s="1"/>
      <c r="P6959" s="1"/>
      <c r="Q6959" s="1"/>
      <c r="R6959" s="1"/>
      <c r="Z6959" s="103"/>
      <c r="AA6959" s="103"/>
      <c r="AB6959" s="1"/>
      <c r="AD6959" s="102"/>
    </row>
    <row r="6960" spans="15:30">
      <c r="O6960" s="1"/>
      <c r="P6960" s="1"/>
      <c r="Q6960" s="1"/>
      <c r="R6960" s="1"/>
      <c r="Z6960" s="103"/>
      <c r="AA6960" s="103"/>
      <c r="AB6960" s="1"/>
    </row>
    <row r="6961" spans="15:30">
      <c r="O6961" s="1"/>
      <c r="P6961" s="1"/>
      <c r="Q6961" s="1"/>
      <c r="R6961" s="1"/>
      <c r="Z6961" s="103"/>
      <c r="AA6961" s="103"/>
      <c r="AB6961" s="1"/>
      <c r="AD6961" s="102"/>
    </row>
    <row r="6962" spans="15:30">
      <c r="O6962" s="1"/>
      <c r="P6962" s="1"/>
      <c r="Q6962" s="1"/>
      <c r="R6962" s="1"/>
      <c r="Z6962" s="103"/>
      <c r="AA6962" s="103"/>
      <c r="AB6962" s="1"/>
    </row>
    <row r="6963" spans="15:30">
      <c r="O6963" s="1"/>
      <c r="P6963" s="1"/>
      <c r="Q6963" s="1"/>
      <c r="R6963" s="1"/>
      <c r="Z6963" s="103"/>
      <c r="AA6963" s="103"/>
      <c r="AB6963" s="1"/>
    </row>
    <row r="6964" spans="15:30">
      <c r="O6964" s="1"/>
      <c r="P6964" s="1"/>
      <c r="Q6964" s="1"/>
      <c r="R6964" s="1"/>
      <c r="Z6964" s="103"/>
      <c r="AA6964" s="103"/>
      <c r="AB6964" s="1"/>
    </row>
    <row r="6965" spans="15:30">
      <c r="O6965" s="1"/>
      <c r="P6965" s="1"/>
      <c r="Q6965" s="1"/>
      <c r="R6965" s="1"/>
      <c r="Z6965" s="103"/>
      <c r="AA6965" s="103"/>
      <c r="AB6965" s="1"/>
    </row>
    <row r="6966" spans="15:30">
      <c r="O6966" s="1"/>
      <c r="P6966" s="1"/>
      <c r="Q6966" s="1"/>
      <c r="R6966" s="1"/>
      <c r="Z6966" s="103"/>
      <c r="AA6966" s="103"/>
      <c r="AB6966" s="1"/>
    </row>
    <row r="6967" spans="15:30">
      <c r="O6967" s="1"/>
      <c r="P6967" s="1"/>
      <c r="Q6967" s="1"/>
      <c r="R6967" s="1"/>
      <c r="Z6967" s="103"/>
      <c r="AA6967" s="103"/>
      <c r="AB6967" s="1"/>
    </row>
    <row r="6968" spans="15:30">
      <c r="O6968" s="1"/>
      <c r="P6968" s="1"/>
      <c r="Q6968" s="1"/>
      <c r="R6968" s="1"/>
      <c r="Z6968" s="103"/>
      <c r="AA6968" s="103"/>
      <c r="AB6968" s="1"/>
    </row>
    <row r="6969" spans="15:30">
      <c r="O6969" s="1"/>
      <c r="P6969" s="1"/>
      <c r="Q6969" s="1"/>
      <c r="R6969" s="1"/>
      <c r="Z6969" s="103"/>
      <c r="AA6969" s="103"/>
      <c r="AB6969" s="1"/>
    </row>
    <row r="6970" spans="15:30">
      <c r="O6970" s="1"/>
      <c r="P6970" s="1"/>
      <c r="Q6970" s="1"/>
      <c r="R6970" s="1"/>
      <c r="Z6970" s="103"/>
      <c r="AA6970" s="103"/>
      <c r="AB6970" s="1"/>
    </row>
    <row r="6971" spans="15:30">
      <c r="O6971" s="1"/>
      <c r="P6971" s="1"/>
      <c r="Q6971" s="1"/>
      <c r="R6971" s="1"/>
      <c r="Z6971" s="103"/>
      <c r="AA6971" s="103"/>
      <c r="AB6971" s="1"/>
    </row>
    <row r="6972" spans="15:30">
      <c r="O6972" s="1"/>
      <c r="P6972" s="1"/>
      <c r="Q6972" s="1"/>
      <c r="R6972" s="1"/>
      <c r="Z6972" s="103"/>
      <c r="AA6972" s="103"/>
      <c r="AB6972" s="1"/>
    </row>
    <row r="6973" spans="15:30">
      <c r="O6973" s="1"/>
      <c r="P6973" s="1"/>
      <c r="Q6973" s="1"/>
      <c r="R6973" s="1"/>
      <c r="Z6973" s="103"/>
      <c r="AA6973" s="103"/>
      <c r="AB6973" s="1"/>
    </row>
    <row r="6974" spans="15:30">
      <c r="O6974" s="1"/>
      <c r="P6974" s="1"/>
      <c r="Q6974" s="1"/>
      <c r="R6974" s="1"/>
      <c r="Z6974" s="103"/>
      <c r="AA6974" s="103"/>
      <c r="AB6974" s="1"/>
    </row>
    <row r="6975" spans="15:30">
      <c r="O6975" s="1"/>
      <c r="P6975" s="1"/>
      <c r="Q6975" s="1"/>
      <c r="R6975" s="1"/>
      <c r="Z6975" s="103"/>
      <c r="AA6975" s="103"/>
      <c r="AB6975" s="1"/>
    </row>
    <row r="6976" spans="15:30">
      <c r="O6976" s="1"/>
      <c r="P6976" s="1"/>
      <c r="Q6976" s="1"/>
      <c r="R6976" s="1"/>
      <c r="Z6976" s="103"/>
      <c r="AA6976" s="103"/>
      <c r="AB6976" s="1"/>
    </row>
    <row r="6977" spans="15:28">
      <c r="O6977" s="1"/>
      <c r="P6977" s="1"/>
      <c r="Q6977" s="1"/>
      <c r="R6977" s="1"/>
      <c r="Z6977" s="103"/>
      <c r="AA6977" s="103"/>
      <c r="AB6977" s="1"/>
    </row>
    <row r="6978" spans="15:28">
      <c r="O6978" s="1"/>
      <c r="P6978" s="1"/>
      <c r="Q6978" s="1"/>
      <c r="R6978" s="1"/>
      <c r="Z6978" s="103"/>
      <c r="AA6978" s="103"/>
      <c r="AB6978" s="1"/>
    </row>
    <row r="6979" spans="15:28">
      <c r="O6979" s="1"/>
      <c r="P6979" s="1"/>
      <c r="Q6979" s="1"/>
      <c r="R6979" s="1"/>
      <c r="Z6979" s="103"/>
      <c r="AA6979" s="103"/>
      <c r="AB6979" s="1"/>
    </row>
    <row r="6980" spans="15:28">
      <c r="O6980" s="1"/>
      <c r="P6980" s="1"/>
      <c r="Q6980" s="1"/>
      <c r="R6980" s="1"/>
      <c r="Z6980" s="103"/>
      <c r="AA6980" s="103"/>
      <c r="AB6980" s="1"/>
    </row>
    <row r="6981" spans="15:28">
      <c r="O6981" s="1"/>
      <c r="P6981" s="1"/>
      <c r="Q6981" s="1"/>
      <c r="R6981" s="1"/>
      <c r="Z6981" s="103"/>
      <c r="AA6981" s="103"/>
      <c r="AB6981" s="1"/>
    </row>
    <row r="6982" spans="15:28">
      <c r="O6982" s="1"/>
      <c r="P6982" s="1"/>
      <c r="Q6982" s="1"/>
      <c r="R6982" s="1"/>
      <c r="Z6982" s="103"/>
      <c r="AA6982" s="103"/>
      <c r="AB6982" s="1"/>
    </row>
    <row r="6983" spans="15:28">
      <c r="O6983" s="1"/>
      <c r="P6983" s="1"/>
      <c r="Q6983" s="1"/>
      <c r="R6983" s="1"/>
      <c r="Z6983" s="103"/>
      <c r="AA6983" s="103"/>
      <c r="AB6983" s="1"/>
    </row>
    <row r="6984" spans="15:28">
      <c r="O6984" s="1"/>
      <c r="P6984" s="1"/>
      <c r="Q6984" s="1"/>
      <c r="R6984" s="1"/>
      <c r="Z6984" s="103"/>
      <c r="AA6984" s="103"/>
      <c r="AB6984" s="1"/>
    </row>
    <row r="6985" spans="15:28">
      <c r="O6985" s="1"/>
      <c r="P6985" s="1"/>
      <c r="Q6985" s="1"/>
      <c r="R6985" s="1"/>
      <c r="Z6985" s="103"/>
      <c r="AA6985" s="103"/>
      <c r="AB6985" s="1"/>
    </row>
    <row r="6986" spans="15:28">
      <c r="O6986" s="1"/>
      <c r="P6986" s="1"/>
      <c r="Q6986" s="1"/>
      <c r="R6986" s="1"/>
      <c r="Z6986" s="103"/>
      <c r="AA6986" s="103"/>
      <c r="AB6986" s="1"/>
    </row>
    <row r="6987" spans="15:28">
      <c r="O6987" s="1"/>
      <c r="P6987" s="1"/>
      <c r="Q6987" s="1"/>
      <c r="R6987" s="1"/>
      <c r="Z6987" s="103"/>
      <c r="AA6987" s="103"/>
      <c r="AB6987" s="1"/>
    </row>
    <row r="6988" spans="15:28">
      <c r="O6988" s="1"/>
      <c r="P6988" s="1"/>
      <c r="Q6988" s="1"/>
      <c r="R6988" s="1"/>
      <c r="Z6988" s="103"/>
      <c r="AA6988" s="103"/>
      <c r="AB6988" s="1"/>
    </row>
    <row r="6989" spans="15:28">
      <c r="O6989" s="1"/>
      <c r="P6989" s="1"/>
      <c r="Q6989" s="1"/>
      <c r="R6989" s="1"/>
      <c r="Z6989" s="103"/>
      <c r="AA6989" s="103"/>
      <c r="AB6989" s="1"/>
    </row>
    <row r="6990" spans="15:28">
      <c r="O6990" s="1"/>
      <c r="P6990" s="1"/>
      <c r="Q6990" s="1"/>
      <c r="R6990" s="1"/>
      <c r="Z6990" s="103"/>
      <c r="AA6990" s="103"/>
      <c r="AB6990" s="1"/>
    </row>
    <row r="6991" spans="15:28">
      <c r="O6991" s="1"/>
      <c r="P6991" s="1"/>
      <c r="Q6991" s="1"/>
      <c r="R6991" s="1"/>
      <c r="Z6991" s="103"/>
      <c r="AA6991" s="103"/>
      <c r="AB6991" s="1"/>
    </row>
    <row r="6992" spans="15:28">
      <c r="O6992" s="1"/>
      <c r="P6992" s="1"/>
      <c r="Q6992" s="1"/>
      <c r="R6992" s="1"/>
      <c r="Z6992" s="103"/>
      <c r="AA6992" s="103"/>
      <c r="AB6992" s="1"/>
    </row>
    <row r="6993" spans="15:30">
      <c r="O6993" s="1"/>
      <c r="P6993" s="1"/>
      <c r="Q6993" s="1"/>
      <c r="R6993" s="1"/>
      <c r="Z6993" s="103"/>
      <c r="AA6993" s="103"/>
      <c r="AB6993" s="1"/>
    </row>
    <row r="6994" spans="15:30">
      <c r="O6994" s="1"/>
      <c r="P6994" s="1"/>
      <c r="Q6994" s="1"/>
      <c r="R6994" s="1"/>
      <c r="Z6994" s="103"/>
      <c r="AA6994" s="103"/>
      <c r="AB6994" s="1"/>
    </row>
    <row r="6995" spans="15:30">
      <c r="O6995" s="1"/>
      <c r="P6995" s="1"/>
      <c r="Q6995" s="1"/>
      <c r="R6995" s="1"/>
      <c r="Z6995" s="103"/>
      <c r="AA6995" s="103"/>
      <c r="AB6995" s="1"/>
    </row>
    <row r="6996" spans="15:30">
      <c r="O6996" s="1"/>
      <c r="P6996" s="1"/>
      <c r="Q6996" s="1"/>
      <c r="R6996" s="1"/>
      <c r="Z6996" s="103"/>
      <c r="AA6996" s="103"/>
      <c r="AB6996" s="1"/>
    </row>
    <row r="6997" spans="15:30">
      <c r="O6997" s="1"/>
      <c r="P6997" s="1"/>
      <c r="Q6997" s="1"/>
      <c r="R6997" s="1"/>
      <c r="Z6997" s="103"/>
      <c r="AA6997" s="103"/>
      <c r="AB6997" s="1"/>
    </row>
    <row r="6998" spans="15:30">
      <c r="O6998" s="1"/>
      <c r="P6998" s="1"/>
      <c r="Q6998" s="1"/>
      <c r="R6998" s="1"/>
      <c r="Z6998" s="103"/>
      <c r="AA6998" s="103"/>
      <c r="AB6998" s="1"/>
    </row>
    <row r="6999" spans="15:30">
      <c r="O6999" s="1"/>
      <c r="P6999" s="1"/>
      <c r="Q6999" s="1"/>
      <c r="R6999" s="1"/>
      <c r="Z6999" s="103"/>
      <c r="AA6999" s="103"/>
      <c r="AB6999" s="1"/>
    </row>
    <row r="7000" spans="15:30">
      <c r="O7000" s="1"/>
      <c r="P7000" s="1"/>
      <c r="Q7000" s="1"/>
      <c r="R7000" s="1"/>
      <c r="Z7000" s="103"/>
      <c r="AA7000" s="103"/>
      <c r="AB7000" s="1"/>
    </row>
    <row r="7001" spans="15:30">
      <c r="O7001" s="1"/>
      <c r="P7001" s="1"/>
      <c r="Q7001" s="1"/>
      <c r="R7001" s="1"/>
      <c r="Z7001" s="103"/>
      <c r="AA7001" s="103"/>
      <c r="AB7001" s="1"/>
    </row>
    <row r="7002" spans="15:30">
      <c r="O7002" s="1"/>
      <c r="P7002" s="1"/>
      <c r="Q7002" s="1"/>
      <c r="R7002" s="1"/>
      <c r="Z7002" s="103"/>
      <c r="AA7002" s="103"/>
      <c r="AB7002" s="1"/>
    </row>
    <row r="7003" spans="15:30">
      <c r="O7003" s="1"/>
      <c r="P7003" s="1"/>
      <c r="Q7003" s="1"/>
      <c r="R7003" s="1"/>
      <c r="Z7003" s="103"/>
      <c r="AA7003" s="103"/>
      <c r="AB7003" s="1"/>
    </row>
    <row r="7004" spans="15:30">
      <c r="O7004" s="1"/>
      <c r="P7004" s="1"/>
      <c r="Q7004" s="1"/>
      <c r="R7004" s="1"/>
      <c r="Z7004" s="103"/>
      <c r="AA7004" s="103"/>
      <c r="AB7004" s="1"/>
    </row>
    <row r="7005" spans="15:30">
      <c r="O7005" s="1"/>
      <c r="P7005" s="1"/>
      <c r="Q7005" s="1"/>
      <c r="R7005" s="1"/>
      <c r="Z7005" s="103"/>
      <c r="AA7005" s="103"/>
      <c r="AB7005" s="1"/>
    </row>
    <row r="7006" spans="15:30">
      <c r="O7006" s="1"/>
      <c r="P7006" s="1"/>
      <c r="Q7006" s="1"/>
      <c r="R7006" s="1"/>
      <c r="Z7006" s="103"/>
      <c r="AA7006" s="103"/>
      <c r="AB7006" s="1"/>
      <c r="AD7006" s="102"/>
    </row>
    <row r="7007" spans="15:30">
      <c r="O7007" s="1"/>
      <c r="P7007" s="1"/>
      <c r="Q7007" s="1"/>
      <c r="R7007" s="1"/>
      <c r="Z7007" s="103"/>
      <c r="AA7007" s="103"/>
      <c r="AB7007" s="1"/>
    </row>
    <row r="7008" spans="15:30">
      <c r="O7008" s="1"/>
      <c r="P7008" s="1"/>
      <c r="Q7008" s="1"/>
      <c r="R7008" s="1"/>
      <c r="Z7008" s="103"/>
      <c r="AA7008" s="103"/>
      <c r="AB7008" s="1"/>
    </row>
    <row r="7009" spans="15:28">
      <c r="O7009" s="1"/>
      <c r="P7009" s="1"/>
      <c r="Q7009" s="1"/>
      <c r="R7009" s="1"/>
      <c r="Z7009" s="103"/>
      <c r="AA7009" s="103"/>
      <c r="AB7009" s="1"/>
    </row>
    <row r="7010" spans="15:28">
      <c r="O7010" s="1"/>
      <c r="P7010" s="1"/>
      <c r="Q7010" s="1"/>
      <c r="R7010" s="1"/>
      <c r="Z7010" s="103"/>
      <c r="AA7010" s="103"/>
      <c r="AB7010" s="1"/>
    </row>
    <row r="7011" spans="15:28">
      <c r="O7011" s="1"/>
      <c r="P7011" s="1"/>
      <c r="Q7011" s="1"/>
      <c r="R7011" s="1"/>
      <c r="Z7011" s="103"/>
      <c r="AA7011" s="103"/>
      <c r="AB7011" s="1"/>
    </row>
    <row r="7012" spans="15:28">
      <c r="O7012" s="1"/>
      <c r="P7012" s="1"/>
      <c r="Q7012" s="1"/>
      <c r="R7012" s="1"/>
      <c r="Z7012" s="103"/>
      <c r="AA7012" s="103"/>
      <c r="AB7012" s="1"/>
    </row>
    <row r="7013" spans="15:28">
      <c r="O7013" s="1"/>
      <c r="P7013" s="1"/>
      <c r="Q7013" s="1"/>
      <c r="R7013" s="1"/>
      <c r="Z7013" s="103"/>
      <c r="AA7013" s="103"/>
      <c r="AB7013" s="1"/>
    </row>
    <row r="7014" spans="15:28">
      <c r="O7014" s="1"/>
      <c r="P7014" s="1"/>
      <c r="Q7014" s="1"/>
      <c r="R7014" s="1"/>
      <c r="Z7014" s="103"/>
      <c r="AA7014" s="103"/>
      <c r="AB7014" s="1"/>
    </row>
    <row r="7015" spans="15:28">
      <c r="O7015" s="1"/>
      <c r="P7015" s="1"/>
      <c r="Q7015" s="1"/>
      <c r="R7015" s="1"/>
      <c r="Z7015" s="103"/>
      <c r="AA7015" s="103"/>
      <c r="AB7015" s="1"/>
    </row>
    <row r="7016" spans="15:28">
      <c r="O7016" s="1"/>
      <c r="P7016" s="1"/>
      <c r="Q7016" s="1"/>
      <c r="R7016" s="1"/>
      <c r="Z7016" s="103"/>
      <c r="AA7016" s="103"/>
      <c r="AB7016" s="1"/>
    </row>
    <row r="7017" spans="15:28">
      <c r="O7017" s="1"/>
      <c r="P7017" s="1"/>
      <c r="Q7017" s="1"/>
      <c r="R7017" s="1"/>
      <c r="Z7017" s="103"/>
      <c r="AA7017" s="103"/>
      <c r="AB7017" s="1"/>
    </row>
    <row r="7018" spans="15:28">
      <c r="O7018" s="1"/>
      <c r="P7018" s="1"/>
      <c r="Q7018" s="1"/>
      <c r="R7018" s="1"/>
      <c r="Z7018" s="103"/>
      <c r="AA7018" s="103"/>
      <c r="AB7018" s="1"/>
    </row>
    <row r="7019" spans="15:28">
      <c r="O7019" s="1"/>
      <c r="P7019" s="1"/>
      <c r="Q7019" s="1"/>
      <c r="R7019" s="1"/>
      <c r="Z7019" s="103"/>
      <c r="AA7019" s="103"/>
      <c r="AB7019" s="1"/>
    </row>
    <row r="7020" spans="15:28">
      <c r="O7020" s="1"/>
      <c r="P7020" s="1"/>
      <c r="Q7020" s="1"/>
      <c r="R7020" s="1"/>
      <c r="Z7020" s="103"/>
      <c r="AA7020" s="103"/>
      <c r="AB7020" s="1"/>
    </row>
    <row r="7021" spans="15:28">
      <c r="O7021" s="1"/>
      <c r="P7021" s="1"/>
      <c r="Q7021" s="1"/>
      <c r="R7021" s="1"/>
      <c r="Z7021" s="103"/>
      <c r="AA7021" s="103"/>
      <c r="AB7021" s="1"/>
    </row>
    <row r="7022" spans="15:28">
      <c r="O7022" s="1"/>
      <c r="P7022" s="1"/>
      <c r="Q7022" s="1"/>
      <c r="R7022" s="1"/>
      <c r="Z7022" s="103"/>
      <c r="AA7022" s="103"/>
      <c r="AB7022" s="1"/>
    </row>
    <row r="7023" spans="15:28">
      <c r="O7023" s="1"/>
      <c r="P7023" s="1"/>
      <c r="Q7023" s="1"/>
      <c r="R7023" s="1"/>
      <c r="Z7023" s="103"/>
      <c r="AA7023" s="103"/>
      <c r="AB7023" s="1"/>
    </row>
    <row r="7024" spans="15:28">
      <c r="O7024" s="1"/>
      <c r="P7024" s="1"/>
      <c r="Q7024" s="1"/>
      <c r="R7024" s="1"/>
      <c r="Z7024" s="103"/>
      <c r="AA7024" s="103"/>
      <c r="AB7024" s="1"/>
    </row>
    <row r="7025" spans="15:30">
      <c r="O7025" s="1"/>
      <c r="P7025" s="1"/>
      <c r="Q7025" s="1"/>
      <c r="R7025" s="1"/>
      <c r="Z7025" s="103"/>
      <c r="AA7025" s="103"/>
      <c r="AB7025" s="1"/>
    </row>
    <row r="7026" spans="15:30">
      <c r="O7026" s="1"/>
      <c r="P7026" s="1"/>
      <c r="Q7026" s="1"/>
      <c r="R7026" s="1"/>
      <c r="Z7026" s="103"/>
      <c r="AA7026" s="103"/>
      <c r="AB7026" s="1"/>
    </row>
    <row r="7027" spans="15:30">
      <c r="O7027" s="1"/>
      <c r="P7027" s="1"/>
      <c r="Q7027" s="1"/>
      <c r="R7027" s="1"/>
      <c r="Z7027" s="103"/>
      <c r="AA7027" s="103"/>
      <c r="AB7027" s="1"/>
    </row>
    <row r="7028" spans="15:30">
      <c r="O7028" s="1"/>
      <c r="P7028" s="1"/>
      <c r="Q7028" s="1"/>
      <c r="R7028" s="1"/>
      <c r="Z7028" s="103"/>
      <c r="AA7028" s="103"/>
      <c r="AB7028" s="1"/>
    </row>
    <row r="7029" spans="15:30">
      <c r="O7029" s="1"/>
      <c r="P7029" s="1"/>
      <c r="Q7029" s="1"/>
      <c r="R7029" s="1"/>
      <c r="Z7029" s="103"/>
      <c r="AA7029" s="103"/>
      <c r="AB7029" s="1"/>
    </row>
    <row r="7030" spans="15:30">
      <c r="O7030" s="1"/>
      <c r="P7030" s="1"/>
      <c r="Q7030" s="1"/>
      <c r="R7030" s="1"/>
      <c r="Z7030" s="103"/>
      <c r="AA7030" s="103"/>
      <c r="AB7030" s="1"/>
    </row>
    <row r="7031" spans="15:30">
      <c r="O7031" s="1"/>
      <c r="P7031" s="1"/>
      <c r="Q7031" s="1"/>
      <c r="R7031" s="1"/>
      <c r="Z7031" s="103"/>
      <c r="AA7031" s="103"/>
      <c r="AB7031" s="1"/>
    </row>
    <row r="7032" spans="15:30">
      <c r="O7032" s="1"/>
      <c r="P7032" s="1"/>
      <c r="Q7032" s="1"/>
      <c r="R7032" s="1"/>
      <c r="Z7032" s="103"/>
      <c r="AA7032" s="103"/>
      <c r="AB7032" s="1"/>
    </row>
    <row r="7033" spans="15:30">
      <c r="O7033" s="1"/>
      <c r="P7033" s="1"/>
      <c r="Q7033" s="1"/>
      <c r="R7033" s="1"/>
      <c r="Z7033" s="103"/>
      <c r="AA7033" s="103"/>
      <c r="AB7033" s="1"/>
      <c r="AD7033" s="102"/>
    </row>
    <row r="7034" spans="15:30">
      <c r="O7034" s="1"/>
      <c r="P7034" s="1"/>
      <c r="Q7034" s="1"/>
      <c r="R7034" s="1"/>
      <c r="Z7034" s="103"/>
      <c r="AA7034" s="103"/>
      <c r="AB7034" s="1"/>
    </row>
    <row r="7035" spans="15:30">
      <c r="O7035" s="1"/>
      <c r="P7035" s="1"/>
      <c r="Q7035" s="1"/>
      <c r="R7035" s="1"/>
      <c r="Z7035" s="103"/>
      <c r="AA7035" s="103"/>
      <c r="AB7035" s="1"/>
    </row>
    <row r="7036" spans="15:30">
      <c r="O7036" s="1"/>
      <c r="P7036" s="1"/>
      <c r="Q7036" s="1"/>
      <c r="R7036" s="1"/>
      <c r="Z7036" s="103"/>
      <c r="AA7036" s="103"/>
      <c r="AB7036" s="1"/>
    </row>
    <row r="7037" spans="15:30">
      <c r="O7037" s="1"/>
      <c r="P7037" s="1"/>
      <c r="Q7037" s="1"/>
      <c r="R7037" s="1"/>
      <c r="Z7037" s="103"/>
      <c r="AA7037" s="103"/>
      <c r="AB7037" s="1"/>
      <c r="AD7037" s="102"/>
    </row>
    <row r="7038" spans="15:30">
      <c r="O7038" s="1"/>
      <c r="P7038" s="1"/>
      <c r="Q7038" s="1"/>
      <c r="R7038" s="1"/>
      <c r="Z7038" s="103"/>
      <c r="AA7038" s="103"/>
      <c r="AB7038" s="1"/>
    </row>
    <row r="7039" spans="15:30">
      <c r="O7039" s="1"/>
      <c r="P7039" s="1"/>
      <c r="Q7039" s="1"/>
      <c r="R7039" s="1"/>
      <c r="Z7039" s="103"/>
      <c r="AA7039" s="103"/>
      <c r="AB7039" s="1"/>
    </row>
    <row r="7040" spans="15:30">
      <c r="O7040" s="1"/>
      <c r="P7040" s="1"/>
      <c r="Q7040" s="1"/>
      <c r="R7040" s="1"/>
      <c r="Z7040" s="103"/>
      <c r="AA7040" s="103"/>
      <c r="AB7040" s="1"/>
    </row>
    <row r="7041" spans="15:30">
      <c r="O7041" s="1"/>
      <c r="P7041" s="1"/>
      <c r="Q7041" s="1"/>
      <c r="R7041" s="1"/>
      <c r="Z7041" s="103"/>
      <c r="AA7041" s="103"/>
      <c r="AB7041" s="1"/>
    </row>
    <row r="7042" spans="15:30">
      <c r="O7042" s="1"/>
      <c r="P7042" s="1"/>
      <c r="Q7042" s="1"/>
      <c r="R7042" s="1"/>
      <c r="Z7042" s="103"/>
      <c r="AA7042" s="103"/>
      <c r="AB7042" s="1"/>
    </row>
    <row r="7043" spans="15:30">
      <c r="O7043" s="1"/>
      <c r="P7043" s="1"/>
      <c r="Q7043" s="1"/>
      <c r="R7043" s="1"/>
      <c r="Z7043" s="103"/>
      <c r="AA7043" s="103"/>
      <c r="AB7043" s="1"/>
    </row>
    <row r="7044" spans="15:30">
      <c r="O7044" s="1"/>
      <c r="P7044" s="1"/>
      <c r="Q7044" s="1"/>
      <c r="R7044" s="1"/>
      <c r="Z7044" s="103"/>
      <c r="AA7044" s="103"/>
      <c r="AB7044" s="1"/>
    </row>
    <row r="7045" spans="15:30">
      <c r="O7045" s="1"/>
      <c r="P7045" s="1"/>
      <c r="Q7045" s="1"/>
      <c r="R7045" s="1"/>
      <c r="Z7045" s="103"/>
      <c r="AA7045" s="103"/>
      <c r="AB7045" s="1"/>
    </row>
    <row r="7046" spans="15:30">
      <c r="O7046" s="1"/>
      <c r="P7046" s="1"/>
      <c r="Q7046" s="1"/>
      <c r="R7046" s="1"/>
      <c r="Z7046" s="103"/>
      <c r="AA7046" s="103"/>
      <c r="AB7046" s="1"/>
    </row>
    <row r="7047" spans="15:30">
      <c r="O7047" s="1"/>
      <c r="P7047" s="1"/>
      <c r="Q7047" s="1"/>
      <c r="R7047" s="1"/>
      <c r="Z7047" s="103"/>
      <c r="AA7047" s="103"/>
      <c r="AB7047" s="1"/>
    </row>
    <row r="7048" spans="15:30">
      <c r="O7048" s="1"/>
      <c r="P7048" s="1"/>
      <c r="Q7048" s="1"/>
      <c r="R7048" s="1"/>
      <c r="Z7048" s="103"/>
      <c r="AA7048" s="103"/>
      <c r="AB7048" s="1"/>
      <c r="AD7048" s="102"/>
    </row>
    <row r="7049" spans="15:30">
      <c r="O7049" s="1"/>
      <c r="P7049" s="1"/>
      <c r="Q7049" s="1"/>
      <c r="R7049" s="1"/>
      <c r="Z7049" s="103"/>
      <c r="AA7049" s="103"/>
      <c r="AB7049" s="1"/>
    </row>
    <row r="7050" spans="15:30">
      <c r="O7050" s="1"/>
      <c r="P7050" s="1"/>
      <c r="Q7050" s="1"/>
      <c r="R7050" s="1"/>
      <c r="Z7050" s="103"/>
      <c r="AA7050" s="103"/>
      <c r="AB7050" s="1"/>
    </row>
    <row r="7051" spans="15:30">
      <c r="O7051" s="1"/>
      <c r="P7051" s="1"/>
      <c r="Q7051" s="1"/>
      <c r="R7051" s="1"/>
      <c r="Z7051" s="103"/>
      <c r="AA7051" s="103"/>
      <c r="AB7051" s="1"/>
    </row>
    <row r="7052" spans="15:30">
      <c r="O7052" s="1"/>
      <c r="P7052" s="1"/>
      <c r="Q7052" s="1"/>
      <c r="R7052" s="1"/>
      <c r="Z7052" s="103"/>
      <c r="AA7052" s="103"/>
      <c r="AB7052" s="1"/>
    </row>
    <row r="7053" spans="15:30">
      <c r="O7053" s="1"/>
      <c r="P7053" s="1"/>
      <c r="Q7053" s="1"/>
      <c r="R7053" s="1"/>
      <c r="Z7053" s="103"/>
      <c r="AA7053" s="103"/>
      <c r="AB7053" s="1"/>
    </row>
    <row r="7054" spans="15:30">
      <c r="O7054" s="1"/>
      <c r="P7054" s="1"/>
      <c r="Q7054" s="1"/>
      <c r="R7054" s="1"/>
      <c r="Z7054" s="103"/>
      <c r="AA7054" s="103"/>
      <c r="AB7054" s="1"/>
    </row>
    <row r="7055" spans="15:30">
      <c r="O7055" s="1"/>
      <c r="P7055" s="1"/>
      <c r="Q7055" s="1"/>
      <c r="R7055" s="1"/>
      <c r="Z7055" s="103"/>
      <c r="AA7055" s="103"/>
      <c r="AB7055" s="1"/>
    </row>
    <row r="7056" spans="15:30">
      <c r="O7056" s="1"/>
      <c r="P7056" s="1"/>
      <c r="Q7056" s="1"/>
      <c r="R7056" s="1"/>
      <c r="Z7056" s="103"/>
      <c r="AA7056" s="103"/>
      <c r="AB7056" s="1"/>
    </row>
    <row r="7057" spans="15:30">
      <c r="O7057" s="1"/>
      <c r="P7057" s="1"/>
      <c r="Q7057" s="1"/>
      <c r="R7057" s="1"/>
      <c r="Z7057" s="103"/>
      <c r="AA7057" s="103"/>
      <c r="AB7057" s="1"/>
    </row>
    <row r="7058" spans="15:30">
      <c r="O7058" s="1"/>
      <c r="P7058" s="1"/>
      <c r="Q7058" s="1"/>
      <c r="R7058" s="1"/>
      <c r="Z7058" s="103"/>
      <c r="AA7058" s="103"/>
      <c r="AB7058" s="1"/>
    </row>
    <row r="7059" spans="15:30">
      <c r="O7059" s="1"/>
      <c r="P7059" s="1"/>
      <c r="Q7059" s="1"/>
      <c r="R7059" s="1"/>
      <c r="Z7059" s="103"/>
      <c r="AA7059" s="103"/>
      <c r="AB7059" s="1"/>
    </row>
    <row r="7060" spans="15:30">
      <c r="O7060" s="1"/>
      <c r="P7060" s="1"/>
      <c r="Q7060" s="1"/>
      <c r="R7060" s="1"/>
      <c r="Z7060" s="103"/>
      <c r="AA7060" s="103"/>
      <c r="AB7060" s="1"/>
    </row>
    <row r="7061" spans="15:30">
      <c r="O7061" s="1"/>
      <c r="P7061" s="1"/>
      <c r="Q7061" s="1"/>
      <c r="R7061" s="1"/>
      <c r="Z7061" s="103"/>
      <c r="AA7061" s="103"/>
      <c r="AB7061" s="1"/>
    </row>
    <row r="7062" spans="15:30">
      <c r="O7062" s="1"/>
      <c r="P7062" s="1"/>
      <c r="Q7062" s="1"/>
      <c r="R7062" s="1"/>
      <c r="Z7062" s="103"/>
      <c r="AA7062" s="103"/>
      <c r="AB7062" s="1"/>
    </row>
    <row r="7063" spans="15:30">
      <c r="O7063" s="1"/>
      <c r="P7063" s="1"/>
      <c r="Q7063" s="1"/>
      <c r="R7063" s="1"/>
      <c r="Z7063" s="103"/>
      <c r="AA7063" s="103"/>
      <c r="AB7063" s="1"/>
      <c r="AD7063" s="102"/>
    </row>
    <row r="7064" spans="15:30">
      <c r="O7064" s="1"/>
      <c r="P7064" s="1"/>
      <c r="Q7064" s="1"/>
      <c r="R7064" s="1"/>
      <c r="Z7064" s="103"/>
      <c r="AA7064" s="103"/>
      <c r="AB7064" s="1"/>
    </row>
    <row r="7065" spans="15:30">
      <c r="O7065" s="1"/>
      <c r="P7065" s="1"/>
      <c r="Q7065" s="1"/>
      <c r="R7065" s="1"/>
      <c r="Z7065" s="103"/>
      <c r="AA7065" s="103"/>
      <c r="AB7065" s="1"/>
    </row>
    <row r="7066" spans="15:30">
      <c r="O7066" s="1"/>
      <c r="P7066" s="1"/>
      <c r="Q7066" s="1"/>
      <c r="R7066" s="1"/>
      <c r="Z7066" s="103"/>
      <c r="AA7066" s="103"/>
      <c r="AB7066" s="1"/>
    </row>
    <row r="7067" spans="15:30">
      <c r="O7067" s="1"/>
      <c r="P7067" s="1"/>
      <c r="Q7067" s="1"/>
      <c r="R7067" s="1"/>
      <c r="Z7067" s="103"/>
      <c r="AA7067" s="103"/>
      <c r="AB7067" s="1"/>
    </row>
    <row r="7068" spans="15:30">
      <c r="O7068" s="1"/>
      <c r="P7068" s="1"/>
      <c r="Q7068" s="1"/>
      <c r="R7068" s="1"/>
      <c r="Z7068" s="103"/>
      <c r="AA7068" s="103"/>
      <c r="AB7068" s="1"/>
    </row>
    <row r="7069" spans="15:30">
      <c r="O7069" s="1"/>
      <c r="P7069" s="1"/>
      <c r="Q7069" s="1"/>
      <c r="R7069" s="1"/>
      <c r="Z7069" s="103"/>
      <c r="AA7069" s="103"/>
      <c r="AB7069" s="1"/>
    </row>
    <row r="7070" spans="15:30">
      <c r="O7070" s="1"/>
      <c r="P7070" s="1"/>
      <c r="Q7070" s="1"/>
      <c r="R7070" s="1"/>
      <c r="Z7070" s="103"/>
      <c r="AA7070" s="103"/>
      <c r="AB7070" s="1"/>
    </row>
    <row r="7071" spans="15:30">
      <c r="O7071" s="1"/>
      <c r="P7071" s="1"/>
      <c r="Q7071" s="1"/>
      <c r="R7071" s="1"/>
      <c r="Z7071" s="103"/>
      <c r="AA7071" s="103"/>
      <c r="AB7071" s="1"/>
      <c r="AD7071" s="102"/>
    </row>
    <row r="7072" spans="15:30">
      <c r="O7072" s="1"/>
      <c r="P7072" s="1"/>
      <c r="Q7072" s="1"/>
      <c r="R7072" s="1"/>
      <c r="Z7072" s="103"/>
      <c r="AA7072" s="103"/>
      <c r="AB7072" s="1"/>
    </row>
    <row r="7073" spans="15:28">
      <c r="O7073" s="1"/>
      <c r="P7073" s="1"/>
      <c r="Q7073" s="1"/>
      <c r="R7073" s="1"/>
      <c r="Z7073" s="103"/>
      <c r="AA7073" s="103"/>
      <c r="AB7073" s="1"/>
    </row>
    <row r="7074" spans="15:28">
      <c r="O7074" s="1"/>
      <c r="P7074" s="1"/>
      <c r="Q7074" s="1"/>
      <c r="R7074" s="1"/>
      <c r="Z7074" s="103"/>
      <c r="AA7074" s="103"/>
      <c r="AB7074" s="1"/>
    </row>
    <row r="7075" spans="15:28">
      <c r="O7075" s="1"/>
      <c r="P7075" s="1"/>
      <c r="Q7075" s="1"/>
      <c r="R7075" s="1"/>
      <c r="Z7075" s="103"/>
      <c r="AA7075" s="103"/>
      <c r="AB7075" s="1"/>
    </row>
    <row r="7076" spans="15:28">
      <c r="O7076" s="1"/>
      <c r="P7076" s="1"/>
      <c r="Q7076" s="1"/>
      <c r="R7076" s="1"/>
      <c r="Z7076" s="103"/>
      <c r="AA7076" s="103"/>
      <c r="AB7076" s="1"/>
    </row>
    <row r="7077" spans="15:28">
      <c r="O7077" s="1"/>
      <c r="P7077" s="1"/>
      <c r="Q7077" s="1"/>
      <c r="R7077" s="1"/>
      <c r="Z7077" s="103"/>
      <c r="AA7077" s="103"/>
      <c r="AB7077" s="1"/>
    </row>
    <row r="7078" spans="15:28">
      <c r="O7078" s="1"/>
      <c r="P7078" s="1"/>
      <c r="Q7078" s="1"/>
      <c r="R7078" s="1"/>
      <c r="Z7078" s="103"/>
      <c r="AA7078" s="103"/>
      <c r="AB7078" s="1"/>
    </row>
    <row r="7079" spans="15:28">
      <c r="O7079" s="1"/>
      <c r="P7079" s="1"/>
      <c r="Q7079" s="1"/>
      <c r="R7079" s="1"/>
      <c r="Z7079" s="103"/>
      <c r="AA7079" s="103"/>
      <c r="AB7079" s="1"/>
    </row>
    <row r="7080" spans="15:28">
      <c r="O7080" s="1"/>
      <c r="P7080" s="1"/>
      <c r="Q7080" s="1"/>
      <c r="R7080" s="1"/>
      <c r="Z7080" s="103"/>
      <c r="AA7080" s="103"/>
      <c r="AB7080" s="1"/>
    </row>
    <row r="7081" spans="15:28">
      <c r="O7081" s="1"/>
      <c r="P7081" s="1"/>
      <c r="Q7081" s="1"/>
      <c r="R7081" s="1"/>
      <c r="Z7081" s="103"/>
      <c r="AA7081" s="103"/>
      <c r="AB7081" s="1"/>
    </row>
    <row r="7082" spans="15:28">
      <c r="O7082" s="1"/>
      <c r="P7082" s="1"/>
      <c r="Q7082" s="1"/>
      <c r="R7082" s="1"/>
      <c r="Z7082" s="103"/>
      <c r="AA7082" s="103"/>
      <c r="AB7082" s="1"/>
    </row>
    <row r="7083" spans="15:28">
      <c r="O7083" s="1"/>
      <c r="P7083" s="1"/>
      <c r="Q7083" s="1"/>
      <c r="R7083" s="1"/>
      <c r="Z7083" s="103"/>
      <c r="AA7083" s="103"/>
      <c r="AB7083" s="1"/>
    </row>
    <row r="7084" spans="15:28">
      <c r="O7084" s="1"/>
      <c r="P7084" s="1"/>
      <c r="Q7084" s="1"/>
      <c r="R7084" s="1"/>
      <c r="Z7084" s="103"/>
      <c r="AA7084" s="103"/>
      <c r="AB7084" s="1"/>
    </row>
    <row r="7085" spans="15:28">
      <c r="O7085" s="1"/>
      <c r="P7085" s="1"/>
      <c r="Q7085" s="1"/>
      <c r="R7085" s="1"/>
      <c r="Z7085" s="103"/>
      <c r="AA7085" s="103"/>
      <c r="AB7085" s="1"/>
    </row>
    <row r="7086" spans="15:28">
      <c r="O7086" s="1"/>
      <c r="P7086" s="1"/>
      <c r="Q7086" s="1"/>
      <c r="R7086" s="1"/>
      <c r="Z7086" s="103"/>
      <c r="AA7086" s="103"/>
      <c r="AB7086" s="1"/>
    </row>
    <row r="7087" spans="15:28">
      <c r="O7087" s="1"/>
      <c r="P7087" s="1"/>
      <c r="Q7087" s="1"/>
      <c r="R7087" s="1"/>
      <c r="Z7087" s="103"/>
      <c r="AA7087" s="103"/>
      <c r="AB7087" s="1"/>
    </row>
    <row r="7088" spans="15:28">
      <c r="O7088" s="1"/>
      <c r="P7088" s="1"/>
      <c r="Q7088" s="1"/>
      <c r="R7088" s="1"/>
      <c r="Z7088" s="103"/>
      <c r="AA7088" s="103"/>
      <c r="AB7088" s="1"/>
    </row>
    <row r="7089" spans="15:28">
      <c r="O7089" s="1"/>
      <c r="P7089" s="1"/>
      <c r="Q7089" s="1"/>
      <c r="R7089" s="1"/>
      <c r="Z7089" s="103"/>
      <c r="AA7089" s="103"/>
      <c r="AB7089" s="1"/>
    </row>
    <row r="7090" spans="15:28">
      <c r="O7090" s="1"/>
      <c r="P7090" s="1"/>
      <c r="Q7090" s="1"/>
      <c r="R7090" s="1"/>
      <c r="Z7090" s="103"/>
      <c r="AA7090" s="103"/>
      <c r="AB7090" s="1"/>
    </row>
    <row r="7091" spans="15:28">
      <c r="O7091" s="1"/>
      <c r="P7091" s="1"/>
      <c r="Q7091" s="1"/>
      <c r="R7091" s="1"/>
      <c r="Z7091" s="103"/>
      <c r="AA7091" s="103"/>
      <c r="AB7091" s="1"/>
    </row>
    <row r="7092" spans="15:28">
      <c r="O7092" s="1"/>
      <c r="P7092" s="1"/>
      <c r="Q7092" s="1"/>
      <c r="R7092" s="1"/>
      <c r="Z7092" s="103"/>
      <c r="AA7092" s="103"/>
      <c r="AB7092" s="1"/>
    </row>
    <row r="7093" spans="15:28">
      <c r="O7093" s="1"/>
      <c r="P7093" s="1"/>
      <c r="Q7093" s="1"/>
      <c r="R7093" s="1"/>
      <c r="Z7093" s="103"/>
      <c r="AA7093" s="103"/>
      <c r="AB7093" s="1"/>
    </row>
    <row r="7094" spans="15:28">
      <c r="O7094" s="1"/>
      <c r="P7094" s="1"/>
      <c r="Q7094" s="1"/>
      <c r="R7094" s="1"/>
      <c r="Z7094" s="103"/>
      <c r="AA7094" s="103"/>
      <c r="AB7094" s="1"/>
    </row>
    <row r="7095" spans="15:28">
      <c r="O7095" s="1"/>
      <c r="P7095" s="1"/>
      <c r="Q7095" s="1"/>
      <c r="R7095" s="1"/>
      <c r="Z7095" s="103"/>
      <c r="AA7095" s="103"/>
      <c r="AB7095" s="1"/>
    </row>
    <row r="7096" spans="15:28">
      <c r="O7096" s="1"/>
      <c r="P7096" s="1"/>
      <c r="Q7096" s="1"/>
      <c r="R7096" s="1"/>
      <c r="Z7096" s="103"/>
      <c r="AA7096" s="103"/>
      <c r="AB7096" s="1"/>
    </row>
    <row r="7097" spans="15:28">
      <c r="O7097" s="1"/>
      <c r="P7097" s="1"/>
      <c r="Q7097" s="1"/>
      <c r="R7097" s="1"/>
      <c r="Z7097" s="103"/>
      <c r="AA7097" s="103"/>
      <c r="AB7097" s="1"/>
    </row>
    <row r="7098" spans="15:28">
      <c r="O7098" s="1"/>
      <c r="P7098" s="1"/>
      <c r="Q7098" s="1"/>
      <c r="R7098" s="1"/>
      <c r="Z7098" s="103"/>
      <c r="AA7098" s="103"/>
      <c r="AB7098" s="1"/>
    </row>
    <row r="7099" spans="15:28">
      <c r="O7099" s="1"/>
      <c r="P7099" s="1"/>
      <c r="Q7099" s="1"/>
      <c r="R7099" s="1"/>
      <c r="Z7099" s="103"/>
      <c r="AA7099" s="103"/>
      <c r="AB7099" s="1"/>
    </row>
    <row r="7100" spans="15:28">
      <c r="O7100" s="1"/>
      <c r="P7100" s="1"/>
      <c r="Q7100" s="1"/>
      <c r="R7100" s="1"/>
      <c r="Z7100" s="103"/>
      <c r="AA7100" s="103"/>
      <c r="AB7100" s="1"/>
    </row>
    <row r="7101" spans="15:28">
      <c r="O7101" s="1"/>
      <c r="P7101" s="1"/>
      <c r="Q7101" s="1"/>
      <c r="R7101" s="1"/>
      <c r="Z7101" s="103"/>
      <c r="AA7101" s="103"/>
      <c r="AB7101" s="1"/>
    </row>
    <row r="7102" spans="15:28">
      <c r="O7102" s="1"/>
      <c r="P7102" s="1"/>
      <c r="Q7102" s="1"/>
      <c r="R7102" s="1"/>
      <c r="Z7102" s="103"/>
      <c r="AA7102" s="103"/>
      <c r="AB7102" s="1"/>
    </row>
    <row r="7103" spans="15:28">
      <c r="O7103" s="1"/>
      <c r="P7103" s="1"/>
      <c r="Q7103" s="1"/>
      <c r="R7103" s="1"/>
      <c r="Z7103" s="103"/>
      <c r="AA7103" s="103"/>
      <c r="AB7103" s="1"/>
    </row>
    <row r="7104" spans="15:28">
      <c r="O7104" s="1"/>
      <c r="P7104" s="1"/>
      <c r="Q7104" s="1"/>
      <c r="R7104" s="1"/>
      <c r="Z7104" s="103"/>
      <c r="AA7104" s="103"/>
      <c r="AB7104" s="1"/>
    </row>
    <row r="7105" spans="15:28">
      <c r="O7105" s="1"/>
      <c r="P7105" s="1"/>
      <c r="Q7105" s="1"/>
      <c r="R7105" s="1"/>
      <c r="Z7105" s="103"/>
      <c r="AA7105" s="103"/>
      <c r="AB7105" s="1"/>
    </row>
    <row r="7106" spans="15:28">
      <c r="O7106" s="1"/>
      <c r="P7106" s="1"/>
      <c r="Q7106" s="1"/>
      <c r="R7106" s="1"/>
      <c r="Z7106" s="103"/>
      <c r="AA7106" s="103"/>
      <c r="AB7106" s="1"/>
    </row>
    <row r="7107" spans="15:28">
      <c r="O7107" s="1"/>
      <c r="P7107" s="1"/>
      <c r="Q7107" s="1"/>
      <c r="R7107" s="1"/>
      <c r="Z7107" s="103"/>
      <c r="AA7107" s="103"/>
      <c r="AB7107" s="1"/>
    </row>
    <row r="7108" spans="15:28">
      <c r="O7108" s="1"/>
      <c r="P7108" s="1"/>
      <c r="Q7108" s="1"/>
      <c r="R7108" s="1"/>
      <c r="Z7108" s="103"/>
      <c r="AA7108" s="103"/>
      <c r="AB7108" s="1"/>
    </row>
    <row r="7109" spans="15:28">
      <c r="O7109" s="1"/>
      <c r="P7109" s="1"/>
      <c r="Q7109" s="1"/>
      <c r="R7109" s="1"/>
      <c r="Z7109" s="103"/>
      <c r="AA7109" s="103"/>
      <c r="AB7109" s="1"/>
    </row>
    <row r="7110" spans="15:28">
      <c r="O7110" s="1"/>
      <c r="P7110" s="1"/>
      <c r="Q7110" s="1"/>
      <c r="R7110" s="1"/>
      <c r="Z7110" s="103"/>
      <c r="AA7110" s="103"/>
      <c r="AB7110" s="1"/>
    </row>
    <row r="7111" spans="15:28">
      <c r="O7111" s="1"/>
      <c r="P7111" s="1"/>
      <c r="Q7111" s="1"/>
      <c r="R7111" s="1"/>
      <c r="Z7111" s="103"/>
      <c r="AA7111" s="103"/>
      <c r="AB7111" s="1"/>
    </row>
    <row r="7112" spans="15:28">
      <c r="O7112" s="1"/>
      <c r="P7112" s="1"/>
      <c r="Q7112" s="1"/>
      <c r="R7112" s="1"/>
      <c r="Z7112" s="103"/>
      <c r="AA7112" s="103"/>
      <c r="AB7112" s="1"/>
    </row>
    <row r="7113" spans="15:28">
      <c r="O7113" s="1"/>
      <c r="P7113" s="1"/>
      <c r="Q7113" s="1"/>
      <c r="R7113" s="1"/>
      <c r="Z7113" s="103"/>
      <c r="AA7113" s="103"/>
      <c r="AB7113" s="1"/>
    </row>
    <row r="7114" spans="15:28">
      <c r="O7114" s="1"/>
      <c r="P7114" s="1"/>
      <c r="Q7114" s="1"/>
      <c r="R7114" s="1"/>
      <c r="Z7114" s="103"/>
      <c r="AA7114" s="103"/>
      <c r="AB7114" s="1"/>
    </row>
    <row r="7115" spans="15:28">
      <c r="O7115" s="1"/>
      <c r="P7115" s="1"/>
      <c r="Q7115" s="1"/>
      <c r="R7115" s="1"/>
      <c r="Z7115" s="103"/>
      <c r="AA7115" s="103"/>
      <c r="AB7115" s="1"/>
    </row>
    <row r="7116" spans="15:28">
      <c r="O7116" s="1"/>
      <c r="P7116" s="1"/>
      <c r="Q7116" s="1"/>
      <c r="R7116" s="1"/>
      <c r="Z7116" s="103"/>
      <c r="AA7116" s="103"/>
      <c r="AB7116" s="1"/>
    </row>
    <row r="7117" spans="15:28">
      <c r="O7117" s="1"/>
      <c r="P7117" s="1"/>
      <c r="Q7117" s="1"/>
      <c r="R7117" s="1"/>
      <c r="Z7117" s="103"/>
      <c r="AA7117" s="103"/>
      <c r="AB7117" s="1"/>
    </row>
    <row r="7118" spans="15:28">
      <c r="O7118" s="1"/>
      <c r="P7118" s="1"/>
      <c r="Q7118" s="1"/>
      <c r="R7118" s="1"/>
      <c r="Z7118" s="103"/>
      <c r="AA7118" s="103"/>
      <c r="AB7118" s="1"/>
    </row>
    <row r="7119" spans="15:28">
      <c r="O7119" s="1"/>
      <c r="P7119" s="1"/>
      <c r="Q7119" s="1"/>
      <c r="R7119" s="1"/>
      <c r="Z7119" s="103"/>
      <c r="AA7119" s="103"/>
      <c r="AB7119" s="1"/>
    </row>
    <row r="7120" spans="15:28">
      <c r="O7120" s="1"/>
      <c r="P7120" s="1"/>
      <c r="Q7120" s="1"/>
      <c r="R7120" s="1"/>
      <c r="Z7120" s="103"/>
      <c r="AA7120" s="103"/>
      <c r="AB7120" s="1"/>
    </row>
    <row r="7121" spans="15:28">
      <c r="O7121" s="1"/>
      <c r="P7121" s="1"/>
      <c r="Q7121" s="1"/>
      <c r="R7121" s="1"/>
      <c r="Z7121" s="103"/>
      <c r="AA7121" s="103"/>
      <c r="AB7121" s="1"/>
    </row>
    <row r="7122" spans="15:28">
      <c r="O7122" s="1"/>
      <c r="P7122" s="1"/>
      <c r="Q7122" s="1"/>
      <c r="R7122" s="1"/>
      <c r="Z7122" s="103"/>
      <c r="AA7122" s="103"/>
      <c r="AB7122" s="1"/>
    </row>
    <row r="7123" spans="15:28">
      <c r="O7123" s="1"/>
      <c r="P7123" s="1"/>
      <c r="Q7123" s="1"/>
      <c r="R7123" s="1"/>
      <c r="Z7123" s="103"/>
      <c r="AA7123" s="103"/>
      <c r="AB7123" s="1"/>
    </row>
    <row r="7124" spans="15:28">
      <c r="O7124" s="1"/>
      <c r="P7124" s="1"/>
      <c r="Q7124" s="1"/>
      <c r="R7124" s="1"/>
      <c r="Z7124" s="103"/>
      <c r="AA7124" s="103"/>
      <c r="AB7124" s="1"/>
    </row>
    <row r="7125" spans="15:28">
      <c r="O7125" s="1"/>
      <c r="P7125" s="1"/>
      <c r="Q7125" s="1"/>
      <c r="R7125" s="1"/>
      <c r="Z7125" s="103"/>
      <c r="AA7125" s="103"/>
      <c r="AB7125" s="1"/>
    </row>
    <row r="7126" spans="15:28">
      <c r="O7126" s="1"/>
      <c r="P7126" s="1"/>
      <c r="Q7126" s="1"/>
      <c r="R7126" s="1"/>
      <c r="Z7126" s="103"/>
      <c r="AA7126" s="103"/>
      <c r="AB7126" s="1"/>
    </row>
    <row r="7127" spans="15:28">
      <c r="O7127" s="1"/>
      <c r="P7127" s="1"/>
      <c r="Q7127" s="1"/>
      <c r="R7127" s="1"/>
      <c r="Z7127" s="103"/>
      <c r="AA7127" s="103"/>
      <c r="AB7127" s="1"/>
    </row>
    <row r="7128" spans="15:28">
      <c r="O7128" s="1"/>
      <c r="P7128" s="1"/>
      <c r="Q7128" s="1"/>
      <c r="R7128" s="1"/>
      <c r="Z7128" s="103"/>
      <c r="AA7128" s="103"/>
      <c r="AB7128" s="1"/>
    </row>
    <row r="7129" spans="15:28">
      <c r="O7129" s="1"/>
      <c r="P7129" s="1"/>
      <c r="Q7129" s="1"/>
      <c r="R7129" s="1"/>
      <c r="Z7129" s="103"/>
      <c r="AA7129" s="103"/>
      <c r="AB7129" s="1"/>
    </row>
    <row r="7130" spans="15:28">
      <c r="O7130" s="1"/>
      <c r="P7130" s="1"/>
      <c r="Q7130" s="1"/>
      <c r="R7130" s="1"/>
      <c r="Z7130" s="103"/>
      <c r="AA7130" s="103"/>
      <c r="AB7130" s="1"/>
    </row>
    <row r="7131" spans="15:28">
      <c r="O7131" s="1"/>
      <c r="P7131" s="1"/>
      <c r="Q7131" s="1"/>
      <c r="R7131" s="1"/>
      <c r="Z7131" s="103"/>
      <c r="AA7131" s="103"/>
      <c r="AB7131" s="1"/>
    </row>
    <row r="7132" spans="15:28">
      <c r="O7132" s="1"/>
      <c r="P7132" s="1"/>
      <c r="Q7132" s="1"/>
      <c r="R7132" s="1"/>
      <c r="Z7132" s="103"/>
      <c r="AA7132" s="103"/>
      <c r="AB7132" s="1"/>
    </row>
    <row r="7133" spans="15:28">
      <c r="O7133" s="1"/>
      <c r="P7133" s="1"/>
      <c r="Q7133" s="1"/>
      <c r="R7133" s="1"/>
      <c r="Z7133" s="103"/>
      <c r="AA7133" s="103"/>
      <c r="AB7133" s="1"/>
    </row>
    <row r="7134" spans="15:28">
      <c r="O7134" s="1"/>
      <c r="P7134" s="1"/>
      <c r="Q7134" s="1"/>
      <c r="R7134" s="1"/>
      <c r="Z7134" s="103"/>
      <c r="AA7134" s="103"/>
      <c r="AB7134" s="1"/>
    </row>
    <row r="7135" spans="15:28">
      <c r="O7135" s="1"/>
      <c r="P7135" s="1"/>
      <c r="Q7135" s="1"/>
      <c r="R7135" s="1"/>
      <c r="Z7135" s="103"/>
      <c r="AA7135" s="103"/>
      <c r="AB7135" s="1"/>
    </row>
    <row r="7136" spans="15:28">
      <c r="O7136" s="1"/>
      <c r="P7136" s="1"/>
      <c r="Q7136" s="1"/>
      <c r="R7136" s="1"/>
      <c r="Z7136" s="103"/>
      <c r="AA7136" s="103"/>
      <c r="AB7136" s="1"/>
    </row>
    <row r="7137" spans="15:28">
      <c r="O7137" s="1"/>
      <c r="P7137" s="1"/>
      <c r="Q7137" s="1"/>
      <c r="R7137" s="1"/>
      <c r="Z7137" s="103"/>
      <c r="AA7137" s="103"/>
      <c r="AB7137" s="1"/>
    </row>
    <row r="7138" spans="15:28">
      <c r="O7138" s="1"/>
      <c r="P7138" s="1"/>
      <c r="Q7138" s="1"/>
      <c r="R7138" s="1"/>
      <c r="Z7138" s="103"/>
      <c r="AA7138" s="103"/>
      <c r="AB7138" s="1"/>
    </row>
    <row r="7139" spans="15:28">
      <c r="O7139" s="1"/>
      <c r="P7139" s="1"/>
      <c r="Q7139" s="1"/>
      <c r="R7139" s="1"/>
      <c r="Z7139" s="103"/>
      <c r="AA7139" s="103"/>
      <c r="AB7139" s="1"/>
    </row>
    <row r="7140" spans="15:28">
      <c r="O7140" s="1"/>
      <c r="P7140" s="1"/>
      <c r="Q7140" s="1"/>
      <c r="R7140" s="1"/>
      <c r="Z7140" s="103"/>
      <c r="AA7140" s="103"/>
      <c r="AB7140" s="1"/>
    </row>
    <row r="7141" spans="15:28">
      <c r="O7141" s="1"/>
      <c r="P7141" s="1"/>
      <c r="Q7141" s="1"/>
      <c r="R7141" s="1"/>
      <c r="Z7141" s="103"/>
      <c r="AA7141" s="103"/>
      <c r="AB7141" s="1"/>
    </row>
    <row r="7142" spans="15:28">
      <c r="O7142" s="1"/>
      <c r="P7142" s="1"/>
      <c r="Q7142" s="1"/>
      <c r="R7142" s="1"/>
      <c r="Z7142" s="103"/>
      <c r="AA7142" s="103"/>
      <c r="AB7142" s="1"/>
    </row>
    <row r="7143" spans="15:28">
      <c r="O7143" s="1"/>
      <c r="P7143" s="1"/>
      <c r="Q7143" s="1"/>
      <c r="R7143" s="1"/>
      <c r="Z7143" s="103"/>
      <c r="AA7143" s="103"/>
      <c r="AB7143" s="1"/>
    </row>
    <row r="7144" spans="15:28">
      <c r="O7144" s="1"/>
      <c r="P7144" s="1"/>
      <c r="Q7144" s="1"/>
      <c r="R7144" s="1"/>
      <c r="Z7144" s="103"/>
      <c r="AA7144" s="103"/>
      <c r="AB7144" s="1"/>
    </row>
    <row r="7145" spans="15:28">
      <c r="O7145" s="1"/>
      <c r="P7145" s="1"/>
      <c r="Q7145" s="1"/>
      <c r="R7145" s="1"/>
      <c r="Z7145" s="103"/>
      <c r="AA7145" s="103"/>
      <c r="AB7145" s="1"/>
    </row>
    <row r="7146" spans="15:28">
      <c r="O7146" s="1"/>
      <c r="P7146" s="1"/>
      <c r="Q7146" s="1"/>
      <c r="R7146" s="1"/>
      <c r="Z7146" s="103"/>
      <c r="AA7146" s="103"/>
      <c r="AB7146" s="1"/>
    </row>
    <row r="7147" spans="15:28">
      <c r="O7147" s="1"/>
      <c r="P7147" s="1"/>
      <c r="Q7147" s="1"/>
      <c r="R7147" s="1"/>
      <c r="Z7147" s="103"/>
      <c r="AA7147" s="103"/>
      <c r="AB7147" s="1"/>
    </row>
    <row r="7148" spans="15:28">
      <c r="O7148" s="1"/>
      <c r="P7148" s="1"/>
      <c r="Q7148" s="1"/>
      <c r="R7148" s="1"/>
      <c r="Z7148" s="103"/>
      <c r="AA7148" s="103"/>
      <c r="AB7148" s="1"/>
    </row>
    <row r="7149" spans="15:28">
      <c r="O7149" s="1"/>
      <c r="P7149" s="1"/>
      <c r="Q7149" s="1"/>
      <c r="R7149" s="1"/>
      <c r="Z7149" s="103"/>
      <c r="AA7149" s="103"/>
      <c r="AB7149" s="1"/>
    </row>
    <row r="7150" spans="15:28">
      <c r="O7150" s="1"/>
      <c r="P7150" s="1"/>
      <c r="Q7150" s="1"/>
      <c r="R7150" s="1"/>
      <c r="Z7150" s="103"/>
      <c r="AA7150" s="103"/>
      <c r="AB7150" s="1"/>
    </row>
    <row r="7151" spans="15:28">
      <c r="O7151" s="1"/>
      <c r="P7151" s="1"/>
      <c r="Q7151" s="1"/>
      <c r="R7151" s="1"/>
      <c r="Z7151" s="103"/>
      <c r="AA7151" s="103"/>
      <c r="AB7151" s="1"/>
    </row>
    <row r="7152" spans="15:28">
      <c r="O7152" s="1"/>
      <c r="P7152" s="1"/>
      <c r="Q7152" s="1"/>
      <c r="R7152" s="1"/>
      <c r="Z7152" s="103"/>
      <c r="AA7152" s="103"/>
      <c r="AB7152" s="1"/>
    </row>
    <row r="7153" spans="15:28">
      <c r="O7153" s="1"/>
      <c r="P7153" s="1"/>
      <c r="Q7153" s="1"/>
      <c r="R7153" s="1"/>
      <c r="Z7153" s="103"/>
      <c r="AA7153" s="103"/>
      <c r="AB7153" s="1"/>
    </row>
    <row r="7154" spans="15:28">
      <c r="O7154" s="1"/>
      <c r="P7154" s="1"/>
      <c r="Q7154" s="1"/>
      <c r="R7154" s="1"/>
      <c r="Z7154" s="103"/>
      <c r="AA7154" s="103"/>
      <c r="AB7154" s="1"/>
    </row>
    <row r="7155" spans="15:28">
      <c r="O7155" s="1"/>
      <c r="P7155" s="1"/>
      <c r="Q7155" s="1"/>
      <c r="R7155" s="1"/>
      <c r="Z7155" s="103"/>
      <c r="AA7155" s="103"/>
      <c r="AB7155" s="1"/>
    </row>
    <row r="7156" spans="15:28">
      <c r="O7156" s="1"/>
      <c r="P7156" s="1"/>
      <c r="Q7156" s="1"/>
      <c r="R7156" s="1"/>
      <c r="Z7156" s="103"/>
      <c r="AA7156" s="103"/>
      <c r="AB7156" s="1"/>
    </row>
    <row r="7157" spans="15:28">
      <c r="O7157" s="1"/>
      <c r="P7157" s="1"/>
      <c r="Q7157" s="1"/>
      <c r="R7157" s="1"/>
      <c r="Z7157" s="103"/>
      <c r="AA7157" s="103"/>
      <c r="AB7157" s="1"/>
    </row>
    <row r="7158" spans="15:28">
      <c r="O7158" s="1"/>
      <c r="P7158" s="1"/>
      <c r="Q7158" s="1"/>
      <c r="R7158" s="1"/>
      <c r="Z7158" s="103"/>
      <c r="AA7158" s="103"/>
      <c r="AB7158" s="1"/>
    </row>
    <row r="7159" spans="15:28">
      <c r="O7159" s="1"/>
      <c r="P7159" s="1"/>
      <c r="Q7159" s="1"/>
      <c r="R7159" s="1"/>
      <c r="Z7159" s="103"/>
      <c r="AA7159" s="103"/>
      <c r="AB7159" s="1"/>
    </row>
    <row r="7160" spans="15:28">
      <c r="O7160" s="1"/>
      <c r="P7160" s="1"/>
      <c r="Q7160" s="1"/>
      <c r="R7160" s="1"/>
      <c r="Z7160" s="103"/>
      <c r="AA7160" s="103"/>
      <c r="AB7160" s="1"/>
    </row>
    <row r="7161" spans="15:28">
      <c r="O7161" s="1"/>
      <c r="P7161" s="1"/>
      <c r="Q7161" s="1"/>
      <c r="R7161" s="1"/>
      <c r="Z7161" s="103"/>
      <c r="AA7161" s="103"/>
      <c r="AB7161" s="1"/>
    </row>
    <row r="7162" spans="15:28">
      <c r="O7162" s="1"/>
      <c r="P7162" s="1"/>
      <c r="Q7162" s="1"/>
      <c r="R7162" s="1"/>
      <c r="Z7162" s="103"/>
      <c r="AA7162" s="103"/>
      <c r="AB7162" s="1"/>
    </row>
    <row r="7163" spans="15:28">
      <c r="O7163" s="1"/>
      <c r="P7163" s="1"/>
      <c r="Q7163" s="1"/>
      <c r="R7163" s="1"/>
      <c r="Z7163" s="103"/>
      <c r="AA7163" s="103"/>
      <c r="AB7163" s="1"/>
    </row>
    <row r="7164" spans="15:28">
      <c r="O7164" s="1"/>
      <c r="P7164" s="1"/>
      <c r="Q7164" s="1"/>
      <c r="R7164" s="1"/>
      <c r="Z7164" s="103"/>
      <c r="AA7164" s="103"/>
      <c r="AB7164" s="1"/>
    </row>
    <row r="7165" spans="15:28">
      <c r="O7165" s="1"/>
      <c r="P7165" s="1"/>
      <c r="Q7165" s="1"/>
      <c r="R7165" s="1"/>
      <c r="Z7165" s="103"/>
      <c r="AA7165" s="103"/>
      <c r="AB7165" s="1"/>
    </row>
    <row r="7166" spans="15:28">
      <c r="O7166" s="1"/>
      <c r="P7166" s="1"/>
      <c r="Q7166" s="1"/>
      <c r="R7166" s="1"/>
      <c r="Z7166" s="103"/>
      <c r="AA7166" s="103"/>
      <c r="AB7166" s="1"/>
    </row>
    <row r="7167" spans="15:28">
      <c r="O7167" s="1"/>
      <c r="P7167" s="1"/>
      <c r="Q7167" s="1"/>
      <c r="R7167" s="1"/>
      <c r="Z7167" s="103"/>
      <c r="AA7167" s="103"/>
      <c r="AB7167" s="1"/>
    </row>
    <row r="7168" spans="15:28">
      <c r="O7168" s="1"/>
      <c r="P7168" s="1"/>
      <c r="Q7168" s="1"/>
      <c r="R7168" s="1"/>
      <c r="Z7168" s="103"/>
      <c r="AA7168" s="103"/>
      <c r="AB7168" s="1"/>
    </row>
    <row r="7169" spans="15:28">
      <c r="O7169" s="1"/>
      <c r="P7169" s="1"/>
      <c r="Q7169" s="1"/>
      <c r="R7169" s="1"/>
      <c r="Z7169" s="103"/>
      <c r="AA7169" s="103"/>
      <c r="AB7169" s="1"/>
    </row>
    <row r="7170" spans="15:28">
      <c r="O7170" s="1"/>
      <c r="P7170" s="1"/>
      <c r="Q7170" s="1"/>
      <c r="R7170" s="1"/>
      <c r="Z7170" s="103"/>
      <c r="AA7170" s="103"/>
      <c r="AB7170" s="1"/>
    </row>
    <row r="7171" spans="15:28">
      <c r="O7171" s="1"/>
      <c r="P7171" s="1"/>
      <c r="Q7171" s="1"/>
      <c r="R7171" s="1"/>
      <c r="Z7171" s="103"/>
      <c r="AA7171" s="103"/>
      <c r="AB7171" s="1"/>
    </row>
    <row r="7172" spans="15:28">
      <c r="O7172" s="1"/>
      <c r="P7172" s="1"/>
      <c r="Q7172" s="1"/>
      <c r="R7172" s="1"/>
      <c r="Z7172" s="103"/>
      <c r="AA7172" s="103"/>
      <c r="AB7172" s="1"/>
    </row>
    <row r="7173" spans="15:28">
      <c r="O7173" s="1"/>
      <c r="P7173" s="1"/>
      <c r="Q7173" s="1"/>
      <c r="R7173" s="1"/>
      <c r="Z7173" s="103"/>
      <c r="AA7173" s="103"/>
      <c r="AB7173" s="1"/>
    </row>
    <row r="7174" spans="15:28">
      <c r="O7174" s="1"/>
      <c r="P7174" s="1"/>
      <c r="Q7174" s="1"/>
      <c r="R7174" s="1"/>
      <c r="Z7174" s="103"/>
      <c r="AA7174" s="103"/>
      <c r="AB7174" s="1"/>
    </row>
    <row r="7175" spans="15:28">
      <c r="O7175" s="1"/>
      <c r="P7175" s="1"/>
      <c r="Q7175" s="1"/>
      <c r="R7175" s="1"/>
      <c r="Z7175" s="103"/>
      <c r="AA7175" s="103"/>
      <c r="AB7175" s="1"/>
    </row>
    <row r="7176" spans="15:28">
      <c r="O7176" s="1"/>
      <c r="P7176" s="1"/>
      <c r="Q7176" s="1"/>
      <c r="R7176" s="1"/>
      <c r="Z7176" s="103"/>
      <c r="AA7176" s="103"/>
      <c r="AB7176" s="1"/>
    </row>
    <row r="7177" spans="15:28">
      <c r="O7177" s="1"/>
      <c r="P7177" s="1"/>
      <c r="Q7177" s="1"/>
      <c r="R7177" s="1"/>
      <c r="Z7177" s="103"/>
      <c r="AA7177" s="103"/>
      <c r="AB7177" s="1"/>
    </row>
    <row r="7178" spans="15:28">
      <c r="O7178" s="1"/>
      <c r="P7178" s="1"/>
      <c r="Q7178" s="1"/>
      <c r="R7178" s="1"/>
      <c r="Z7178" s="103"/>
      <c r="AA7178" s="103"/>
      <c r="AB7178" s="1"/>
    </row>
    <row r="7179" spans="15:28">
      <c r="O7179" s="1"/>
      <c r="P7179" s="1"/>
      <c r="Q7179" s="1"/>
      <c r="R7179" s="1"/>
      <c r="Z7179" s="103"/>
      <c r="AA7179" s="103"/>
      <c r="AB7179" s="1"/>
    </row>
    <row r="7180" spans="15:28">
      <c r="O7180" s="1"/>
      <c r="P7180" s="1"/>
      <c r="Q7180" s="1"/>
      <c r="R7180" s="1"/>
      <c r="Z7180" s="103"/>
      <c r="AA7180" s="103"/>
      <c r="AB7180" s="1"/>
    </row>
    <row r="7181" spans="15:28">
      <c r="O7181" s="1"/>
      <c r="P7181" s="1"/>
      <c r="Q7181" s="1"/>
      <c r="R7181" s="1"/>
      <c r="Z7181" s="103"/>
      <c r="AA7181" s="103"/>
      <c r="AB7181" s="1"/>
    </row>
    <row r="7182" spans="15:28">
      <c r="O7182" s="1"/>
      <c r="P7182" s="1"/>
      <c r="Q7182" s="1"/>
      <c r="R7182" s="1"/>
      <c r="Z7182" s="103"/>
      <c r="AA7182" s="103"/>
      <c r="AB7182" s="1"/>
    </row>
    <row r="7183" spans="15:28">
      <c r="O7183" s="1"/>
      <c r="P7183" s="1"/>
      <c r="Q7183" s="1"/>
      <c r="R7183" s="1"/>
      <c r="Z7183" s="103"/>
      <c r="AA7183" s="103"/>
      <c r="AB7183" s="1"/>
    </row>
    <row r="7184" spans="15:28">
      <c r="O7184" s="1"/>
      <c r="P7184" s="1"/>
      <c r="Q7184" s="1"/>
      <c r="R7184" s="1"/>
      <c r="Z7184" s="103"/>
      <c r="AA7184" s="103"/>
      <c r="AB7184" s="1"/>
    </row>
    <row r="7185" spans="15:28">
      <c r="O7185" s="1"/>
      <c r="P7185" s="1"/>
      <c r="Q7185" s="1"/>
      <c r="R7185" s="1"/>
      <c r="Z7185" s="103"/>
      <c r="AA7185" s="103"/>
      <c r="AB7185" s="1"/>
    </row>
    <row r="7186" spans="15:28">
      <c r="O7186" s="1"/>
      <c r="P7186" s="1"/>
      <c r="Q7186" s="1"/>
      <c r="R7186" s="1"/>
      <c r="Z7186" s="103"/>
      <c r="AA7186" s="103"/>
      <c r="AB7186" s="1"/>
    </row>
    <row r="7187" spans="15:28">
      <c r="O7187" s="1"/>
      <c r="P7187" s="1"/>
      <c r="Q7187" s="1"/>
      <c r="R7187" s="1"/>
      <c r="Z7187" s="103"/>
      <c r="AA7187" s="103"/>
      <c r="AB7187" s="1"/>
    </row>
    <row r="7188" spans="15:28">
      <c r="O7188" s="1"/>
      <c r="P7188" s="1"/>
      <c r="Q7188" s="1"/>
      <c r="R7188" s="1"/>
      <c r="Z7188" s="103"/>
      <c r="AA7188" s="103"/>
      <c r="AB7188" s="1"/>
    </row>
    <row r="7189" spans="15:28">
      <c r="O7189" s="1"/>
      <c r="P7189" s="1"/>
      <c r="Q7189" s="1"/>
      <c r="R7189" s="1"/>
      <c r="Z7189" s="103"/>
      <c r="AA7189" s="103"/>
      <c r="AB7189" s="1"/>
    </row>
    <row r="7190" spans="15:28">
      <c r="O7190" s="1"/>
      <c r="P7190" s="1"/>
      <c r="Q7190" s="1"/>
      <c r="R7190" s="1"/>
      <c r="Z7190" s="103"/>
      <c r="AA7190" s="103"/>
      <c r="AB7190" s="1"/>
    </row>
    <row r="7191" spans="15:28">
      <c r="O7191" s="1"/>
      <c r="P7191" s="1"/>
      <c r="Q7191" s="1"/>
      <c r="R7191" s="1"/>
      <c r="Z7191" s="103"/>
      <c r="AA7191" s="103"/>
      <c r="AB7191" s="1"/>
    </row>
    <row r="7192" spans="15:28">
      <c r="O7192" s="1"/>
      <c r="P7192" s="1"/>
      <c r="Q7192" s="1"/>
      <c r="R7192" s="1"/>
      <c r="Z7192" s="103"/>
      <c r="AA7192" s="103"/>
      <c r="AB7192" s="1"/>
    </row>
    <row r="7193" spans="15:28">
      <c r="O7193" s="1"/>
      <c r="P7193" s="1"/>
      <c r="Q7193" s="1"/>
      <c r="R7193" s="1"/>
      <c r="Z7193" s="103"/>
      <c r="AA7193" s="103"/>
      <c r="AB7193" s="1"/>
    </row>
    <row r="7194" spans="15:28">
      <c r="O7194" s="1"/>
      <c r="P7194" s="1"/>
      <c r="Q7194" s="1"/>
      <c r="R7194" s="1"/>
      <c r="Z7194" s="103"/>
      <c r="AA7194" s="103"/>
      <c r="AB7194" s="1"/>
    </row>
    <row r="7195" spans="15:28">
      <c r="O7195" s="1"/>
      <c r="P7195" s="1"/>
      <c r="Q7195" s="1"/>
      <c r="R7195" s="1"/>
      <c r="Z7195" s="103"/>
      <c r="AA7195" s="103"/>
      <c r="AB7195" s="1"/>
    </row>
    <row r="7196" spans="15:28">
      <c r="O7196" s="1"/>
      <c r="P7196" s="1"/>
      <c r="Q7196" s="1"/>
      <c r="R7196" s="1"/>
      <c r="Z7196" s="103"/>
      <c r="AA7196" s="103"/>
      <c r="AB7196" s="1"/>
    </row>
    <row r="7197" spans="15:28">
      <c r="O7197" s="1"/>
      <c r="P7197" s="1"/>
      <c r="Q7197" s="1"/>
      <c r="R7197" s="1"/>
      <c r="Z7197" s="103"/>
      <c r="AA7197" s="103"/>
      <c r="AB7197" s="1"/>
    </row>
    <row r="7198" spans="15:28">
      <c r="O7198" s="1"/>
      <c r="P7198" s="1"/>
      <c r="Q7198" s="1"/>
      <c r="R7198" s="1"/>
      <c r="Z7198" s="103"/>
      <c r="AA7198" s="103"/>
      <c r="AB7198" s="1"/>
    </row>
    <row r="7199" spans="15:28">
      <c r="O7199" s="1"/>
      <c r="P7199" s="1"/>
      <c r="Q7199" s="1"/>
      <c r="R7199" s="1"/>
      <c r="Z7199" s="103"/>
      <c r="AA7199" s="103"/>
      <c r="AB7199" s="1"/>
    </row>
    <row r="7200" spans="15:28">
      <c r="O7200" s="1"/>
      <c r="P7200" s="1"/>
      <c r="Q7200" s="1"/>
      <c r="R7200" s="1"/>
      <c r="Z7200" s="103"/>
      <c r="AA7200" s="103"/>
      <c r="AB7200" s="1"/>
    </row>
    <row r="7201" spans="15:28">
      <c r="O7201" s="1"/>
      <c r="P7201" s="1"/>
      <c r="Q7201" s="1"/>
      <c r="R7201" s="1"/>
      <c r="Z7201" s="103"/>
      <c r="AA7201" s="103"/>
      <c r="AB7201" s="1"/>
    </row>
    <row r="7202" spans="15:28">
      <c r="O7202" s="1"/>
      <c r="P7202" s="1"/>
      <c r="Q7202" s="1"/>
      <c r="R7202" s="1"/>
      <c r="Z7202" s="103"/>
      <c r="AA7202" s="103"/>
      <c r="AB7202" s="1"/>
    </row>
    <row r="7203" spans="15:28">
      <c r="O7203" s="1"/>
      <c r="P7203" s="1"/>
      <c r="Q7203" s="1"/>
      <c r="R7203" s="1"/>
      <c r="Z7203" s="103"/>
      <c r="AA7203" s="103"/>
      <c r="AB7203" s="1"/>
    </row>
    <row r="7204" spans="15:28">
      <c r="O7204" s="1"/>
      <c r="P7204" s="1"/>
      <c r="Q7204" s="1"/>
      <c r="R7204" s="1"/>
      <c r="Z7204" s="103"/>
      <c r="AA7204" s="103"/>
      <c r="AB7204" s="1"/>
    </row>
    <row r="7205" spans="15:28">
      <c r="O7205" s="1"/>
      <c r="P7205" s="1"/>
      <c r="Q7205" s="1"/>
      <c r="R7205" s="1"/>
      <c r="Z7205" s="103"/>
      <c r="AA7205" s="103"/>
      <c r="AB7205" s="1"/>
    </row>
    <row r="7206" spans="15:28">
      <c r="O7206" s="1"/>
      <c r="P7206" s="1"/>
      <c r="Q7206" s="1"/>
      <c r="R7206" s="1"/>
      <c r="Z7206" s="103"/>
      <c r="AA7206" s="103"/>
      <c r="AB7206" s="1"/>
    </row>
    <row r="7207" spans="15:28">
      <c r="O7207" s="1"/>
      <c r="P7207" s="1"/>
      <c r="Q7207" s="1"/>
      <c r="R7207" s="1"/>
      <c r="Z7207" s="103"/>
      <c r="AA7207" s="103"/>
      <c r="AB7207" s="1"/>
    </row>
    <row r="7208" spans="15:28">
      <c r="O7208" s="1"/>
      <c r="P7208" s="1"/>
      <c r="Q7208" s="1"/>
      <c r="R7208" s="1"/>
      <c r="Z7208" s="103"/>
      <c r="AA7208" s="103"/>
      <c r="AB7208" s="1"/>
    </row>
    <row r="7209" spans="15:28">
      <c r="O7209" s="1"/>
      <c r="P7209" s="1"/>
      <c r="Q7209" s="1"/>
      <c r="R7209" s="1"/>
      <c r="Z7209" s="103"/>
      <c r="AA7209" s="103"/>
      <c r="AB7209" s="1"/>
    </row>
    <row r="7210" spans="15:28">
      <c r="O7210" s="1"/>
      <c r="P7210" s="1"/>
      <c r="Q7210" s="1"/>
      <c r="R7210" s="1"/>
      <c r="Z7210" s="103"/>
      <c r="AA7210" s="103"/>
      <c r="AB7210" s="1"/>
    </row>
    <row r="7211" spans="15:28">
      <c r="O7211" s="1"/>
      <c r="P7211" s="1"/>
      <c r="Q7211" s="1"/>
      <c r="R7211" s="1"/>
      <c r="Z7211" s="103"/>
      <c r="AA7211" s="103"/>
      <c r="AB7211" s="1"/>
    </row>
    <row r="7212" spans="15:28">
      <c r="O7212" s="1"/>
      <c r="P7212" s="1"/>
      <c r="Q7212" s="1"/>
      <c r="R7212" s="1"/>
      <c r="Z7212" s="103"/>
      <c r="AA7212" s="103"/>
      <c r="AB7212" s="1"/>
    </row>
    <row r="7213" spans="15:28">
      <c r="O7213" s="1"/>
      <c r="P7213" s="1"/>
      <c r="Q7213" s="1"/>
      <c r="R7213" s="1"/>
      <c r="Z7213" s="103"/>
      <c r="AA7213" s="103"/>
      <c r="AB7213" s="1"/>
    </row>
    <row r="7214" spans="15:28">
      <c r="O7214" s="1"/>
      <c r="P7214" s="1"/>
      <c r="Q7214" s="1"/>
      <c r="R7214" s="1"/>
      <c r="Z7214" s="103"/>
      <c r="AA7214" s="103"/>
      <c r="AB7214" s="1"/>
    </row>
    <row r="7215" spans="15:28">
      <c r="O7215" s="1"/>
      <c r="P7215" s="1"/>
      <c r="Q7215" s="1"/>
      <c r="R7215" s="1"/>
      <c r="Z7215" s="103"/>
      <c r="AA7215" s="103"/>
      <c r="AB7215" s="1"/>
    </row>
    <row r="7216" spans="15:28">
      <c r="O7216" s="1"/>
      <c r="P7216" s="1"/>
      <c r="Q7216" s="1"/>
      <c r="R7216" s="1"/>
      <c r="Z7216" s="103"/>
      <c r="AA7216" s="103"/>
      <c r="AB7216" s="1"/>
    </row>
    <row r="7217" spans="15:28">
      <c r="O7217" s="1"/>
      <c r="P7217" s="1"/>
      <c r="Q7217" s="1"/>
      <c r="R7217" s="1"/>
      <c r="Z7217" s="103"/>
      <c r="AA7217" s="103"/>
      <c r="AB7217" s="1"/>
    </row>
    <row r="7218" spans="15:28">
      <c r="O7218" s="1"/>
      <c r="P7218" s="1"/>
      <c r="Q7218" s="1"/>
      <c r="R7218" s="1"/>
      <c r="Z7218" s="103"/>
      <c r="AA7218" s="103"/>
      <c r="AB7218" s="1"/>
    </row>
    <row r="7219" spans="15:28">
      <c r="O7219" s="1"/>
      <c r="P7219" s="1"/>
      <c r="Q7219" s="1"/>
      <c r="R7219" s="1"/>
      <c r="Z7219" s="103"/>
      <c r="AA7219" s="103"/>
      <c r="AB7219" s="1"/>
    </row>
    <row r="7220" spans="15:28">
      <c r="O7220" s="1"/>
      <c r="P7220" s="1"/>
      <c r="Q7220" s="1"/>
      <c r="R7220" s="1"/>
      <c r="Z7220" s="103"/>
      <c r="AA7220" s="103"/>
      <c r="AB7220" s="1"/>
    </row>
    <row r="7221" spans="15:28">
      <c r="O7221" s="1"/>
      <c r="P7221" s="1"/>
      <c r="Q7221" s="1"/>
      <c r="R7221" s="1"/>
      <c r="Z7221" s="103"/>
      <c r="AA7221" s="103"/>
      <c r="AB7221" s="1"/>
    </row>
    <row r="7222" spans="15:28">
      <c r="O7222" s="1"/>
      <c r="P7222" s="1"/>
      <c r="Q7222" s="1"/>
      <c r="R7222" s="1"/>
      <c r="Z7222" s="103"/>
      <c r="AA7222" s="103"/>
      <c r="AB7222" s="1"/>
    </row>
    <row r="7223" spans="15:28">
      <c r="O7223" s="1"/>
      <c r="P7223" s="1"/>
      <c r="Q7223" s="1"/>
      <c r="R7223" s="1"/>
      <c r="Z7223" s="103"/>
      <c r="AA7223" s="103"/>
      <c r="AB7223" s="1"/>
    </row>
    <row r="7224" spans="15:28">
      <c r="O7224" s="1"/>
      <c r="P7224" s="1"/>
      <c r="Q7224" s="1"/>
      <c r="R7224" s="1"/>
      <c r="Z7224" s="103"/>
      <c r="AA7224" s="103"/>
      <c r="AB7224" s="1"/>
    </row>
    <row r="7225" spans="15:28">
      <c r="O7225" s="1"/>
      <c r="P7225" s="1"/>
      <c r="Q7225" s="1"/>
      <c r="R7225" s="1"/>
      <c r="Z7225" s="103"/>
      <c r="AA7225" s="103"/>
      <c r="AB7225" s="1"/>
    </row>
    <row r="7226" spans="15:28">
      <c r="O7226" s="1"/>
      <c r="P7226" s="1"/>
      <c r="Q7226" s="1"/>
      <c r="R7226" s="1"/>
      <c r="Z7226" s="103"/>
      <c r="AA7226" s="103"/>
      <c r="AB7226" s="1"/>
    </row>
    <row r="7227" spans="15:28">
      <c r="O7227" s="1"/>
      <c r="P7227" s="1"/>
      <c r="Q7227" s="1"/>
      <c r="R7227" s="1"/>
      <c r="Z7227" s="103"/>
      <c r="AA7227" s="103"/>
      <c r="AB7227" s="1"/>
    </row>
    <row r="7228" spans="15:28">
      <c r="O7228" s="1"/>
      <c r="P7228" s="1"/>
      <c r="Q7228" s="1"/>
      <c r="R7228" s="1"/>
      <c r="Z7228" s="103"/>
      <c r="AA7228" s="103"/>
      <c r="AB7228" s="1"/>
    </row>
    <row r="7229" spans="15:28">
      <c r="O7229" s="1"/>
      <c r="P7229" s="1"/>
      <c r="Q7229" s="1"/>
      <c r="R7229" s="1"/>
      <c r="Z7229" s="103"/>
      <c r="AA7229" s="103"/>
      <c r="AB7229" s="1"/>
    </row>
    <row r="7230" spans="15:28">
      <c r="O7230" s="1"/>
      <c r="P7230" s="1"/>
      <c r="Q7230" s="1"/>
      <c r="R7230" s="1"/>
      <c r="Z7230" s="103"/>
      <c r="AA7230" s="103"/>
      <c r="AB7230" s="1"/>
    </row>
    <row r="7231" spans="15:28">
      <c r="O7231" s="1"/>
      <c r="P7231" s="1"/>
      <c r="Q7231" s="1"/>
      <c r="R7231" s="1"/>
      <c r="Z7231" s="103"/>
      <c r="AA7231" s="103"/>
      <c r="AB7231" s="1"/>
    </row>
    <row r="7232" spans="15:28">
      <c r="O7232" s="1"/>
      <c r="P7232" s="1"/>
      <c r="Q7232" s="1"/>
      <c r="R7232" s="1"/>
      <c r="Z7232" s="103"/>
      <c r="AA7232" s="103"/>
      <c r="AB7232" s="1"/>
    </row>
    <row r="7233" spans="15:28">
      <c r="O7233" s="1"/>
      <c r="P7233" s="1"/>
      <c r="Q7233" s="1"/>
      <c r="R7233" s="1"/>
      <c r="Z7233" s="103"/>
      <c r="AA7233" s="103"/>
      <c r="AB7233" s="1"/>
    </row>
    <row r="7234" spans="15:28">
      <c r="O7234" s="1"/>
      <c r="P7234" s="1"/>
      <c r="Q7234" s="1"/>
      <c r="R7234" s="1"/>
      <c r="Z7234" s="103"/>
      <c r="AA7234" s="103"/>
      <c r="AB7234" s="1"/>
    </row>
    <row r="7235" spans="15:28">
      <c r="O7235" s="1"/>
      <c r="P7235" s="1"/>
      <c r="Q7235" s="1"/>
      <c r="R7235" s="1"/>
      <c r="Z7235" s="103"/>
      <c r="AA7235" s="103"/>
      <c r="AB7235" s="1"/>
    </row>
    <row r="7236" spans="15:28">
      <c r="O7236" s="1"/>
      <c r="P7236" s="1"/>
      <c r="Q7236" s="1"/>
      <c r="R7236" s="1"/>
      <c r="Z7236" s="103"/>
      <c r="AA7236" s="103"/>
      <c r="AB7236" s="1"/>
    </row>
    <row r="7237" spans="15:28">
      <c r="O7237" s="1"/>
      <c r="P7237" s="1"/>
      <c r="Q7237" s="1"/>
      <c r="R7237" s="1"/>
      <c r="Z7237" s="103"/>
      <c r="AA7237" s="103"/>
      <c r="AB7237" s="1"/>
    </row>
    <row r="7238" spans="15:28">
      <c r="O7238" s="1"/>
      <c r="P7238" s="1"/>
      <c r="Q7238" s="1"/>
      <c r="R7238" s="1"/>
      <c r="Z7238" s="103"/>
      <c r="AA7238" s="103"/>
      <c r="AB7238" s="1"/>
    </row>
    <row r="7239" spans="15:28">
      <c r="O7239" s="1"/>
      <c r="P7239" s="1"/>
      <c r="Q7239" s="1"/>
      <c r="R7239" s="1"/>
      <c r="Z7239" s="103"/>
      <c r="AA7239" s="103"/>
      <c r="AB7239" s="1"/>
    </row>
    <row r="7240" spans="15:28">
      <c r="O7240" s="1"/>
      <c r="P7240" s="1"/>
      <c r="Q7240" s="1"/>
      <c r="R7240" s="1"/>
      <c r="Z7240" s="103"/>
      <c r="AA7240" s="103"/>
      <c r="AB7240" s="1"/>
    </row>
    <row r="7241" spans="15:28">
      <c r="O7241" s="1"/>
      <c r="P7241" s="1"/>
      <c r="Q7241" s="1"/>
      <c r="R7241" s="1"/>
      <c r="Z7241" s="103"/>
      <c r="AA7241" s="103"/>
      <c r="AB7241" s="1"/>
    </row>
    <row r="7242" spans="15:28">
      <c r="O7242" s="1"/>
      <c r="P7242" s="1"/>
      <c r="Q7242" s="1"/>
      <c r="R7242" s="1"/>
      <c r="Z7242" s="103"/>
      <c r="AA7242" s="103"/>
      <c r="AB7242" s="1"/>
    </row>
    <row r="7243" spans="15:28">
      <c r="O7243" s="1"/>
      <c r="P7243" s="1"/>
      <c r="Q7243" s="1"/>
      <c r="R7243" s="1"/>
      <c r="Z7243" s="103"/>
      <c r="AA7243" s="103"/>
      <c r="AB7243" s="1"/>
    </row>
    <row r="7244" spans="15:28">
      <c r="O7244" s="1"/>
      <c r="P7244" s="1"/>
      <c r="Q7244" s="1"/>
      <c r="R7244" s="1"/>
      <c r="Z7244" s="103"/>
      <c r="AA7244" s="103"/>
      <c r="AB7244" s="1"/>
    </row>
    <row r="7245" spans="15:28">
      <c r="O7245" s="1"/>
      <c r="P7245" s="1"/>
      <c r="Q7245" s="1"/>
      <c r="R7245" s="1"/>
      <c r="Z7245" s="103"/>
      <c r="AA7245" s="103"/>
      <c r="AB7245" s="1"/>
    </row>
    <row r="7246" spans="15:28">
      <c r="O7246" s="1"/>
      <c r="P7246" s="1"/>
      <c r="Q7246" s="1"/>
      <c r="R7246" s="1"/>
      <c r="Z7246" s="103"/>
      <c r="AA7246" s="103"/>
      <c r="AB7246" s="1"/>
    </row>
    <row r="7247" spans="15:28">
      <c r="O7247" s="1"/>
      <c r="P7247" s="1"/>
      <c r="Q7247" s="1"/>
      <c r="R7247" s="1"/>
      <c r="Z7247" s="103"/>
      <c r="AA7247" s="103"/>
      <c r="AB7247" s="1"/>
    </row>
    <row r="7248" spans="15:28">
      <c r="O7248" s="1"/>
      <c r="P7248" s="1"/>
      <c r="Q7248" s="1"/>
      <c r="R7248" s="1"/>
      <c r="Z7248" s="103"/>
      <c r="AA7248" s="103"/>
      <c r="AB7248" s="1"/>
    </row>
    <row r="7249" spans="15:28">
      <c r="O7249" s="1"/>
      <c r="P7249" s="1"/>
      <c r="Q7249" s="1"/>
      <c r="R7249" s="1"/>
      <c r="Z7249" s="103"/>
      <c r="AA7249" s="103"/>
      <c r="AB7249" s="1"/>
    </row>
    <row r="7250" spans="15:28">
      <c r="O7250" s="1"/>
      <c r="P7250" s="1"/>
      <c r="Q7250" s="1"/>
      <c r="R7250" s="1"/>
      <c r="Z7250" s="103"/>
      <c r="AA7250" s="103"/>
      <c r="AB7250" s="1"/>
    </row>
    <row r="7251" spans="15:28">
      <c r="O7251" s="1"/>
      <c r="P7251" s="1"/>
      <c r="Q7251" s="1"/>
      <c r="R7251" s="1"/>
      <c r="Z7251" s="103"/>
      <c r="AA7251" s="103"/>
      <c r="AB7251" s="1"/>
    </row>
    <row r="7252" spans="15:28">
      <c r="O7252" s="1"/>
      <c r="P7252" s="1"/>
      <c r="Q7252" s="1"/>
      <c r="R7252" s="1"/>
      <c r="Z7252" s="103"/>
      <c r="AA7252" s="103"/>
      <c r="AB7252" s="1"/>
    </row>
    <row r="7253" spans="15:28">
      <c r="O7253" s="1"/>
      <c r="P7253" s="1"/>
      <c r="Q7253" s="1"/>
      <c r="R7253" s="1"/>
      <c r="Z7253" s="103"/>
      <c r="AA7253" s="103"/>
      <c r="AB7253" s="1"/>
    </row>
    <row r="7254" spans="15:28">
      <c r="O7254" s="1"/>
      <c r="P7254" s="1"/>
      <c r="Q7254" s="1"/>
      <c r="R7254" s="1"/>
      <c r="Z7254" s="103"/>
      <c r="AA7254" s="103"/>
      <c r="AB7254" s="1"/>
    </row>
    <row r="7255" spans="15:28">
      <c r="O7255" s="1"/>
      <c r="P7255" s="1"/>
      <c r="Q7255" s="1"/>
      <c r="R7255" s="1"/>
      <c r="Z7255" s="103"/>
      <c r="AA7255" s="103"/>
      <c r="AB7255" s="1"/>
    </row>
    <row r="7256" spans="15:28">
      <c r="O7256" s="1"/>
      <c r="P7256" s="1"/>
      <c r="Q7256" s="1"/>
      <c r="R7256" s="1"/>
      <c r="Z7256" s="103"/>
      <c r="AA7256" s="103"/>
      <c r="AB7256" s="1"/>
    </row>
    <row r="7257" spans="15:28">
      <c r="O7257" s="1"/>
      <c r="P7257" s="1"/>
      <c r="Q7257" s="1"/>
      <c r="R7257" s="1"/>
      <c r="Z7257" s="103"/>
      <c r="AA7257" s="103"/>
      <c r="AB7257" s="1"/>
    </row>
    <row r="7258" spans="15:28">
      <c r="O7258" s="1"/>
      <c r="P7258" s="1"/>
      <c r="Q7258" s="1"/>
      <c r="R7258" s="1"/>
      <c r="Z7258" s="103"/>
      <c r="AA7258" s="103"/>
      <c r="AB7258" s="1"/>
    </row>
    <row r="7259" spans="15:28">
      <c r="O7259" s="1"/>
      <c r="P7259" s="1"/>
      <c r="Q7259" s="1"/>
      <c r="R7259" s="1"/>
      <c r="Z7259" s="103"/>
      <c r="AA7259" s="103"/>
      <c r="AB7259" s="1"/>
    </row>
    <row r="7260" spans="15:28">
      <c r="O7260" s="1"/>
      <c r="P7260" s="1"/>
      <c r="Q7260" s="1"/>
      <c r="R7260" s="1"/>
      <c r="Z7260" s="103"/>
      <c r="AA7260" s="103"/>
      <c r="AB7260" s="1"/>
    </row>
    <row r="7261" spans="15:28">
      <c r="O7261" s="1"/>
      <c r="P7261" s="1"/>
      <c r="Q7261" s="1"/>
      <c r="R7261" s="1"/>
      <c r="Z7261" s="103"/>
      <c r="AA7261" s="103"/>
      <c r="AB7261" s="1"/>
    </row>
    <row r="7262" spans="15:28">
      <c r="O7262" s="1"/>
      <c r="P7262" s="1"/>
      <c r="Q7262" s="1"/>
      <c r="R7262" s="1"/>
      <c r="Z7262" s="103"/>
      <c r="AA7262" s="103"/>
      <c r="AB7262" s="1"/>
    </row>
    <row r="7263" spans="15:28">
      <c r="O7263" s="1"/>
      <c r="P7263" s="1"/>
      <c r="Q7263" s="1"/>
      <c r="R7263" s="1"/>
      <c r="Z7263" s="103"/>
      <c r="AA7263" s="103"/>
      <c r="AB7263" s="1"/>
    </row>
    <row r="7264" spans="15:28">
      <c r="O7264" s="1"/>
      <c r="P7264" s="1"/>
      <c r="Q7264" s="1"/>
      <c r="R7264" s="1"/>
      <c r="Z7264" s="103"/>
      <c r="AA7264" s="103"/>
      <c r="AB7264" s="1"/>
    </row>
    <row r="7265" spans="15:28">
      <c r="O7265" s="1"/>
      <c r="P7265" s="1"/>
      <c r="Q7265" s="1"/>
      <c r="R7265" s="1"/>
      <c r="Z7265" s="103"/>
      <c r="AA7265" s="103"/>
      <c r="AB7265" s="1"/>
    </row>
    <row r="7266" spans="15:28">
      <c r="O7266" s="1"/>
      <c r="P7266" s="1"/>
      <c r="Q7266" s="1"/>
      <c r="R7266" s="1"/>
      <c r="Z7266" s="103"/>
      <c r="AA7266" s="103"/>
      <c r="AB7266" s="1"/>
    </row>
    <row r="7267" spans="15:28">
      <c r="O7267" s="1"/>
      <c r="P7267" s="1"/>
      <c r="Q7267" s="1"/>
      <c r="R7267" s="1"/>
      <c r="Z7267" s="103"/>
      <c r="AA7267" s="103"/>
      <c r="AB7267" s="1"/>
    </row>
    <row r="7268" spans="15:28">
      <c r="O7268" s="1"/>
      <c r="P7268" s="1"/>
      <c r="Q7268" s="1"/>
      <c r="R7268" s="1"/>
      <c r="Z7268" s="103"/>
      <c r="AA7268" s="103"/>
      <c r="AB7268" s="1"/>
    </row>
    <row r="7269" spans="15:28">
      <c r="O7269" s="1"/>
      <c r="P7269" s="1"/>
      <c r="Q7269" s="1"/>
      <c r="R7269" s="1"/>
      <c r="Z7269" s="103"/>
      <c r="AA7269" s="103"/>
      <c r="AB7269" s="1"/>
    </row>
    <row r="7270" spans="15:28">
      <c r="O7270" s="1"/>
      <c r="P7270" s="1"/>
      <c r="Q7270" s="1"/>
      <c r="R7270" s="1"/>
      <c r="Z7270" s="103"/>
      <c r="AA7270" s="103"/>
      <c r="AB7270" s="1"/>
    </row>
    <row r="7271" spans="15:28">
      <c r="O7271" s="1"/>
      <c r="P7271" s="1"/>
      <c r="Q7271" s="1"/>
      <c r="R7271" s="1"/>
      <c r="Z7271" s="103"/>
      <c r="AA7271" s="103"/>
      <c r="AB7271" s="1"/>
    </row>
    <row r="7272" spans="15:28">
      <c r="O7272" s="1"/>
      <c r="P7272" s="1"/>
      <c r="Q7272" s="1"/>
      <c r="R7272" s="1"/>
      <c r="Z7272" s="103"/>
      <c r="AA7272" s="103"/>
      <c r="AB7272" s="1"/>
    </row>
    <row r="7273" spans="15:28">
      <c r="O7273" s="1"/>
      <c r="P7273" s="1"/>
      <c r="Q7273" s="1"/>
      <c r="R7273" s="1"/>
      <c r="Z7273" s="103"/>
      <c r="AA7273" s="103"/>
      <c r="AB7273" s="1"/>
    </row>
    <row r="7274" spans="15:28">
      <c r="O7274" s="1"/>
      <c r="P7274" s="1"/>
      <c r="Q7274" s="1"/>
      <c r="R7274" s="1"/>
      <c r="Z7274" s="103"/>
      <c r="AA7274" s="103"/>
      <c r="AB7274" s="1"/>
    </row>
    <row r="7275" spans="15:28">
      <c r="O7275" s="1"/>
      <c r="P7275" s="1"/>
      <c r="Q7275" s="1"/>
      <c r="R7275" s="1"/>
      <c r="Z7275" s="103"/>
      <c r="AA7275" s="103"/>
      <c r="AB7275" s="1"/>
    </row>
    <row r="7276" spans="15:28">
      <c r="O7276" s="1"/>
      <c r="P7276" s="1"/>
      <c r="Q7276" s="1"/>
      <c r="R7276" s="1"/>
      <c r="Z7276" s="103"/>
      <c r="AA7276" s="103"/>
      <c r="AB7276" s="1"/>
    </row>
    <row r="7277" spans="15:28">
      <c r="O7277" s="1"/>
      <c r="P7277" s="1"/>
      <c r="Q7277" s="1"/>
      <c r="R7277" s="1"/>
      <c r="Z7277" s="103"/>
      <c r="AA7277" s="103"/>
      <c r="AB7277" s="1"/>
    </row>
    <row r="7278" spans="15:28">
      <c r="O7278" s="1"/>
      <c r="P7278" s="1"/>
      <c r="Q7278" s="1"/>
      <c r="R7278" s="1"/>
      <c r="Z7278" s="103"/>
      <c r="AA7278" s="103"/>
      <c r="AB7278" s="1"/>
    </row>
    <row r="7279" spans="15:28">
      <c r="O7279" s="1"/>
      <c r="P7279" s="1"/>
      <c r="Q7279" s="1"/>
      <c r="R7279" s="1"/>
      <c r="Z7279" s="103"/>
      <c r="AA7279" s="103"/>
      <c r="AB7279" s="1"/>
    </row>
    <row r="7280" spans="15:28">
      <c r="O7280" s="1"/>
      <c r="P7280" s="1"/>
      <c r="Q7280" s="1"/>
      <c r="R7280" s="1"/>
      <c r="Z7280" s="103"/>
      <c r="AA7280" s="103"/>
      <c r="AB7280" s="1"/>
    </row>
    <row r="7281" spans="15:28">
      <c r="O7281" s="1"/>
      <c r="P7281" s="1"/>
      <c r="Q7281" s="1"/>
      <c r="R7281" s="1"/>
      <c r="Z7281" s="103"/>
      <c r="AA7281" s="103"/>
      <c r="AB7281" s="1"/>
    </row>
    <row r="7282" spans="15:28">
      <c r="O7282" s="1"/>
      <c r="P7282" s="1"/>
      <c r="Q7282" s="1"/>
      <c r="R7282" s="1"/>
      <c r="Z7282" s="103"/>
      <c r="AA7282" s="103"/>
      <c r="AB7282" s="1"/>
    </row>
    <row r="7283" spans="15:28">
      <c r="O7283" s="1"/>
      <c r="P7283" s="1"/>
      <c r="Q7283" s="1"/>
      <c r="R7283" s="1"/>
      <c r="Z7283" s="103"/>
      <c r="AA7283" s="103"/>
      <c r="AB7283" s="1"/>
    </row>
    <row r="7284" spans="15:28">
      <c r="O7284" s="1"/>
      <c r="P7284" s="1"/>
      <c r="Q7284" s="1"/>
      <c r="R7284" s="1"/>
      <c r="Z7284" s="103"/>
      <c r="AA7284" s="103"/>
      <c r="AB7284" s="1"/>
    </row>
    <row r="7285" spans="15:28">
      <c r="O7285" s="1"/>
      <c r="P7285" s="1"/>
      <c r="Q7285" s="1"/>
      <c r="R7285" s="1"/>
      <c r="Z7285" s="103"/>
      <c r="AA7285" s="103"/>
      <c r="AB7285" s="1"/>
    </row>
    <row r="7286" spans="15:28">
      <c r="O7286" s="1"/>
      <c r="P7286" s="1"/>
      <c r="Q7286" s="1"/>
      <c r="R7286" s="1"/>
      <c r="Z7286" s="103"/>
      <c r="AA7286" s="103"/>
      <c r="AB7286" s="1"/>
    </row>
    <row r="7287" spans="15:28">
      <c r="O7287" s="1"/>
      <c r="P7287" s="1"/>
      <c r="Q7287" s="1"/>
      <c r="R7287" s="1"/>
      <c r="Z7287" s="103"/>
      <c r="AA7287" s="103"/>
      <c r="AB7287" s="1"/>
    </row>
    <row r="7288" spans="15:28">
      <c r="O7288" s="1"/>
      <c r="P7288" s="1"/>
      <c r="Q7288" s="1"/>
      <c r="R7288" s="1"/>
      <c r="Z7288" s="103"/>
      <c r="AA7288" s="103"/>
      <c r="AB7288" s="1"/>
    </row>
    <row r="7289" spans="15:28">
      <c r="O7289" s="1"/>
      <c r="P7289" s="1"/>
      <c r="Q7289" s="1"/>
      <c r="R7289" s="1"/>
      <c r="Z7289" s="103"/>
      <c r="AA7289" s="103"/>
      <c r="AB7289" s="1"/>
    </row>
    <row r="7290" spans="15:28">
      <c r="O7290" s="1"/>
      <c r="P7290" s="1"/>
      <c r="Q7290" s="1"/>
      <c r="R7290" s="1"/>
      <c r="Z7290" s="103"/>
      <c r="AA7290" s="103"/>
      <c r="AB7290" s="1"/>
    </row>
    <row r="7291" spans="15:28">
      <c r="O7291" s="1"/>
      <c r="P7291" s="1"/>
      <c r="Q7291" s="1"/>
      <c r="R7291" s="1"/>
      <c r="Z7291" s="103"/>
      <c r="AA7291" s="103"/>
      <c r="AB7291" s="1"/>
    </row>
    <row r="7292" spans="15:28">
      <c r="O7292" s="1"/>
      <c r="P7292" s="1"/>
      <c r="Q7292" s="1"/>
      <c r="R7292" s="1"/>
      <c r="Z7292" s="103"/>
      <c r="AA7292" s="103"/>
      <c r="AB7292" s="1"/>
    </row>
    <row r="7293" spans="15:28">
      <c r="O7293" s="1"/>
      <c r="P7293" s="1"/>
      <c r="Q7293" s="1"/>
      <c r="R7293" s="1"/>
      <c r="Z7293" s="103"/>
      <c r="AA7293" s="103"/>
      <c r="AB7293" s="1"/>
    </row>
    <row r="7294" spans="15:28">
      <c r="O7294" s="1"/>
      <c r="P7294" s="1"/>
      <c r="Q7294" s="1"/>
      <c r="R7294" s="1"/>
      <c r="Z7294" s="103"/>
      <c r="AA7294" s="103"/>
      <c r="AB7294" s="1"/>
    </row>
    <row r="7295" spans="15:28">
      <c r="O7295" s="1"/>
      <c r="P7295" s="1"/>
      <c r="Q7295" s="1"/>
      <c r="R7295" s="1"/>
      <c r="Z7295" s="103"/>
      <c r="AA7295" s="103"/>
      <c r="AB7295" s="1"/>
    </row>
    <row r="7296" spans="15:28">
      <c r="O7296" s="1"/>
      <c r="P7296" s="1"/>
      <c r="Q7296" s="1"/>
      <c r="R7296" s="1"/>
      <c r="Z7296" s="103"/>
      <c r="AA7296" s="103"/>
      <c r="AB7296" s="1"/>
    </row>
    <row r="7297" spans="15:28">
      <c r="O7297" s="1"/>
      <c r="P7297" s="1"/>
      <c r="Q7297" s="1"/>
      <c r="R7297" s="1"/>
      <c r="Z7297" s="103"/>
      <c r="AA7297" s="103"/>
      <c r="AB7297" s="1"/>
    </row>
    <row r="7298" spans="15:28">
      <c r="O7298" s="1"/>
      <c r="P7298" s="1"/>
      <c r="Q7298" s="1"/>
      <c r="R7298" s="1"/>
      <c r="Z7298" s="103"/>
      <c r="AA7298" s="103"/>
      <c r="AB7298" s="1"/>
    </row>
    <row r="7299" spans="15:28">
      <c r="O7299" s="1"/>
      <c r="P7299" s="1"/>
      <c r="Q7299" s="1"/>
      <c r="R7299" s="1"/>
      <c r="Z7299" s="103"/>
      <c r="AA7299" s="103"/>
      <c r="AB7299" s="1"/>
    </row>
    <row r="7300" spans="15:28">
      <c r="O7300" s="1"/>
      <c r="P7300" s="1"/>
      <c r="Q7300" s="1"/>
      <c r="R7300" s="1"/>
      <c r="Z7300" s="103"/>
      <c r="AA7300" s="103"/>
      <c r="AB7300" s="1"/>
    </row>
    <row r="7301" spans="15:28">
      <c r="O7301" s="1"/>
      <c r="P7301" s="1"/>
      <c r="Q7301" s="1"/>
      <c r="R7301" s="1"/>
      <c r="Z7301" s="103"/>
      <c r="AA7301" s="103"/>
      <c r="AB7301" s="1"/>
    </row>
    <row r="7302" spans="15:28">
      <c r="O7302" s="1"/>
      <c r="P7302" s="1"/>
      <c r="Q7302" s="1"/>
      <c r="R7302" s="1"/>
      <c r="Z7302" s="103"/>
      <c r="AA7302" s="103"/>
      <c r="AB7302" s="1"/>
    </row>
    <row r="7303" spans="15:28">
      <c r="O7303" s="1"/>
      <c r="P7303" s="1"/>
      <c r="Q7303" s="1"/>
      <c r="R7303" s="1"/>
      <c r="Z7303" s="103"/>
      <c r="AA7303" s="103"/>
      <c r="AB7303" s="1"/>
    </row>
    <row r="7304" spans="15:28">
      <c r="O7304" s="1"/>
      <c r="P7304" s="1"/>
      <c r="Q7304" s="1"/>
      <c r="R7304" s="1"/>
      <c r="Z7304" s="103"/>
      <c r="AA7304" s="103"/>
      <c r="AB7304" s="1"/>
    </row>
    <row r="7305" spans="15:28">
      <c r="O7305" s="1"/>
      <c r="P7305" s="1"/>
      <c r="Q7305" s="1"/>
      <c r="R7305" s="1"/>
      <c r="Z7305" s="103"/>
      <c r="AA7305" s="103"/>
      <c r="AB7305" s="1"/>
    </row>
    <row r="7306" spans="15:28">
      <c r="O7306" s="1"/>
      <c r="P7306" s="1"/>
      <c r="Q7306" s="1"/>
      <c r="R7306" s="1"/>
      <c r="Z7306" s="103"/>
      <c r="AA7306" s="103"/>
      <c r="AB7306" s="1"/>
    </row>
    <row r="7307" spans="15:28">
      <c r="O7307" s="1"/>
      <c r="P7307" s="1"/>
      <c r="Q7307" s="1"/>
      <c r="R7307" s="1"/>
      <c r="Z7307" s="103"/>
      <c r="AA7307" s="103"/>
      <c r="AB7307" s="1"/>
    </row>
    <row r="7308" spans="15:28">
      <c r="O7308" s="1"/>
      <c r="P7308" s="1"/>
      <c r="Q7308" s="1"/>
      <c r="R7308" s="1"/>
      <c r="Z7308" s="103"/>
      <c r="AA7308" s="103"/>
      <c r="AB7308" s="1"/>
    </row>
    <row r="7309" spans="15:28">
      <c r="O7309" s="1"/>
      <c r="P7309" s="1"/>
      <c r="Q7309" s="1"/>
      <c r="R7309" s="1"/>
      <c r="Z7309" s="103"/>
      <c r="AA7309" s="103"/>
      <c r="AB7309" s="1"/>
    </row>
    <row r="7310" spans="15:28">
      <c r="O7310" s="1"/>
      <c r="P7310" s="1"/>
      <c r="Q7310" s="1"/>
      <c r="R7310" s="1"/>
      <c r="Z7310" s="103"/>
      <c r="AA7310" s="103"/>
      <c r="AB7310" s="1"/>
    </row>
    <row r="7311" spans="15:28">
      <c r="O7311" s="1"/>
      <c r="P7311" s="1"/>
      <c r="Q7311" s="1"/>
      <c r="R7311" s="1"/>
      <c r="Z7311" s="103"/>
      <c r="AA7311" s="103"/>
      <c r="AB7311" s="1"/>
    </row>
    <row r="7312" spans="15:28">
      <c r="O7312" s="1"/>
      <c r="P7312" s="1"/>
      <c r="Q7312" s="1"/>
      <c r="R7312" s="1"/>
      <c r="Z7312" s="103"/>
      <c r="AA7312" s="103"/>
      <c r="AB7312" s="1"/>
    </row>
    <row r="7313" spans="15:28">
      <c r="O7313" s="1"/>
      <c r="P7313" s="1"/>
      <c r="Q7313" s="1"/>
      <c r="R7313" s="1"/>
      <c r="Z7313" s="103"/>
      <c r="AA7313" s="103"/>
      <c r="AB7313" s="1"/>
    </row>
    <row r="7314" spans="15:28">
      <c r="O7314" s="1"/>
      <c r="P7314" s="1"/>
      <c r="Q7314" s="1"/>
      <c r="R7314" s="1"/>
      <c r="Z7314" s="103"/>
      <c r="AA7314" s="103"/>
      <c r="AB7314" s="1"/>
    </row>
    <row r="7315" spans="15:28">
      <c r="O7315" s="1"/>
      <c r="P7315" s="1"/>
      <c r="Q7315" s="1"/>
      <c r="R7315" s="1"/>
      <c r="Z7315" s="103"/>
      <c r="AA7315" s="103"/>
      <c r="AB7315" s="1"/>
    </row>
    <row r="7316" spans="15:28">
      <c r="O7316" s="1"/>
      <c r="P7316" s="1"/>
      <c r="Q7316" s="1"/>
      <c r="R7316" s="1"/>
      <c r="Z7316" s="103"/>
      <c r="AA7316" s="103"/>
      <c r="AB7316" s="1"/>
    </row>
    <row r="7317" spans="15:28">
      <c r="O7317" s="1"/>
      <c r="P7317" s="1"/>
      <c r="Q7317" s="1"/>
      <c r="R7317" s="1"/>
      <c r="Z7317" s="103"/>
      <c r="AA7317" s="103"/>
      <c r="AB7317" s="1"/>
    </row>
    <row r="7318" spans="15:28">
      <c r="O7318" s="1"/>
      <c r="P7318" s="1"/>
      <c r="Q7318" s="1"/>
      <c r="R7318" s="1"/>
      <c r="Z7318" s="103"/>
      <c r="AA7318" s="103"/>
      <c r="AB7318" s="1"/>
    </row>
    <row r="7319" spans="15:28">
      <c r="O7319" s="1"/>
      <c r="P7319" s="1"/>
      <c r="Q7319" s="1"/>
      <c r="R7319" s="1"/>
      <c r="Z7319" s="103"/>
      <c r="AA7319" s="103"/>
      <c r="AB7319" s="1"/>
    </row>
    <row r="7320" spans="15:28">
      <c r="O7320" s="1"/>
      <c r="P7320" s="1"/>
      <c r="Q7320" s="1"/>
      <c r="R7320" s="1"/>
      <c r="Z7320" s="103"/>
      <c r="AA7320" s="103"/>
      <c r="AB7320" s="1"/>
    </row>
    <row r="7321" spans="15:28">
      <c r="O7321" s="1"/>
      <c r="P7321" s="1"/>
      <c r="Q7321" s="1"/>
      <c r="R7321" s="1"/>
      <c r="Z7321" s="103"/>
      <c r="AA7321" s="103"/>
      <c r="AB7321" s="1"/>
    </row>
    <row r="7322" spans="15:28">
      <c r="O7322" s="1"/>
      <c r="P7322" s="1"/>
      <c r="Q7322" s="1"/>
      <c r="R7322" s="1"/>
      <c r="Z7322" s="103"/>
      <c r="AA7322" s="103"/>
      <c r="AB7322" s="1"/>
    </row>
    <row r="7323" spans="15:28">
      <c r="O7323" s="1"/>
      <c r="P7323" s="1"/>
      <c r="Q7323" s="1"/>
      <c r="R7323" s="1"/>
      <c r="Z7323" s="103"/>
      <c r="AA7323" s="103"/>
      <c r="AB7323" s="1"/>
    </row>
    <row r="7324" spans="15:28">
      <c r="O7324" s="1"/>
      <c r="P7324" s="1"/>
      <c r="Q7324" s="1"/>
      <c r="R7324" s="1"/>
      <c r="Z7324" s="103"/>
      <c r="AA7324" s="103"/>
      <c r="AB7324" s="1"/>
    </row>
    <row r="7325" spans="15:28">
      <c r="O7325" s="1"/>
      <c r="P7325" s="1"/>
      <c r="Q7325" s="1"/>
      <c r="R7325" s="1"/>
      <c r="Z7325" s="103"/>
      <c r="AA7325" s="103"/>
      <c r="AB7325" s="1"/>
    </row>
    <row r="7326" spans="15:28">
      <c r="O7326" s="1"/>
      <c r="P7326" s="1"/>
      <c r="Q7326" s="1"/>
      <c r="R7326" s="1"/>
      <c r="Z7326" s="103"/>
      <c r="AA7326" s="103"/>
      <c r="AB7326" s="1"/>
    </row>
    <row r="7327" spans="15:28">
      <c r="O7327" s="1"/>
      <c r="P7327" s="1"/>
      <c r="Q7327" s="1"/>
      <c r="R7327" s="1"/>
      <c r="Z7327" s="103"/>
      <c r="AA7327" s="103"/>
      <c r="AB7327" s="1"/>
    </row>
    <row r="7328" spans="15:28">
      <c r="O7328" s="1"/>
      <c r="P7328" s="1"/>
      <c r="Q7328" s="1"/>
      <c r="R7328" s="1"/>
      <c r="Z7328" s="103"/>
      <c r="AA7328" s="103"/>
      <c r="AB7328" s="1"/>
    </row>
    <row r="7329" spans="15:28">
      <c r="O7329" s="1"/>
      <c r="P7329" s="1"/>
      <c r="Q7329" s="1"/>
      <c r="R7329" s="1"/>
      <c r="Z7329" s="103"/>
      <c r="AA7329" s="103"/>
      <c r="AB7329" s="1"/>
    </row>
    <row r="7330" spans="15:28">
      <c r="O7330" s="1"/>
      <c r="P7330" s="1"/>
      <c r="Q7330" s="1"/>
      <c r="R7330" s="1"/>
      <c r="Z7330" s="103"/>
      <c r="AA7330" s="103"/>
      <c r="AB7330" s="1"/>
    </row>
    <row r="7331" spans="15:28">
      <c r="O7331" s="1"/>
      <c r="P7331" s="1"/>
      <c r="Q7331" s="1"/>
      <c r="R7331" s="1"/>
      <c r="Z7331" s="103"/>
      <c r="AA7331" s="103"/>
      <c r="AB7331" s="1"/>
    </row>
    <row r="7332" spans="15:28">
      <c r="O7332" s="1"/>
      <c r="P7332" s="1"/>
      <c r="Q7332" s="1"/>
      <c r="R7332" s="1"/>
      <c r="Z7332" s="103"/>
      <c r="AA7332" s="103"/>
      <c r="AB7332" s="1"/>
    </row>
    <row r="7333" spans="15:28">
      <c r="O7333" s="1"/>
      <c r="P7333" s="1"/>
      <c r="Q7333" s="1"/>
      <c r="R7333" s="1"/>
      <c r="Z7333" s="103"/>
      <c r="AA7333" s="103"/>
      <c r="AB7333" s="1"/>
    </row>
    <row r="7334" spans="15:28">
      <c r="O7334" s="1"/>
      <c r="P7334" s="1"/>
      <c r="Q7334" s="1"/>
      <c r="R7334" s="1"/>
      <c r="Z7334" s="103"/>
      <c r="AA7334" s="103"/>
      <c r="AB7334" s="1"/>
    </row>
    <row r="7335" spans="15:28">
      <c r="O7335" s="1"/>
      <c r="P7335" s="1"/>
      <c r="Q7335" s="1"/>
      <c r="R7335" s="1"/>
      <c r="Z7335" s="103"/>
      <c r="AA7335" s="103"/>
      <c r="AB7335" s="1"/>
    </row>
    <row r="7336" spans="15:28">
      <c r="O7336" s="1"/>
      <c r="P7336" s="1"/>
      <c r="Q7336" s="1"/>
      <c r="R7336" s="1"/>
      <c r="Z7336" s="103"/>
      <c r="AA7336" s="103"/>
      <c r="AB7336" s="1"/>
    </row>
    <row r="7337" spans="15:28">
      <c r="O7337" s="1"/>
      <c r="P7337" s="1"/>
      <c r="Q7337" s="1"/>
      <c r="R7337" s="1"/>
      <c r="Z7337" s="103"/>
      <c r="AA7337" s="103"/>
      <c r="AB7337" s="1"/>
    </row>
    <row r="7338" spans="15:28">
      <c r="O7338" s="1"/>
      <c r="P7338" s="1"/>
      <c r="Q7338" s="1"/>
      <c r="R7338" s="1"/>
      <c r="Z7338" s="103"/>
      <c r="AA7338" s="103"/>
      <c r="AB7338" s="1"/>
    </row>
    <row r="7339" spans="15:28">
      <c r="O7339" s="1"/>
      <c r="P7339" s="1"/>
      <c r="Q7339" s="1"/>
      <c r="R7339" s="1"/>
      <c r="Z7339" s="103"/>
      <c r="AA7339" s="103"/>
      <c r="AB7339" s="1"/>
    </row>
    <row r="7340" spans="15:28">
      <c r="O7340" s="1"/>
      <c r="P7340" s="1"/>
      <c r="Q7340" s="1"/>
      <c r="R7340" s="1"/>
      <c r="Z7340" s="103"/>
      <c r="AA7340" s="103"/>
      <c r="AB7340" s="1"/>
    </row>
    <row r="7341" spans="15:28">
      <c r="O7341" s="1"/>
      <c r="P7341" s="1"/>
      <c r="Q7341" s="1"/>
      <c r="R7341" s="1"/>
      <c r="Z7341" s="103"/>
      <c r="AA7341" s="103"/>
      <c r="AB7341" s="1"/>
    </row>
    <row r="7342" spans="15:28">
      <c r="O7342" s="1"/>
      <c r="P7342" s="1"/>
      <c r="Q7342" s="1"/>
      <c r="R7342" s="1"/>
      <c r="Z7342" s="103"/>
      <c r="AA7342" s="103"/>
      <c r="AB7342" s="1"/>
    </row>
    <row r="7343" spans="15:28">
      <c r="O7343" s="1"/>
      <c r="P7343" s="1"/>
      <c r="Q7343" s="1"/>
      <c r="R7343" s="1"/>
      <c r="Z7343" s="103"/>
      <c r="AA7343" s="103"/>
      <c r="AB7343" s="1"/>
    </row>
    <row r="7344" spans="15:28">
      <c r="O7344" s="1"/>
      <c r="P7344" s="1"/>
      <c r="Q7344" s="1"/>
      <c r="R7344" s="1"/>
      <c r="Z7344" s="103"/>
      <c r="AA7344" s="103"/>
      <c r="AB7344" s="1"/>
    </row>
    <row r="7345" spans="15:28">
      <c r="O7345" s="1"/>
      <c r="P7345" s="1"/>
      <c r="Q7345" s="1"/>
      <c r="R7345" s="1"/>
      <c r="Z7345" s="103"/>
      <c r="AA7345" s="103"/>
      <c r="AB7345" s="1"/>
    </row>
    <row r="7346" spans="15:28">
      <c r="O7346" s="1"/>
      <c r="P7346" s="1"/>
      <c r="Q7346" s="1"/>
      <c r="R7346" s="1"/>
      <c r="Z7346" s="103"/>
      <c r="AA7346" s="103"/>
      <c r="AB7346" s="1"/>
    </row>
    <row r="7347" spans="15:28">
      <c r="O7347" s="1"/>
      <c r="P7347" s="1"/>
      <c r="Q7347" s="1"/>
      <c r="R7347" s="1"/>
      <c r="Z7347" s="103"/>
      <c r="AA7347" s="103"/>
      <c r="AB7347" s="1"/>
    </row>
    <row r="7348" spans="15:28">
      <c r="O7348" s="1"/>
      <c r="P7348" s="1"/>
      <c r="Q7348" s="1"/>
      <c r="R7348" s="1"/>
      <c r="Z7348" s="103"/>
      <c r="AA7348" s="103"/>
      <c r="AB7348" s="1"/>
    </row>
    <row r="7349" spans="15:28">
      <c r="O7349" s="1"/>
      <c r="P7349" s="1"/>
      <c r="Q7349" s="1"/>
      <c r="R7349" s="1"/>
      <c r="Z7349" s="103"/>
      <c r="AA7349" s="103"/>
      <c r="AB7349" s="1"/>
    </row>
    <row r="7350" spans="15:28">
      <c r="O7350" s="1"/>
      <c r="P7350" s="1"/>
      <c r="Q7350" s="1"/>
      <c r="R7350" s="1"/>
      <c r="Z7350" s="103"/>
      <c r="AA7350" s="103"/>
      <c r="AB7350" s="1"/>
    </row>
    <row r="7351" spans="15:28">
      <c r="O7351" s="1"/>
      <c r="P7351" s="1"/>
      <c r="Q7351" s="1"/>
      <c r="R7351" s="1"/>
      <c r="Z7351" s="103"/>
      <c r="AA7351" s="103"/>
      <c r="AB7351" s="1"/>
    </row>
    <row r="7352" spans="15:28">
      <c r="O7352" s="1"/>
      <c r="P7352" s="1"/>
      <c r="Q7352" s="1"/>
      <c r="R7352" s="1"/>
      <c r="Z7352" s="103"/>
      <c r="AA7352" s="103"/>
      <c r="AB7352" s="1"/>
    </row>
    <row r="7353" spans="15:28">
      <c r="O7353" s="1"/>
      <c r="P7353" s="1"/>
      <c r="Q7353" s="1"/>
      <c r="R7353" s="1"/>
      <c r="Z7353" s="103"/>
      <c r="AA7353" s="103"/>
      <c r="AB7353" s="1"/>
    </row>
    <row r="7354" spans="15:28">
      <c r="O7354" s="1"/>
      <c r="P7354" s="1"/>
      <c r="Q7354" s="1"/>
      <c r="R7354" s="1"/>
      <c r="Z7354" s="103"/>
      <c r="AA7354" s="103"/>
      <c r="AB7354" s="1"/>
    </row>
    <row r="7355" spans="15:28">
      <c r="O7355" s="1"/>
      <c r="P7355" s="1"/>
      <c r="Q7355" s="1"/>
      <c r="R7355" s="1"/>
      <c r="Z7355" s="103"/>
      <c r="AA7355" s="103"/>
      <c r="AB7355" s="1"/>
    </row>
    <row r="7356" spans="15:28">
      <c r="O7356" s="1"/>
      <c r="P7356" s="1"/>
      <c r="Q7356" s="1"/>
      <c r="R7356" s="1"/>
      <c r="Z7356" s="103"/>
      <c r="AA7356" s="103"/>
      <c r="AB7356" s="1"/>
    </row>
    <row r="7357" spans="15:28">
      <c r="O7357" s="1"/>
      <c r="P7357" s="1"/>
      <c r="Q7357" s="1"/>
      <c r="R7357" s="1"/>
      <c r="Z7357" s="103"/>
      <c r="AA7357" s="103"/>
      <c r="AB7357" s="1"/>
    </row>
    <row r="7358" spans="15:28">
      <c r="O7358" s="1"/>
      <c r="P7358" s="1"/>
      <c r="Q7358" s="1"/>
      <c r="R7358" s="1"/>
      <c r="Z7358" s="103"/>
      <c r="AA7358" s="103"/>
      <c r="AB7358" s="1"/>
    </row>
    <row r="7359" spans="15:28">
      <c r="O7359" s="1"/>
      <c r="P7359" s="1"/>
      <c r="Q7359" s="1"/>
      <c r="R7359" s="1"/>
      <c r="Z7359" s="103"/>
      <c r="AA7359" s="103"/>
      <c r="AB7359" s="1"/>
    </row>
    <row r="7360" spans="15:28">
      <c r="O7360" s="1"/>
      <c r="P7360" s="1"/>
      <c r="Q7360" s="1"/>
      <c r="R7360" s="1"/>
      <c r="Z7360" s="103"/>
      <c r="AA7360" s="103"/>
      <c r="AB7360" s="1"/>
    </row>
    <row r="7361" spans="15:28">
      <c r="O7361" s="1"/>
      <c r="P7361" s="1"/>
      <c r="Q7361" s="1"/>
      <c r="R7361" s="1"/>
      <c r="Z7361" s="103"/>
      <c r="AA7361" s="103"/>
      <c r="AB7361" s="1"/>
    </row>
    <row r="7362" spans="15:28">
      <c r="O7362" s="1"/>
      <c r="P7362" s="1"/>
      <c r="Q7362" s="1"/>
      <c r="R7362" s="1"/>
      <c r="Z7362" s="103"/>
      <c r="AA7362" s="103"/>
      <c r="AB7362" s="1"/>
    </row>
    <row r="7363" spans="15:28">
      <c r="O7363" s="1"/>
      <c r="P7363" s="1"/>
      <c r="Q7363" s="1"/>
      <c r="R7363" s="1"/>
      <c r="Z7363" s="103"/>
      <c r="AA7363" s="103"/>
      <c r="AB7363" s="1"/>
    </row>
    <row r="7364" spans="15:28">
      <c r="O7364" s="1"/>
      <c r="P7364" s="1"/>
      <c r="Q7364" s="1"/>
      <c r="R7364" s="1"/>
      <c r="Z7364" s="103"/>
      <c r="AA7364" s="103"/>
      <c r="AB7364" s="1"/>
    </row>
    <row r="7365" spans="15:28">
      <c r="O7365" s="1"/>
      <c r="P7365" s="1"/>
      <c r="Q7365" s="1"/>
      <c r="R7365" s="1"/>
      <c r="Z7365" s="103"/>
      <c r="AA7365" s="103"/>
      <c r="AB7365" s="1"/>
    </row>
    <row r="7366" spans="15:28">
      <c r="O7366" s="1"/>
      <c r="P7366" s="1"/>
      <c r="Q7366" s="1"/>
      <c r="R7366" s="1"/>
      <c r="Z7366" s="103"/>
      <c r="AA7366" s="103"/>
      <c r="AB7366" s="1"/>
    </row>
    <row r="7367" spans="15:28">
      <c r="O7367" s="1"/>
      <c r="P7367" s="1"/>
      <c r="Q7367" s="1"/>
      <c r="R7367" s="1"/>
      <c r="Z7367" s="103"/>
      <c r="AA7367" s="103"/>
      <c r="AB7367" s="1"/>
    </row>
    <row r="7368" spans="15:28">
      <c r="O7368" s="1"/>
      <c r="P7368" s="1"/>
      <c r="Q7368" s="1"/>
      <c r="R7368" s="1"/>
      <c r="Z7368" s="103"/>
      <c r="AA7368" s="103"/>
      <c r="AB7368" s="1"/>
    </row>
    <row r="7369" spans="15:28">
      <c r="O7369" s="1"/>
      <c r="P7369" s="1"/>
      <c r="Q7369" s="1"/>
      <c r="R7369" s="1"/>
      <c r="Z7369" s="103"/>
      <c r="AA7369" s="103"/>
      <c r="AB7369" s="1"/>
    </row>
    <row r="7370" spans="15:28">
      <c r="O7370" s="1"/>
      <c r="P7370" s="1"/>
      <c r="Q7370" s="1"/>
      <c r="R7370" s="1"/>
      <c r="Z7370" s="103"/>
      <c r="AA7370" s="103"/>
      <c r="AB7370" s="1"/>
    </row>
    <row r="7371" spans="15:28">
      <c r="O7371" s="1"/>
      <c r="P7371" s="1"/>
      <c r="Q7371" s="1"/>
      <c r="R7371" s="1"/>
      <c r="Z7371" s="103"/>
      <c r="AA7371" s="103"/>
      <c r="AB7371" s="1"/>
    </row>
    <row r="7372" spans="15:28">
      <c r="O7372" s="1"/>
      <c r="P7372" s="1"/>
      <c r="Q7372" s="1"/>
      <c r="R7372" s="1"/>
      <c r="Z7372" s="103"/>
      <c r="AA7372" s="103"/>
      <c r="AB7372" s="1"/>
    </row>
    <row r="7373" spans="15:28">
      <c r="O7373" s="1"/>
      <c r="P7373" s="1"/>
      <c r="Q7373" s="1"/>
      <c r="R7373" s="1"/>
      <c r="Z7373" s="103"/>
      <c r="AA7373" s="103"/>
      <c r="AB7373" s="1"/>
    </row>
    <row r="7374" spans="15:28">
      <c r="O7374" s="1"/>
      <c r="P7374" s="1"/>
      <c r="Q7374" s="1"/>
      <c r="R7374" s="1"/>
      <c r="Z7374" s="103"/>
      <c r="AA7374" s="103"/>
      <c r="AB7374" s="1"/>
    </row>
    <row r="7375" spans="15:28">
      <c r="O7375" s="1"/>
      <c r="P7375" s="1"/>
      <c r="Q7375" s="1"/>
      <c r="R7375" s="1"/>
      <c r="Z7375" s="103"/>
      <c r="AA7375" s="103"/>
      <c r="AB7375" s="1"/>
    </row>
    <row r="7376" spans="15:28">
      <c r="O7376" s="1"/>
      <c r="P7376" s="1"/>
      <c r="Q7376" s="1"/>
      <c r="R7376" s="1"/>
      <c r="Z7376" s="103"/>
      <c r="AA7376" s="103"/>
      <c r="AB7376" s="1"/>
    </row>
    <row r="7377" spans="15:28">
      <c r="O7377" s="1"/>
      <c r="P7377" s="1"/>
      <c r="Q7377" s="1"/>
      <c r="R7377" s="1"/>
      <c r="Z7377" s="103"/>
      <c r="AA7377" s="103"/>
      <c r="AB7377" s="1"/>
    </row>
    <row r="7378" spans="15:28">
      <c r="O7378" s="1"/>
      <c r="P7378" s="1"/>
      <c r="Q7378" s="1"/>
      <c r="R7378" s="1"/>
      <c r="Z7378" s="103"/>
      <c r="AA7378" s="103"/>
      <c r="AB7378" s="1"/>
    </row>
    <row r="7379" spans="15:28">
      <c r="O7379" s="1"/>
      <c r="P7379" s="1"/>
      <c r="Q7379" s="1"/>
      <c r="R7379" s="1"/>
      <c r="Z7379" s="103"/>
      <c r="AA7379" s="103"/>
      <c r="AB7379" s="1"/>
    </row>
    <row r="7380" spans="15:28">
      <c r="O7380" s="1"/>
      <c r="P7380" s="1"/>
      <c r="Q7380" s="1"/>
      <c r="R7380" s="1"/>
      <c r="Z7380" s="103"/>
      <c r="AA7380" s="103"/>
      <c r="AB7380" s="1"/>
    </row>
    <row r="7381" spans="15:28">
      <c r="O7381" s="1"/>
      <c r="P7381" s="1"/>
      <c r="Q7381" s="1"/>
      <c r="R7381" s="1"/>
      <c r="Z7381" s="103"/>
      <c r="AA7381" s="103"/>
      <c r="AB7381" s="1"/>
    </row>
    <row r="7382" spans="15:28">
      <c r="O7382" s="1"/>
      <c r="P7382" s="1"/>
      <c r="Q7382" s="1"/>
      <c r="R7382" s="1"/>
      <c r="Z7382" s="103"/>
      <c r="AA7382" s="103"/>
      <c r="AB7382" s="1"/>
    </row>
    <row r="7383" spans="15:28">
      <c r="O7383" s="1"/>
      <c r="P7383" s="1"/>
      <c r="Q7383" s="1"/>
      <c r="R7383" s="1"/>
      <c r="Z7383" s="103"/>
      <c r="AA7383" s="103"/>
      <c r="AB7383" s="1"/>
    </row>
    <row r="7384" spans="15:28">
      <c r="O7384" s="1"/>
      <c r="P7384" s="1"/>
      <c r="Q7384" s="1"/>
      <c r="R7384" s="1"/>
      <c r="Z7384" s="103"/>
      <c r="AA7384" s="103"/>
      <c r="AB7384" s="1"/>
    </row>
    <row r="7385" spans="15:28">
      <c r="O7385" s="1"/>
      <c r="P7385" s="1"/>
      <c r="Q7385" s="1"/>
      <c r="R7385" s="1"/>
      <c r="Z7385" s="103"/>
      <c r="AA7385" s="103"/>
      <c r="AB7385" s="1"/>
    </row>
    <row r="7386" spans="15:28">
      <c r="O7386" s="1"/>
      <c r="P7386" s="1"/>
      <c r="Q7386" s="1"/>
      <c r="R7386" s="1"/>
      <c r="Z7386" s="103"/>
      <c r="AA7386" s="103"/>
      <c r="AB7386" s="1"/>
    </row>
    <row r="7387" spans="15:28">
      <c r="O7387" s="1"/>
      <c r="P7387" s="1"/>
      <c r="Q7387" s="1"/>
      <c r="R7387" s="1"/>
      <c r="Z7387" s="103"/>
      <c r="AA7387" s="103"/>
      <c r="AB7387" s="1"/>
    </row>
    <row r="7388" spans="15:28">
      <c r="O7388" s="1"/>
      <c r="P7388" s="1"/>
      <c r="Q7388" s="1"/>
      <c r="R7388" s="1"/>
      <c r="Z7388" s="103"/>
      <c r="AA7388" s="103"/>
      <c r="AB7388" s="1"/>
    </row>
    <row r="7389" spans="15:28">
      <c r="O7389" s="1"/>
      <c r="P7389" s="1"/>
      <c r="Q7389" s="1"/>
      <c r="R7389" s="1"/>
      <c r="Z7389" s="103"/>
      <c r="AA7389" s="103"/>
      <c r="AB7389" s="1"/>
    </row>
    <row r="7390" spans="15:28">
      <c r="O7390" s="1"/>
      <c r="P7390" s="1"/>
      <c r="Q7390" s="1"/>
      <c r="R7390" s="1"/>
      <c r="Z7390" s="103"/>
      <c r="AA7390" s="103"/>
      <c r="AB7390" s="1"/>
    </row>
    <row r="7391" spans="15:28">
      <c r="O7391" s="1"/>
      <c r="P7391" s="1"/>
      <c r="Q7391" s="1"/>
      <c r="R7391" s="1"/>
      <c r="Z7391" s="103"/>
      <c r="AA7391" s="103"/>
      <c r="AB7391" s="1"/>
    </row>
    <row r="7392" spans="15:28">
      <c r="O7392" s="1"/>
      <c r="P7392" s="1"/>
      <c r="Q7392" s="1"/>
      <c r="R7392" s="1"/>
      <c r="Z7392" s="103"/>
      <c r="AA7392" s="103"/>
      <c r="AB7392" s="1"/>
    </row>
    <row r="7393" spans="15:28">
      <c r="O7393" s="1"/>
      <c r="P7393" s="1"/>
      <c r="Q7393" s="1"/>
      <c r="R7393" s="1"/>
      <c r="Z7393" s="103"/>
      <c r="AA7393" s="103"/>
      <c r="AB7393" s="1"/>
    </row>
    <row r="7394" spans="15:28">
      <c r="O7394" s="1"/>
      <c r="P7394" s="1"/>
      <c r="Q7394" s="1"/>
      <c r="R7394" s="1"/>
      <c r="Z7394" s="103"/>
      <c r="AA7394" s="103"/>
      <c r="AB7394" s="1"/>
    </row>
    <row r="7395" spans="15:28">
      <c r="O7395" s="1"/>
      <c r="P7395" s="1"/>
      <c r="Q7395" s="1"/>
      <c r="R7395" s="1"/>
      <c r="Z7395" s="103"/>
      <c r="AA7395" s="103"/>
      <c r="AB7395" s="1"/>
    </row>
    <row r="7396" spans="15:28">
      <c r="O7396" s="1"/>
      <c r="P7396" s="1"/>
      <c r="Q7396" s="1"/>
      <c r="R7396" s="1"/>
      <c r="Z7396" s="103"/>
      <c r="AA7396" s="103"/>
      <c r="AB7396" s="1"/>
    </row>
    <row r="7397" spans="15:28">
      <c r="O7397" s="1"/>
      <c r="P7397" s="1"/>
      <c r="Q7397" s="1"/>
      <c r="R7397" s="1"/>
      <c r="Z7397" s="103"/>
      <c r="AA7397" s="103"/>
      <c r="AB7397" s="1"/>
    </row>
    <row r="7398" spans="15:28">
      <c r="O7398" s="1"/>
      <c r="P7398" s="1"/>
      <c r="Q7398" s="1"/>
      <c r="R7398" s="1"/>
      <c r="Z7398" s="103"/>
      <c r="AA7398" s="103"/>
      <c r="AB7398" s="1"/>
    </row>
    <row r="7399" spans="15:28">
      <c r="O7399" s="1"/>
      <c r="P7399" s="1"/>
      <c r="Q7399" s="1"/>
      <c r="R7399" s="1"/>
      <c r="Z7399" s="103"/>
      <c r="AA7399" s="103"/>
      <c r="AB7399" s="1"/>
    </row>
    <row r="7400" spans="15:28">
      <c r="O7400" s="1"/>
      <c r="P7400" s="1"/>
      <c r="Q7400" s="1"/>
      <c r="R7400" s="1"/>
      <c r="Z7400" s="103"/>
      <c r="AA7400" s="103"/>
      <c r="AB7400" s="1"/>
    </row>
    <row r="7401" spans="15:28">
      <c r="O7401" s="1"/>
      <c r="P7401" s="1"/>
      <c r="Q7401" s="1"/>
      <c r="R7401" s="1"/>
      <c r="Z7401" s="103"/>
      <c r="AA7401" s="103"/>
      <c r="AB7401" s="1"/>
    </row>
    <row r="7402" spans="15:28">
      <c r="O7402" s="1"/>
      <c r="P7402" s="1"/>
      <c r="Q7402" s="1"/>
      <c r="R7402" s="1"/>
      <c r="Z7402" s="103"/>
      <c r="AA7402" s="103"/>
      <c r="AB7402" s="1"/>
    </row>
    <row r="7403" spans="15:28">
      <c r="O7403" s="1"/>
      <c r="P7403" s="1"/>
      <c r="Q7403" s="1"/>
      <c r="R7403" s="1"/>
      <c r="Z7403" s="103"/>
      <c r="AA7403" s="103"/>
      <c r="AB7403" s="1"/>
    </row>
    <row r="7404" spans="15:28">
      <c r="O7404" s="1"/>
      <c r="P7404" s="1"/>
      <c r="Q7404" s="1"/>
      <c r="R7404" s="1"/>
      <c r="Z7404" s="103"/>
      <c r="AA7404" s="103"/>
      <c r="AB7404" s="1"/>
    </row>
    <row r="7405" spans="15:28">
      <c r="O7405" s="1"/>
      <c r="P7405" s="1"/>
      <c r="Q7405" s="1"/>
      <c r="R7405" s="1"/>
      <c r="Z7405" s="103"/>
      <c r="AA7405" s="103"/>
      <c r="AB7405" s="1"/>
    </row>
    <row r="7406" spans="15:28">
      <c r="O7406" s="1"/>
      <c r="P7406" s="1"/>
      <c r="Q7406" s="1"/>
      <c r="R7406" s="1"/>
      <c r="Z7406" s="103"/>
      <c r="AA7406" s="103"/>
      <c r="AB7406" s="1"/>
    </row>
    <row r="7407" spans="15:28">
      <c r="O7407" s="1"/>
      <c r="P7407" s="1"/>
      <c r="Q7407" s="1"/>
      <c r="R7407" s="1"/>
      <c r="Z7407" s="103"/>
      <c r="AA7407" s="103"/>
      <c r="AB7407" s="1"/>
    </row>
    <row r="7408" spans="15:28">
      <c r="O7408" s="1"/>
      <c r="P7408" s="1"/>
      <c r="Q7408" s="1"/>
      <c r="R7408" s="1"/>
      <c r="Z7408" s="103"/>
      <c r="AA7408" s="103"/>
      <c r="AB7408" s="1"/>
    </row>
    <row r="7409" spans="15:30">
      <c r="O7409" s="1"/>
      <c r="P7409" s="1"/>
      <c r="Q7409" s="1"/>
      <c r="R7409" s="1"/>
      <c r="Z7409" s="103"/>
      <c r="AA7409" s="103"/>
      <c r="AB7409" s="1"/>
    </row>
    <row r="7410" spans="15:30">
      <c r="O7410" s="1"/>
      <c r="P7410" s="1"/>
      <c r="Q7410" s="1"/>
      <c r="R7410" s="1"/>
      <c r="Z7410" s="103"/>
      <c r="AA7410" s="103"/>
      <c r="AB7410" s="1"/>
    </row>
    <row r="7411" spans="15:30">
      <c r="O7411" s="1"/>
      <c r="P7411" s="1"/>
      <c r="Q7411" s="1"/>
      <c r="R7411" s="1"/>
      <c r="Z7411" s="103"/>
      <c r="AA7411" s="103"/>
      <c r="AB7411" s="1"/>
    </row>
    <row r="7412" spans="15:30">
      <c r="O7412" s="1"/>
      <c r="P7412" s="1"/>
      <c r="Q7412" s="1"/>
      <c r="R7412" s="1"/>
      <c r="Z7412" s="103"/>
      <c r="AA7412" s="103"/>
      <c r="AB7412" s="1"/>
    </row>
    <row r="7413" spans="15:30">
      <c r="O7413" s="1"/>
      <c r="P7413" s="1"/>
      <c r="Q7413" s="1"/>
      <c r="R7413" s="1"/>
      <c r="Z7413" s="103"/>
      <c r="AA7413" s="103"/>
      <c r="AB7413" s="1"/>
    </row>
    <row r="7414" spans="15:30">
      <c r="O7414" s="1"/>
      <c r="P7414" s="1"/>
      <c r="Q7414" s="1"/>
      <c r="R7414" s="1"/>
      <c r="Z7414" s="103"/>
      <c r="AA7414" s="103"/>
      <c r="AB7414" s="1"/>
    </row>
    <row r="7415" spans="15:30">
      <c r="O7415" s="1"/>
      <c r="P7415" s="1"/>
      <c r="Q7415" s="1"/>
      <c r="R7415" s="1"/>
      <c r="Z7415" s="103"/>
      <c r="AA7415" s="103"/>
      <c r="AB7415" s="1"/>
    </row>
    <row r="7416" spans="15:30">
      <c r="O7416" s="1"/>
      <c r="P7416" s="1"/>
      <c r="Q7416" s="1"/>
      <c r="R7416" s="1"/>
      <c r="Z7416" s="103"/>
      <c r="AA7416" s="103"/>
      <c r="AB7416" s="1"/>
    </row>
    <row r="7417" spans="15:30">
      <c r="O7417" s="1"/>
      <c r="P7417" s="1"/>
      <c r="Q7417" s="1"/>
      <c r="R7417" s="1"/>
      <c r="Z7417" s="103"/>
      <c r="AA7417" s="103"/>
      <c r="AB7417" s="1"/>
    </row>
    <row r="7418" spans="15:30">
      <c r="O7418" s="1"/>
      <c r="P7418" s="1"/>
      <c r="Q7418" s="1"/>
      <c r="R7418" s="1"/>
      <c r="Z7418" s="103"/>
      <c r="AA7418" s="103"/>
      <c r="AB7418" s="1"/>
    </row>
    <row r="7419" spans="15:30">
      <c r="O7419" s="1"/>
      <c r="P7419" s="1"/>
      <c r="Q7419" s="1"/>
      <c r="R7419" s="1"/>
      <c r="Z7419" s="103"/>
      <c r="AA7419" s="103"/>
      <c r="AB7419" s="1"/>
      <c r="AD7419" s="102"/>
    </row>
    <row r="7420" spans="15:30">
      <c r="O7420" s="1"/>
      <c r="P7420" s="1"/>
      <c r="Q7420" s="1"/>
      <c r="R7420" s="1"/>
      <c r="Z7420" s="103"/>
      <c r="AA7420" s="103"/>
      <c r="AB7420" s="1"/>
    </row>
    <row r="7421" spans="15:30">
      <c r="O7421" s="1"/>
      <c r="P7421" s="1"/>
      <c r="Q7421" s="1"/>
      <c r="R7421" s="1"/>
      <c r="Z7421" s="103"/>
      <c r="AA7421" s="103"/>
      <c r="AB7421" s="1"/>
    </row>
    <row r="7422" spans="15:30">
      <c r="O7422" s="1"/>
      <c r="P7422" s="1"/>
      <c r="Q7422" s="1"/>
      <c r="R7422" s="1"/>
      <c r="Z7422" s="103"/>
      <c r="AA7422" s="103"/>
      <c r="AB7422" s="1"/>
    </row>
    <row r="7423" spans="15:30">
      <c r="O7423" s="1"/>
      <c r="P7423" s="1"/>
      <c r="Q7423" s="1"/>
      <c r="R7423" s="1"/>
      <c r="Z7423" s="103"/>
      <c r="AA7423" s="103"/>
      <c r="AB7423" s="1"/>
    </row>
    <row r="7424" spans="15:30">
      <c r="O7424" s="1"/>
      <c r="P7424" s="1"/>
      <c r="Q7424" s="1"/>
      <c r="R7424" s="1"/>
      <c r="Z7424" s="103"/>
      <c r="AA7424" s="103"/>
      <c r="AB7424" s="1"/>
    </row>
    <row r="7425" spans="15:28">
      <c r="O7425" s="1"/>
      <c r="P7425" s="1"/>
      <c r="Q7425" s="1"/>
      <c r="R7425" s="1"/>
      <c r="Z7425" s="103"/>
      <c r="AA7425" s="103"/>
      <c r="AB7425" s="1"/>
    </row>
    <row r="7426" spans="15:28">
      <c r="O7426" s="1"/>
      <c r="P7426" s="1"/>
      <c r="Q7426" s="1"/>
      <c r="R7426" s="1"/>
      <c r="Z7426" s="103"/>
      <c r="AA7426" s="103"/>
      <c r="AB7426" s="1"/>
    </row>
    <row r="7427" spans="15:28">
      <c r="O7427" s="1"/>
      <c r="P7427" s="1"/>
      <c r="Q7427" s="1"/>
      <c r="R7427" s="1"/>
      <c r="Z7427" s="103"/>
      <c r="AA7427" s="103"/>
      <c r="AB7427" s="1"/>
    </row>
    <row r="7428" spans="15:28">
      <c r="O7428" s="1"/>
      <c r="P7428" s="1"/>
      <c r="Q7428" s="1"/>
      <c r="R7428" s="1"/>
      <c r="Z7428" s="103"/>
      <c r="AA7428" s="103"/>
      <c r="AB7428" s="1"/>
    </row>
    <row r="7429" spans="15:28">
      <c r="O7429" s="1"/>
      <c r="P7429" s="1"/>
      <c r="Q7429" s="1"/>
      <c r="R7429" s="1"/>
      <c r="Z7429" s="103"/>
      <c r="AA7429" s="103"/>
      <c r="AB7429" s="1"/>
    </row>
    <row r="7430" spans="15:28">
      <c r="O7430" s="1"/>
      <c r="P7430" s="1"/>
      <c r="Q7430" s="1"/>
      <c r="R7430" s="1"/>
      <c r="Z7430" s="103"/>
      <c r="AA7430" s="103"/>
      <c r="AB7430" s="1"/>
    </row>
    <row r="7431" spans="15:28">
      <c r="O7431" s="1"/>
      <c r="P7431" s="1"/>
      <c r="Q7431" s="1"/>
      <c r="R7431" s="1"/>
      <c r="Z7431" s="103"/>
      <c r="AA7431" s="103"/>
      <c r="AB7431" s="1"/>
    </row>
    <row r="7432" spans="15:28">
      <c r="O7432" s="1"/>
      <c r="P7432" s="1"/>
      <c r="Q7432" s="1"/>
      <c r="R7432" s="1"/>
      <c r="Z7432" s="103"/>
      <c r="AA7432" s="103"/>
      <c r="AB7432" s="1"/>
    </row>
    <row r="7433" spans="15:28">
      <c r="O7433" s="1"/>
      <c r="P7433" s="1"/>
      <c r="Q7433" s="1"/>
      <c r="R7433" s="1"/>
      <c r="Z7433" s="103"/>
      <c r="AA7433" s="103"/>
      <c r="AB7433" s="1"/>
    </row>
    <row r="7434" spans="15:28">
      <c r="O7434" s="1"/>
      <c r="P7434" s="1"/>
      <c r="Q7434" s="1"/>
      <c r="R7434" s="1"/>
      <c r="Z7434" s="103"/>
      <c r="AA7434" s="103"/>
      <c r="AB7434" s="1"/>
    </row>
    <row r="7435" spans="15:28">
      <c r="O7435" s="1"/>
      <c r="P7435" s="1"/>
      <c r="Q7435" s="1"/>
      <c r="R7435" s="1"/>
      <c r="Z7435" s="103"/>
      <c r="AA7435" s="103"/>
      <c r="AB7435" s="1"/>
    </row>
    <row r="7436" spans="15:28">
      <c r="O7436" s="1"/>
      <c r="P7436" s="1"/>
      <c r="Q7436" s="1"/>
      <c r="R7436" s="1"/>
      <c r="Z7436" s="103"/>
      <c r="AA7436" s="103"/>
      <c r="AB7436" s="1"/>
    </row>
    <row r="7437" spans="15:28">
      <c r="O7437" s="1"/>
      <c r="P7437" s="1"/>
      <c r="Q7437" s="1"/>
      <c r="R7437" s="1"/>
      <c r="Z7437" s="103"/>
      <c r="AA7437" s="103"/>
      <c r="AB7437" s="1"/>
    </row>
    <row r="7438" spans="15:28">
      <c r="O7438" s="1"/>
      <c r="P7438" s="1"/>
      <c r="Q7438" s="1"/>
      <c r="R7438" s="1"/>
      <c r="Z7438" s="103"/>
      <c r="AA7438" s="103"/>
      <c r="AB7438" s="1"/>
    </row>
    <row r="7439" spans="15:28">
      <c r="O7439" s="1"/>
      <c r="P7439" s="1"/>
      <c r="Q7439" s="1"/>
      <c r="R7439" s="1"/>
      <c r="Z7439" s="103"/>
      <c r="AA7439" s="103"/>
      <c r="AB7439" s="1"/>
    </row>
    <row r="7440" spans="15:28">
      <c r="O7440" s="1"/>
      <c r="P7440" s="1"/>
      <c r="Q7440" s="1"/>
      <c r="R7440" s="1"/>
      <c r="Z7440" s="103"/>
      <c r="AA7440" s="103"/>
      <c r="AB7440" s="1"/>
    </row>
    <row r="7441" spans="15:28">
      <c r="O7441" s="1"/>
      <c r="P7441" s="1"/>
      <c r="Q7441" s="1"/>
      <c r="R7441" s="1"/>
      <c r="Z7441" s="103"/>
      <c r="AA7441" s="103"/>
      <c r="AB7441" s="1"/>
    </row>
    <row r="7442" spans="15:28">
      <c r="O7442" s="1"/>
      <c r="P7442" s="1"/>
      <c r="Q7442" s="1"/>
      <c r="R7442" s="1"/>
      <c r="Z7442" s="103"/>
      <c r="AA7442" s="103"/>
      <c r="AB7442" s="1"/>
    </row>
    <row r="7443" spans="15:28">
      <c r="O7443" s="1"/>
      <c r="P7443" s="1"/>
      <c r="Q7443" s="1"/>
      <c r="R7443" s="1"/>
      <c r="Z7443" s="103"/>
      <c r="AA7443" s="103"/>
      <c r="AB7443" s="1"/>
    </row>
    <row r="7444" spans="15:28">
      <c r="O7444" s="1"/>
      <c r="P7444" s="1"/>
      <c r="Q7444" s="1"/>
      <c r="R7444" s="1"/>
      <c r="Z7444" s="103"/>
      <c r="AA7444" s="103"/>
      <c r="AB7444" s="1"/>
    </row>
    <row r="7445" spans="15:28">
      <c r="O7445" s="1"/>
      <c r="P7445" s="1"/>
      <c r="Q7445" s="1"/>
      <c r="R7445" s="1"/>
      <c r="Z7445" s="103"/>
      <c r="AA7445" s="103"/>
      <c r="AB7445" s="1"/>
    </row>
    <row r="7446" spans="15:28">
      <c r="O7446" s="1"/>
      <c r="P7446" s="1"/>
      <c r="Q7446" s="1"/>
      <c r="R7446" s="1"/>
      <c r="Z7446" s="103"/>
      <c r="AA7446" s="103"/>
      <c r="AB7446" s="1"/>
    </row>
    <row r="7447" spans="15:28">
      <c r="O7447" s="1"/>
      <c r="P7447" s="1"/>
      <c r="Q7447" s="1"/>
      <c r="R7447" s="1"/>
      <c r="Z7447" s="103"/>
      <c r="AA7447" s="103"/>
      <c r="AB7447" s="1"/>
    </row>
    <row r="7448" spans="15:28">
      <c r="O7448" s="1"/>
      <c r="P7448" s="1"/>
      <c r="Q7448" s="1"/>
      <c r="R7448" s="1"/>
      <c r="Z7448" s="103"/>
      <c r="AA7448" s="103"/>
      <c r="AB7448" s="1"/>
    </row>
    <row r="7449" spans="15:28">
      <c r="O7449" s="1"/>
      <c r="P7449" s="1"/>
      <c r="Q7449" s="1"/>
      <c r="R7449" s="1"/>
      <c r="Z7449" s="103"/>
      <c r="AA7449" s="103"/>
      <c r="AB7449" s="1"/>
    </row>
    <row r="7450" spans="15:28">
      <c r="O7450" s="1"/>
      <c r="P7450" s="1"/>
      <c r="Q7450" s="1"/>
      <c r="R7450" s="1"/>
      <c r="Z7450" s="103"/>
      <c r="AA7450" s="103"/>
      <c r="AB7450" s="1"/>
    </row>
    <row r="7451" spans="15:28">
      <c r="O7451" s="1"/>
      <c r="P7451" s="1"/>
      <c r="Q7451" s="1"/>
      <c r="R7451" s="1"/>
      <c r="Z7451" s="103"/>
      <c r="AA7451" s="103"/>
      <c r="AB7451" s="1"/>
    </row>
    <row r="7452" spans="15:28">
      <c r="O7452" s="1"/>
      <c r="P7452" s="1"/>
      <c r="Q7452" s="1"/>
      <c r="R7452" s="1"/>
      <c r="Z7452" s="103"/>
      <c r="AA7452" s="103"/>
      <c r="AB7452" s="1"/>
    </row>
    <row r="7453" spans="15:28">
      <c r="O7453" s="1"/>
      <c r="P7453" s="1"/>
      <c r="Q7453" s="1"/>
      <c r="R7453" s="1"/>
      <c r="Z7453" s="103"/>
      <c r="AA7453" s="103"/>
      <c r="AB7453" s="1"/>
    </row>
    <row r="7454" spans="15:28">
      <c r="O7454" s="1"/>
      <c r="P7454" s="1"/>
      <c r="Q7454" s="1"/>
      <c r="R7454" s="1"/>
      <c r="Z7454" s="103"/>
      <c r="AA7454" s="103"/>
      <c r="AB7454" s="1"/>
    </row>
    <row r="7455" spans="15:28">
      <c r="O7455" s="1"/>
      <c r="P7455" s="1"/>
      <c r="Q7455" s="1"/>
      <c r="R7455" s="1"/>
      <c r="Z7455" s="103"/>
      <c r="AA7455" s="103"/>
      <c r="AB7455" s="1"/>
    </row>
    <row r="7456" spans="15:28">
      <c r="O7456" s="1"/>
      <c r="P7456" s="1"/>
      <c r="Q7456" s="1"/>
      <c r="R7456" s="1"/>
      <c r="Z7456" s="103"/>
      <c r="AA7456" s="103"/>
      <c r="AB7456" s="1"/>
    </row>
    <row r="7457" spans="15:28">
      <c r="O7457" s="1"/>
      <c r="P7457" s="1"/>
      <c r="Q7457" s="1"/>
      <c r="R7457" s="1"/>
      <c r="Z7457" s="103"/>
      <c r="AA7457" s="103"/>
      <c r="AB7457" s="1"/>
    </row>
    <row r="7458" spans="15:28">
      <c r="O7458" s="1"/>
      <c r="P7458" s="1"/>
      <c r="Q7458" s="1"/>
      <c r="R7458" s="1"/>
      <c r="Z7458" s="103"/>
      <c r="AA7458" s="103"/>
      <c r="AB7458" s="1"/>
    </row>
    <row r="7459" spans="15:28">
      <c r="O7459" s="1"/>
      <c r="P7459" s="1"/>
      <c r="Q7459" s="1"/>
      <c r="R7459" s="1"/>
      <c r="Z7459" s="103"/>
      <c r="AA7459" s="103"/>
      <c r="AB7459" s="1"/>
    </row>
    <row r="7460" spans="15:28">
      <c r="O7460" s="1"/>
      <c r="P7460" s="1"/>
      <c r="Q7460" s="1"/>
      <c r="R7460" s="1"/>
      <c r="Z7460" s="103"/>
      <c r="AA7460" s="103"/>
      <c r="AB7460" s="1"/>
    </row>
    <row r="7461" spans="15:28">
      <c r="O7461" s="1"/>
      <c r="P7461" s="1"/>
      <c r="Q7461" s="1"/>
      <c r="R7461" s="1"/>
      <c r="Z7461" s="103"/>
      <c r="AA7461" s="103"/>
      <c r="AB7461" s="1"/>
    </row>
    <row r="7462" spans="15:28">
      <c r="O7462" s="1"/>
      <c r="P7462" s="1"/>
      <c r="Q7462" s="1"/>
      <c r="R7462" s="1"/>
      <c r="Z7462" s="103"/>
      <c r="AA7462" s="103"/>
      <c r="AB7462" s="1"/>
    </row>
    <row r="7463" spans="15:28">
      <c r="O7463" s="1"/>
      <c r="P7463" s="1"/>
      <c r="Q7463" s="1"/>
      <c r="R7463" s="1"/>
      <c r="Z7463" s="103"/>
      <c r="AA7463" s="103"/>
      <c r="AB7463" s="1"/>
    </row>
    <row r="7464" spans="15:28">
      <c r="O7464" s="1"/>
      <c r="P7464" s="1"/>
      <c r="Q7464" s="1"/>
      <c r="R7464" s="1"/>
      <c r="Z7464" s="103"/>
      <c r="AA7464" s="103"/>
      <c r="AB7464" s="1"/>
    </row>
    <row r="7465" spans="15:28">
      <c r="O7465" s="1"/>
      <c r="P7465" s="1"/>
      <c r="Q7465" s="1"/>
      <c r="R7465" s="1"/>
      <c r="Z7465" s="103"/>
      <c r="AA7465" s="103"/>
      <c r="AB7465" s="1"/>
    </row>
    <row r="7466" spans="15:28">
      <c r="O7466" s="1"/>
      <c r="P7466" s="1"/>
      <c r="Q7466" s="1"/>
      <c r="R7466" s="1"/>
      <c r="Z7466" s="103"/>
      <c r="AA7466" s="103"/>
      <c r="AB7466" s="1"/>
    </row>
    <row r="7467" spans="15:28">
      <c r="O7467" s="1"/>
      <c r="P7467" s="1"/>
      <c r="Q7467" s="1"/>
      <c r="R7467" s="1"/>
      <c r="Z7467" s="103"/>
      <c r="AA7467" s="103"/>
      <c r="AB7467" s="1"/>
    </row>
    <row r="7468" spans="15:28">
      <c r="O7468" s="1"/>
      <c r="P7468" s="1"/>
      <c r="Q7468" s="1"/>
      <c r="R7468" s="1"/>
      <c r="Z7468" s="103"/>
      <c r="AA7468" s="103"/>
      <c r="AB7468" s="1"/>
    </row>
    <row r="7469" spans="15:28">
      <c r="O7469" s="1"/>
      <c r="P7469" s="1"/>
      <c r="Q7469" s="1"/>
      <c r="R7469" s="1"/>
      <c r="Z7469" s="103"/>
      <c r="AA7469" s="103"/>
      <c r="AB7469" s="1"/>
    </row>
    <row r="7470" spans="15:28">
      <c r="O7470" s="1"/>
      <c r="P7470" s="1"/>
      <c r="Q7470" s="1"/>
      <c r="R7470" s="1"/>
      <c r="Z7470" s="103"/>
      <c r="AA7470" s="103"/>
      <c r="AB7470" s="1"/>
    </row>
    <row r="7471" spans="15:28">
      <c r="O7471" s="1"/>
      <c r="P7471" s="1"/>
      <c r="Q7471" s="1"/>
      <c r="R7471" s="1"/>
      <c r="Z7471" s="103"/>
      <c r="AA7471" s="103"/>
      <c r="AB7471" s="1"/>
    </row>
    <row r="7472" spans="15:28">
      <c r="O7472" s="1"/>
      <c r="P7472" s="1"/>
      <c r="Q7472" s="1"/>
      <c r="R7472" s="1"/>
      <c r="Z7472" s="103"/>
      <c r="AA7472" s="103"/>
      <c r="AB7472" s="1"/>
    </row>
    <row r="7473" spans="15:28">
      <c r="O7473" s="1"/>
      <c r="P7473" s="1"/>
      <c r="Q7473" s="1"/>
      <c r="R7473" s="1"/>
      <c r="Z7473" s="103"/>
      <c r="AA7473" s="103"/>
      <c r="AB7473" s="1"/>
    </row>
    <row r="7474" spans="15:28">
      <c r="O7474" s="1"/>
      <c r="P7474" s="1"/>
      <c r="Q7474" s="1"/>
      <c r="R7474" s="1"/>
      <c r="Z7474" s="103"/>
      <c r="AA7474" s="103"/>
      <c r="AB7474" s="1"/>
    </row>
    <row r="7475" spans="15:28">
      <c r="O7475" s="1"/>
      <c r="P7475" s="1"/>
      <c r="Q7475" s="1"/>
      <c r="R7475" s="1"/>
      <c r="Z7475" s="103"/>
      <c r="AA7475" s="103"/>
      <c r="AB7475" s="1"/>
    </row>
    <row r="7476" spans="15:28">
      <c r="O7476" s="1"/>
      <c r="P7476" s="1"/>
      <c r="Q7476" s="1"/>
      <c r="R7476" s="1"/>
      <c r="Z7476" s="103"/>
      <c r="AA7476" s="103"/>
      <c r="AB7476" s="1"/>
    </row>
    <row r="7477" spans="15:28">
      <c r="O7477" s="1"/>
      <c r="P7477" s="1"/>
      <c r="Q7477" s="1"/>
      <c r="R7477" s="1"/>
      <c r="Z7477" s="103"/>
      <c r="AA7477" s="103"/>
      <c r="AB7477" s="1"/>
    </row>
    <row r="7478" spans="15:28">
      <c r="O7478" s="1"/>
      <c r="P7478" s="1"/>
      <c r="Q7478" s="1"/>
      <c r="R7478" s="1"/>
      <c r="Z7478" s="103"/>
      <c r="AA7478" s="103"/>
      <c r="AB7478" s="1"/>
    </row>
    <row r="7479" spans="15:28">
      <c r="O7479" s="1"/>
      <c r="P7479" s="1"/>
      <c r="Q7479" s="1"/>
      <c r="R7479" s="1"/>
      <c r="Z7479" s="103"/>
      <c r="AA7479" s="103"/>
      <c r="AB7479" s="1"/>
    </row>
    <row r="7480" spans="15:28">
      <c r="O7480" s="1"/>
      <c r="P7480" s="1"/>
      <c r="Q7480" s="1"/>
      <c r="R7480" s="1"/>
      <c r="Z7480" s="103"/>
      <c r="AA7480" s="103"/>
      <c r="AB7480" s="1"/>
    </row>
    <row r="7481" spans="15:28">
      <c r="O7481" s="1"/>
      <c r="P7481" s="1"/>
      <c r="Q7481" s="1"/>
      <c r="R7481" s="1"/>
      <c r="Z7481" s="103"/>
      <c r="AA7481" s="103"/>
      <c r="AB7481" s="1"/>
    </row>
    <row r="7482" spans="15:28">
      <c r="O7482" s="1"/>
      <c r="P7482" s="1"/>
      <c r="Q7482" s="1"/>
      <c r="R7482" s="1"/>
      <c r="Z7482" s="103"/>
      <c r="AA7482" s="103"/>
      <c r="AB7482" s="1"/>
    </row>
    <row r="7483" spans="15:28">
      <c r="O7483" s="1"/>
      <c r="P7483" s="1"/>
      <c r="Q7483" s="1"/>
      <c r="R7483" s="1"/>
      <c r="Z7483" s="103"/>
      <c r="AA7483" s="103"/>
      <c r="AB7483" s="1"/>
    </row>
    <row r="7484" spans="15:28">
      <c r="O7484" s="1"/>
      <c r="P7484" s="1"/>
      <c r="Q7484" s="1"/>
      <c r="R7484" s="1"/>
      <c r="Z7484" s="103"/>
      <c r="AA7484" s="103"/>
      <c r="AB7484" s="1"/>
    </row>
    <row r="7485" spans="15:28">
      <c r="O7485" s="1"/>
      <c r="P7485" s="1"/>
      <c r="Q7485" s="1"/>
      <c r="R7485" s="1"/>
      <c r="Z7485" s="103"/>
      <c r="AA7485" s="103"/>
      <c r="AB7485" s="1"/>
    </row>
    <row r="7486" spans="15:28">
      <c r="O7486" s="1"/>
      <c r="P7486" s="1"/>
      <c r="Q7486" s="1"/>
      <c r="R7486" s="1"/>
      <c r="Z7486" s="103"/>
      <c r="AA7486" s="103"/>
      <c r="AB7486" s="1"/>
    </row>
    <row r="7487" spans="15:28">
      <c r="O7487" s="1"/>
      <c r="P7487" s="1"/>
      <c r="Q7487" s="1"/>
      <c r="R7487" s="1"/>
      <c r="Z7487" s="103"/>
      <c r="AA7487" s="103"/>
      <c r="AB7487" s="1"/>
    </row>
    <row r="7488" spans="15:28">
      <c r="O7488" s="1"/>
      <c r="P7488" s="1"/>
      <c r="Q7488" s="1"/>
      <c r="R7488" s="1"/>
      <c r="Z7488" s="103"/>
      <c r="AA7488" s="103"/>
      <c r="AB7488" s="1"/>
    </row>
    <row r="7489" spans="15:28">
      <c r="O7489" s="1"/>
      <c r="P7489" s="1"/>
      <c r="Q7489" s="1"/>
      <c r="R7489" s="1"/>
      <c r="Z7489" s="103"/>
      <c r="AA7489" s="103"/>
      <c r="AB7489" s="1"/>
    </row>
    <row r="7490" spans="15:28">
      <c r="O7490" s="1"/>
      <c r="P7490" s="1"/>
      <c r="Q7490" s="1"/>
      <c r="R7490" s="1"/>
      <c r="Z7490" s="103"/>
      <c r="AA7490" s="103"/>
      <c r="AB7490" s="1"/>
    </row>
    <row r="7491" spans="15:28">
      <c r="O7491" s="1"/>
      <c r="P7491" s="1"/>
      <c r="Q7491" s="1"/>
      <c r="R7491" s="1"/>
      <c r="Z7491" s="103"/>
      <c r="AA7491" s="103"/>
      <c r="AB7491" s="1"/>
    </row>
    <row r="7492" spans="15:28">
      <c r="O7492" s="1"/>
      <c r="P7492" s="1"/>
      <c r="Q7492" s="1"/>
      <c r="R7492" s="1"/>
      <c r="Z7492" s="103"/>
      <c r="AA7492" s="103"/>
      <c r="AB7492" s="1"/>
    </row>
    <row r="7493" spans="15:28">
      <c r="O7493" s="1"/>
      <c r="P7493" s="1"/>
      <c r="Q7493" s="1"/>
      <c r="R7493" s="1"/>
      <c r="Z7493" s="103"/>
      <c r="AA7493" s="103"/>
      <c r="AB7493" s="1"/>
    </row>
    <row r="7494" spans="15:28">
      <c r="O7494" s="1"/>
      <c r="P7494" s="1"/>
      <c r="Q7494" s="1"/>
      <c r="R7494" s="1"/>
      <c r="Z7494" s="103"/>
      <c r="AA7494" s="103"/>
      <c r="AB7494" s="1"/>
    </row>
    <row r="7495" spans="15:28">
      <c r="O7495" s="1"/>
      <c r="P7495" s="1"/>
      <c r="Q7495" s="1"/>
      <c r="R7495" s="1"/>
      <c r="Z7495" s="103"/>
      <c r="AA7495" s="103"/>
      <c r="AB7495" s="1"/>
    </row>
    <row r="7496" spans="15:28">
      <c r="O7496" s="1"/>
      <c r="P7496" s="1"/>
      <c r="Q7496" s="1"/>
      <c r="R7496" s="1"/>
      <c r="Z7496" s="103"/>
      <c r="AA7496" s="103"/>
      <c r="AB7496" s="1"/>
    </row>
    <row r="7497" spans="15:28">
      <c r="O7497" s="1"/>
      <c r="P7497" s="1"/>
      <c r="Q7497" s="1"/>
      <c r="R7497" s="1"/>
      <c r="Z7497" s="103"/>
      <c r="AA7497" s="103"/>
      <c r="AB7497" s="1"/>
    </row>
    <row r="7498" spans="15:28">
      <c r="O7498" s="1"/>
      <c r="P7498" s="1"/>
      <c r="Q7498" s="1"/>
      <c r="R7498" s="1"/>
      <c r="Z7498" s="103"/>
      <c r="AA7498" s="103"/>
      <c r="AB7498" s="1"/>
    </row>
    <row r="7499" spans="15:28">
      <c r="O7499" s="1"/>
      <c r="P7499" s="1"/>
      <c r="Q7499" s="1"/>
      <c r="R7499" s="1"/>
      <c r="Z7499" s="103"/>
      <c r="AA7499" s="103"/>
      <c r="AB7499" s="1"/>
    </row>
    <row r="7500" spans="15:28">
      <c r="O7500" s="1"/>
      <c r="P7500" s="1"/>
      <c r="Q7500" s="1"/>
      <c r="R7500" s="1"/>
      <c r="Z7500" s="103"/>
      <c r="AA7500" s="103"/>
      <c r="AB7500" s="1"/>
    </row>
    <row r="7501" spans="15:28">
      <c r="O7501" s="1"/>
      <c r="P7501" s="1"/>
      <c r="Q7501" s="1"/>
      <c r="R7501" s="1"/>
      <c r="Z7501" s="103"/>
      <c r="AA7501" s="103"/>
      <c r="AB7501" s="1"/>
    </row>
    <row r="7502" spans="15:28">
      <c r="O7502" s="1"/>
      <c r="P7502" s="1"/>
      <c r="Q7502" s="1"/>
      <c r="R7502" s="1"/>
      <c r="Z7502" s="103"/>
      <c r="AA7502" s="103"/>
      <c r="AB7502" s="1"/>
    </row>
    <row r="7503" spans="15:28">
      <c r="O7503" s="1"/>
      <c r="P7503" s="1"/>
      <c r="Q7503" s="1"/>
      <c r="R7503" s="1"/>
      <c r="Z7503" s="103"/>
      <c r="AA7503" s="103"/>
      <c r="AB7503" s="1"/>
    </row>
    <row r="7504" spans="15:28">
      <c r="O7504" s="1"/>
      <c r="P7504" s="1"/>
      <c r="Q7504" s="1"/>
      <c r="R7504" s="1"/>
      <c r="Z7504" s="103"/>
      <c r="AA7504" s="103"/>
      <c r="AB7504" s="1"/>
    </row>
    <row r="7505" spans="15:28">
      <c r="O7505" s="1"/>
      <c r="P7505" s="1"/>
      <c r="Q7505" s="1"/>
      <c r="R7505" s="1"/>
      <c r="Z7505" s="103"/>
      <c r="AA7505" s="103"/>
      <c r="AB7505" s="1"/>
    </row>
    <row r="7506" spans="15:28">
      <c r="O7506" s="1"/>
      <c r="P7506" s="1"/>
      <c r="Q7506" s="1"/>
      <c r="R7506" s="1"/>
      <c r="Z7506" s="103"/>
      <c r="AA7506" s="103"/>
      <c r="AB7506" s="1"/>
    </row>
    <row r="7507" spans="15:28">
      <c r="O7507" s="1"/>
      <c r="P7507" s="1"/>
      <c r="Q7507" s="1"/>
      <c r="R7507" s="1"/>
      <c r="Z7507" s="103"/>
      <c r="AA7507" s="103"/>
      <c r="AB7507" s="1"/>
    </row>
    <row r="7508" spans="15:28">
      <c r="O7508" s="1"/>
      <c r="P7508" s="1"/>
      <c r="Q7508" s="1"/>
      <c r="R7508" s="1"/>
      <c r="Z7508" s="103"/>
      <c r="AA7508" s="103"/>
      <c r="AB7508" s="1"/>
    </row>
    <row r="7509" spans="15:28">
      <c r="O7509" s="1"/>
      <c r="P7509" s="1"/>
      <c r="Q7509" s="1"/>
      <c r="R7509" s="1"/>
      <c r="Z7509" s="103"/>
      <c r="AA7509" s="103"/>
      <c r="AB7509" s="1"/>
    </row>
    <row r="7510" spans="15:28">
      <c r="O7510" s="1"/>
      <c r="P7510" s="1"/>
      <c r="Q7510" s="1"/>
      <c r="R7510" s="1"/>
      <c r="Z7510" s="103"/>
      <c r="AA7510" s="103"/>
      <c r="AB7510" s="1"/>
    </row>
    <row r="7511" spans="15:28">
      <c r="O7511" s="1"/>
      <c r="P7511" s="1"/>
      <c r="Q7511" s="1"/>
      <c r="R7511" s="1"/>
      <c r="Z7511" s="103"/>
      <c r="AA7511" s="103"/>
      <c r="AB7511" s="1"/>
    </row>
    <row r="7512" spans="15:28">
      <c r="O7512" s="1"/>
      <c r="P7512" s="1"/>
      <c r="Q7512" s="1"/>
      <c r="R7512" s="1"/>
      <c r="Z7512" s="103"/>
      <c r="AA7512" s="103"/>
      <c r="AB7512" s="1"/>
    </row>
    <row r="7513" spans="15:28">
      <c r="O7513" s="1"/>
      <c r="P7513" s="1"/>
      <c r="Q7513" s="1"/>
      <c r="R7513" s="1"/>
      <c r="Z7513" s="103"/>
      <c r="AA7513" s="103"/>
      <c r="AB7513" s="1"/>
    </row>
    <row r="7514" spans="15:28">
      <c r="O7514" s="1"/>
      <c r="P7514" s="1"/>
      <c r="Q7514" s="1"/>
      <c r="R7514" s="1"/>
      <c r="Z7514" s="103"/>
      <c r="AA7514" s="103"/>
      <c r="AB7514" s="1"/>
    </row>
    <row r="7515" spans="15:28">
      <c r="O7515" s="1"/>
      <c r="P7515" s="1"/>
      <c r="Q7515" s="1"/>
      <c r="R7515" s="1"/>
      <c r="Z7515" s="103"/>
      <c r="AA7515" s="103"/>
      <c r="AB7515" s="1"/>
    </row>
    <row r="7516" spans="15:28">
      <c r="O7516" s="1"/>
      <c r="P7516" s="1"/>
      <c r="Q7516" s="1"/>
      <c r="R7516" s="1"/>
      <c r="Z7516" s="103"/>
      <c r="AA7516" s="103"/>
      <c r="AB7516" s="1"/>
    </row>
    <row r="7517" spans="15:28">
      <c r="O7517" s="1"/>
      <c r="P7517" s="1"/>
      <c r="Q7517" s="1"/>
      <c r="R7517" s="1"/>
      <c r="Z7517" s="103"/>
      <c r="AA7517" s="103"/>
      <c r="AB7517" s="1"/>
    </row>
    <row r="7518" spans="15:28">
      <c r="O7518" s="1"/>
      <c r="P7518" s="1"/>
      <c r="Q7518" s="1"/>
      <c r="R7518" s="1"/>
      <c r="Z7518" s="103"/>
      <c r="AA7518" s="103"/>
      <c r="AB7518" s="1"/>
    </row>
    <row r="7519" spans="15:28">
      <c r="O7519" s="1"/>
      <c r="P7519" s="1"/>
      <c r="Q7519" s="1"/>
      <c r="R7519" s="1"/>
      <c r="Z7519" s="103"/>
      <c r="AA7519" s="103"/>
      <c r="AB7519" s="1"/>
    </row>
    <row r="7520" spans="15:28">
      <c r="O7520" s="1"/>
      <c r="P7520" s="1"/>
      <c r="Q7520" s="1"/>
      <c r="R7520" s="1"/>
      <c r="Z7520" s="103"/>
      <c r="AA7520" s="103"/>
      <c r="AB7520" s="1"/>
    </row>
    <row r="7521" spans="15:28">
      <c r="O7521" s="1"/>
      <c r="P7521" s="1"/>
      <c r="Q7521" s="1"/>
      <c r="R7521" s="1"/>
      <c r="Z7521" s="103"/>
      <c r="AA7521" s="103"/>
      <c r="AB7521" s="1"/>
    </row>
    <row r="7522" spans="15:28">
      <c r="O7522" s="1"/>
      <c r="P7522" s="1"/>
      <c r="Q7522" s="1"/>
      <c r="R7522" s="1"/>
      <c r="Z7522" s="103"/>
      <c r="AA7522" s="103"/>
      <c r="AB7522" s="1"/>
    </row>
    <row r="7523" spans="15:28">
      <c r="O7523" s="1"/>
      <c r="P7523" s="1"/>
      <c r="Q7523" s="1"/>
      <c r="R7523" s="1"/>
      <c r="Z7523" s="103"/>
      <c r="AA7523" s="103"/>
      <c r="AB7523" s="1"/>
    </row>
    <row r="7524" spans="15:28">
      <c r="O7524" s="1"/>
      <c r="P7524" s="1"/>
      <c r="Q7524" s="1"/>
      <c r="R7524" s="1"/>
      <c r="Z7524" s="103"/>
      <c r="AA7524" s="103"/>
      <c r="AB7524" s="1"/>
    </row>
    <row r="7525" spans="15:28">
      <c r="O7525" s="1"/>
      <c r="P7525" s="1"/>
      <c r="Q7525" s="1"/>
      <c r="R7525" s="1"/>
      <c r="Z7525" s="103"/>
      <c r="AA7525" s="103"/>
      <c r="AB7525" s="1"/>
    </row>
    <row r="7526" spans="15:28">
      <c r="O7526" s="1"/>
      <c r="P7526" s="1"/>
      <c r="Q7526" s="1"/>
      <c r="R7526" s="1"/>
      <c r="Z7526" s="103"/>
      <c r="AA7526" s="103"/>
      <c r="AB7526" s="1"/>
    </row>
    <row r="7527" spans="15:28">
      <c r="O7527" s="1"/>
      <c r="P7527" s="1"/>
      <c r="Q7527" s="1"/>
      <c r="R7527" s="1"/>
      <c r="Z7527" s="103"/>
      <c r="AA7527" s="103"/>
      <c r="AB7527" s="1"/>
    </row>
    <row r="7528" spans="15:28">
      <c r="O7528" s="1"/>
      <c r="P7528" s="1"/>
      <c r="Q7528" s="1"/>
      <c r="R7528" s="1"/>
      <c r="Z7528" s="103"/>
      <c r="AA7528" s="103"/>
      <c r="AB7528" s="1"/>
    </row>
    <row r="7529" spans="15:28">
      <c r="O7529" s="1"/>
      <c r="P7529" s="1"/>
      <c r="Q7529" s="1"/>
      <c r="R7529" s="1"/>
      <c r="Z7529" s="103"/>
      <c r="AA7529" s="103"/>
      <c r="AB7529" s="1"/>
    </row>
    <row r="7530" spans="15:28">
      <c r="O7530" s="1"/>
      <c r="P7530" s="1"/>
      <c r="Q7530" s="1"/>
      <c r="R7530" s="1"/>
      <c r="Z7530" s="103"/>
      <c r="AA7530" s="103"/>
      <c r="AB7530" s="1"/>
    </row>
    <row r="7531" spans="15:28">
      <c r="O7531" s="1"/>
      <c r="P7531" s="1"/>
      <c r="Q7531" s="1"/>
      <c r="R7531" s="1"/>
      <c r="Z7531" s="103"/>
      <c r="AA7531" s="103"/>
      <c r="AB7531" s="1"/>
    </row>
    <row r="7532" spans="15:28">
      <c r="O7532" s="1"/>
      <c r="P7532" s="1"/>
      <c r="Q7532" s="1"/>
      <c r="R7532" s="1"/>
      <c r="Z7532" s="103"/>
      <c r="AA7532" s="103"/>
      <c r="AB7532" s="1"/>
    </row>
    <row r="7533" spans="15:28">
      <c r="O7533" s="1"/>
      <c r="P7533" s="1"/>
      <c r="Q7533" s="1"/>
      <c r="R7533" s="1"/>
      <c r="Z7533" s="103"/>
      <c r="AA7533" s="103"/>
      <c r="AB7533" s="1"/>
    </row>
    <row r="7534" spans="15:28">
      <c r="O7534" s="1"/>
      <c r="P7534" s="1"/>
      <c r="Q7534" s="1"/>
      <c r="R7534" s="1"/>
      <c r="Z7534" s="103"/>
      <c r="AA7534" s="103"/>
      <c r="AB7534" s="1"/>
    </row>
    <row r="7535" spans="15:28">
      <c r="O7535" s="1"/>
      <c r="P7535" s="1"/>
      <c r="Q7535" s="1"/>
      <c r="R7535" s="1"/>
      <c r="Z7535" s="103"/>
      <c r="AA7535" s="103"/>
      <c r="AB7535" s="1"/>
    </row>
    <row r="7536" spans="15:28">
      <c r="O7536" s="1"/>
      <c r="P7536" s="1"/>
      <c r="Q7536" s="1"/>
      <c r="R7536" s="1"/>
      <c r="Z7536" s="103"/>
      <c r="AA7536" s="103"/>
      <c r="AB7536" s="1"/>
    </row>
    <row r="7537" spans="15:28">
      <c r="O7537" s="1"/>
      <c r="P7537" s="1"/>
      <c r="Q7537" s="1"/>
      <c r="R7537" s="1"/>
      <c r="Z7537" s="103"/>
      <c r="AA7537" s="103"/>
      <c r="AB7537" s="1"/>
    </row>
    <row r="7538" spans="15:28">
      <c r="O7538" s="1"/>
      <c r="P7538" s="1"/>
      <c r="Q7538" s="1"/>
      <c r="R7538" s="1"/>
      <c r="Z7538" s="103"/>
      <c r="AA7538" s="103"/>
      <c r="AB7538" s="1"/>
    </row>
    <row r="7539" spans="15:28">
      <c r="O7539" s="1"/>
      <c r="P7539" s="1"/>
      <c r="Q7539" s="1"/>
      <c r="R7539" s="1"/>
      <c r="Z7539" s="103"/>
      <c r="AA7539" s="103"/>
      <c r="AB7539" s="1"/>
    </row>
    <row r="7540" spans="15:28">
      <c r="O7540" s="1"/>
      <c r="P7540" s="1"/>
      <c r="Q7540" s="1"/>
      <c r="R7540" s="1"/>
      <c r="Z7540" s="103"/>
      <c r="AA7540" s="103"/>
      <c r="AB7540" s="1"/>
    </row>
    <row r="7541" spans="15:28">
      <c r="O7541" s="1"/>
      <c r="P7541" s="1"/>
      <c r="Q7541" s="1"/>
      <c r="R7541" s="1"/>
      <c r="Z7541" s="103"/>
      <c r="AA7541" s="103"/>
      <c r="AB7541" s="1"/>
    </row>
    <row r="7542" spans="15:28">
      <c r="O7542" s="1"/>
      <c r="P7542" s="1"/>
      <c r="Q7542" s="1"/>
      <c r="R7542" s="1"/>
      <c r="Z7542" s="103"/>
      <c r="AA7542" s="103"/>
      <c r="AB7542" s="1"/>
    </row>
    <row r="7543" spans="15:28">
      <c r="O7543" s="1"/>
      <c r="P7543" s="1"/>
      <c r="Q7543" s="1"/>
      <c r="R7543" s="1"/>
      <c r="Z7543" s="103"/>
      <c r="AA7543" s="103"/>
      <c r="AB7543" s="1"/>
    </row>
    <row r="7544" spans="15:28">
      <c r="O7544" s="1"/>
      <c r="P7544" s="1"/>
      <c r="Q7544" s="1"/>
      <c r="R7544" s="1"/>
      <c r="Z7544" s="103"/>
      <c r="AA7544" s="103"/>
      <c r="AB7544" s="1"/>
    </row>
    <row r="7545" spans="15:28">
      <c r="O7545" s="1"/>
      <c r="P7545" s="1"/>
      <c r="Q7545" s="1"/>
      <c r="R7545" s="1"/>
      <c r="Z7545" s="103"/>
      <c r="AA7545" s="103"/>
      <c r="AB7545" s="1"/>
    </row>
    <row r="7546" spans="15:28">
      <c r="O7546" s="1"/>
      <c r="P7546" s="1"/>
      <c r="Q7546" s="1"/>
      <c r="R7546" s="1"/>
      <c r="Z7546" s="103"/>
      <c r="AA7546" s="103"/>
      <c r="AB7546" s="1"/>
    </row>
    <row r="7547" spans="15:28">
      <c r="O7547" s="1"/>
      <c r="P7547" s="1"/>
      <c r="Q7547" s="1"/>
      <c r="R7547" s="1"/>
      <c r="Z7547" s="103"/>
      <c r="AA7547" s="103"/>
      <c r="AB7547" s="1"/>
    </row>
    <row r="7548" spans="15:28">
      <c r="O7548" s="1"/>
      <c r="P7548" s="1"/>
      <c r="Q7548" s="1"/>
      <c r="R7548" s="1"/>
      <c r="Z7548" s="103"/>
      <c r="AA7548" s="103"/>
      <c r="AB7548" s="1"/>
    </row>
    <row r="7549" spans="15:28">
      <c r="O7549" s="1"/>
      <c r="P7549" s="1"/>
      <c r="Q7549" s="1"/>
      <c r="R7549" s="1"/>
      <c r="Z7549" s="103"/>
      <c r="AA7549" s="103"/>
      <c r="AB7549" s="1"/>
    </row>
    <row r="7550" spans="15:28">
      <c r="O7550" s="1"/>
      <c r="P7550" s="1"/>
      <c r="Q7550" s="1"/>
      <c r="R7550" s="1"/>
      <c r="Z7550" s="103"/>
      <c r="AA7550" s="103"/>
      <c r="AB7550" s="1"/>
    </row>
    <row r="7551" spans="15:28">
      <c r="O7551" s="1"/>
      <c r="P7551" s="1"/>
      <c r="Q7551" s="1"/>
      <c r="R7551" s="1"/>
      <c r="Z7551" s="103"/>
      <c r="AA7551" s="103"/>
      <c r="AB7551" s="1"/>
    </row>
    <row r="7552" spans="15:28">
      <c r="O7552" s="1"/>
      <c r="P7552" s="1"/>
      <c r="Q7552" s="1"/>
      <c r="R7552" s="1"/>
      <c r="Z7552" s="103"/>
      <c r="AA7552" s="103"/>
      <c r="AB7552" s="1"/>
    </row>
    <row r="7553" spans="15:28">
      <c r="O7553" s="1"/>
      <c r="P7553" s="1"/>
      <c r="Q7553" s="1"/>
      <c r="R7553" s="1"/>
      <c r="Z7553" s="103"/>
      <c r="AA7553" s="103"/>
      <c r="AB7553" s="1"/>
    </row>
    <row r="7554" spans="15:28">
      <c r="O7554" s="1"/>
      <c r="P7554" s="1"/>
      <c r="Q7554" s="1"/>
      <c r="R7554" s="1"/>
      <c r="Z7554" s="103"/>
      <c r="AA7554" s="103"/>
      <c r="AB7554" s="1"/>
    </row>
    <row r="7555" spans="15:28">
      <c r="O7555" s="1"/>
      <c r="P7555" s="1"/>
      <c r="Q7555" s="1"/>
      <c r="R7555" s="1"/>
      <c r="Z7555" s="103"/>
      <c r="AA7555" s="103"/>
      <c r="AB7555" s="1"/>
    </row>
    <row r="7556" spans="15:28">
      <c r="O7556" s="1"/>
      <c r="P7556" s="1"/>
      <c r="Q7556" s="1"/>
      <c r="R7556" s="1"/>
      <c r="Z7556" s="103"/>
      <c r="AA7556" s="103"/>
      <c r="AB7556" s="1"/>
    </row>
    <row r="7557" spans="15:28">
      <c r="O7557" s="1"/>
      <c r="P7557" s="1"/>
      <c r="Q7557" s="1"/>
      <c r="R7557" s="1"/>
      <c r="Z7557" s="103"/>
      <c r="AA7557" s="103"/>
      <c r="AB7557" s="1"/>
    </row>
    <row r="7558" spans="15:28">
      <c r="O7558" s="1"/>
      <c r="P7558" s="1"/>
      <c r="Q7558" s="1"/>
      <c r="R7558" s="1"/>
      <c r="Z7558" s="103"/>
      <c r="AA7558" s="103"/>
      <c r="AB7558" s="1"/>
    </row>
    <row r="7559" spans="15:28">
      <c r="O7559" s="1"/>
      <c r="P7559" s="1"/>
      <c r="Q7559" s="1"/>
      <c r="R7559" s="1"/>
      <c r="Z7559" s="103"/>
      <c r="AA7559" s="103"/>
      <c r="AB7559" s="1"/>
    </row>
    <row r="7560" spans="15:28">
      <c r="O7560" s="1"/>
      <c r="P7560" s="1"/>
      <c r="Q7560" s="1"/>
      <c r="R7560" s="1"/>
      <c r="Z7560" s="103"/>
      <c r="AA7560" s="103"/>
      <c r="AB7560" s="1"/>
    </row>
    <row r="7561" spans="15:28">
      <c r="O7561" s="1"/>
      <c r="P7561" s="1"/>
      <c r="Q7561" s="1"/>
      <c r="R7561" s="1"/>
      <c r="Z7561" s="103"/>
      <c r="AA7561" s="103"/>
      <c r="AB7561" s="1"/>
    </row>
    <row r="7562" spans="15:28">
      <c r="O7562" s="1"/>
      <c r="P7562" s="1"/>
      <c r="Q7562" s="1"/>
      <c r="R7562" s="1"/>
      <c r="Z7562" s="103"/>
      <c r="AA7562" s="103"/>
      <c r="AB7562" s="1"/>
    </row>
    <row r="7563" spans="15:28">
      <c r="O7563" s="1"/>
      <c r="P7563" s="1"/>
      <c r="Q7563" s="1"/>
      <c r="R7563" s="1"/>
      <c r="Z7563" s="103"/>
      <c r="AA7563" s="103"/>
      <c r="AB7563" s="1"/>
    </row>
    <row r="7564" spans="15:28">
      <c r="O7564" s="1"/>
      <c r="P7564" s="1"/>
      <c r="Q7564" s="1"/>
      <c r="R7564" s="1"/>
      <c r="Z7564" s="103"/>
      <c r="AA7564" s="103"/>
      <c r="AB7564" s="1"/>
    </row>
    <row r="7565" spans="15:28">
      <c r="O7565" s="1"/>
      <c r="P7565" s="1"/>
      <c r="Q7565" s="1"/>
      <c r="R7565" s="1"/>
      <c r="Z7565" s="103"/>
      <c r="AA7565" s="103"/>
      <c r="AB7565" s="1"/>
    </row>
    <row r="7566" spans="15:28">
      <c r="O7566" s="1"/>
      <c r="P7566" s="1"/>
      <c r="Q7566" s="1"/>
      <c r="R7566" s="1"/>
      <c r="Z7566" s="103"/>
      <c r="AA7566" s="103"/>
      <c r="AB7566" s="1"/>
    </row>
    <row r="7567" spans="15:28">
      <c r="O7567" s="1"/>
      <c r="P7567" s="1"/>
      <c r="Q7567" s="1"/>
      <c r="R7567" s="1"/>
      <c r="Z7567" s="103"/>
      <c r="AA7567" s="103"/>
      <c r="AB7567" s="1"/>
    </row>
    <row r="7568" spans="15:28">
      <c r="O7568" s="1"/>
      <c r="P7568" s="1"/>
      <c r="Q7568" s="1"/>
      <c r="R7568" s="1"/>
      <c r="Z7568" s="103"/>
      <c r="AA7568" s="103"/>
      <c r="AB7568" s="1"/>
    </row>
    <row r="7569" spans="15:28">
      <c r="O7569" s="1"/>
      <c r="P7569" s="1"/>
      <c r="Q7569" s="1"/>
      <c r="R7569" s="1"/>
      <c r="Z7569" s="103"/>
      <c r="AA7569" s="103"/>
      <c r="AB7569" s="1"/>
    </row>
    <row r="7570" spans="15:28">
      <c r="O7570" s="1"/>
      <c r="P7570" s="1"/>
      <c r="Q7570" s="1"/>
      <c r="R7570" s="1"/>
      <c r="Z7570" s="103"/>
      <c r="AA7570" s="103"/>
      <c r="AB7570" s="1"/>
    </row>
    <row r="7571" spans="15:28">
      <c r="O7571" s="1"/>
      <c r="P7571" s="1"/>
      <c r="Q7571" s="1"/>
      <c r="R7571" s="1"/>
      <c r="Z7571" s="103"/>
      <c r="AA7571" s="103"/>
      <c r="AB7571" s="1"/>
    </row>
    <row r="7572" spans="15:28">
      <c r="O7572" s="1"/>
      <c r="P7572" s="1"/>
      <c r="Q7572" s="1"/>
      <c r="R7572" s="1"/>
      <c r="Z7572" s="103"/>
      <c r="AA7572" s="103"/>
      <c r="AB7572" s="1"/>
    </row>
    <row r="7573" spans="15:28">
      <c r="O7573" s="1"/>
      <c r="P7573" s="1"/>
      <c r="Q7573" s="1"/>
      <c r="R7573" s="1"/>
      <c r="Z7573" s="103"/>
      <c r="AA7573" s="103"/>
      <c r="AB7573" s="1"/>
    </row>
    <row r="7574" spans="15:28">
      <c r="O7574" s="1"/>
      <c r="P7574" s="1"/>
      <c r="Q7574" s="1"/>
      <c r="R7574" s="1"/>
      <c r="Z7574" s="103"/>
      <c r="AA7574" s="103"/>
      <c r="AB7574" s="1"/>
    </row>
    <row r="7575" spans="15:28">
      <c r="O7575" s="1"/>
      <c r="P7575" s="1"/>
      <c r="Q7575" s="1"/>
      <c r="R7575" s="1"/>
      <c r="Z7575" s="103"/>
      <c r="AA7575" s="103"/>
      <c r="AB7575" s="1"/>
    </row>
    <row r="7576" spans="15:28">
      <c r="O7576" s="1"/>
      <c r="P7576" s="1"/>
      <c r="Q7576" s="1"/>
      <c r="R7576" s="1"/>
      <c r="Z7576" s="103"/>
      <c r="AA7576" s="103"/>
      <c r="AB7576" s="1"/>
    </row>
    <row r="7577" spans="15:28">
      <c r="O7577" s="1"/>
      <c r="P7577" s="1"/>
      <c r="Q7577" s="1"/>
      <c r="R7577" s="1"/>
      <c r="Z7577" s="103"/>
      <c r="AA7577" s="103"/>
      <c r="AB7577" s="1"/>
    </row>
    <row r="7578" spans="15:28">
      <c r="O7578" s="1"/>
      <c r="P7578" s="1"/>
      <c r="Q7578" s="1"/>
      <c r="R7578" s="1"/>
      <c r="Z7578" s="103"/>
      <c r="AA7578" s="103"/>
      <c r="AB7578" s="1"/>
    </row>
    <row r="7579" spans="15:28">
      <c r="O7579" s="1"/>
      <c r="P7579" s="1"/>
      <c r="Q7579" s="1"/>
      <c r="R7579" s="1"/>
      <c r="Z7579" s="103"/>
      <c r="AA7579" s="103"/>
      <c r="AB7579" s="1"/>
    </row>
    <row r="7580" spans="15:28">
      <c r="O7580" s="1"/>
      <c r="P7580" s="1"/>
      <c r="Q7580" s="1"/>
      <c r="R7580" s="1"/>
      <c r="Z7580" s="103"/>
      <c r="AA7580" s="103"/>
      <c r="AB7580" s="1"/>
    </row>
    <row r="7581" spans="15:28">
      <c r="O7581" s="1"/>
      <c r="P7581" s="1"/>
      <c r="Q7581" s="1"/>
      <c r="R7581" s="1"/>
      <c r="Z7581" s="103"/>
      <c r="AA7581" s="103"/>
      <c r="AB7581" s="1"/>
    </row>
    <row r="7582" spans="15:28">
      <c r="O7582" s="1"/>
      <c r="P7582" s="1"/>
      <c r="Q7582" s="1"/>
      <c r="R7582" s="1"/>
      <c r="Z7582" s="103"/>
      <c r="AA7582" s="103"/>
      <c r="AB7582" s="1"/>
    </row>
    <row r="7583" spans="15:28">
      <c r="O7583" s="1"/>
      <c r="P7583" s="1"/>
      <c r="Q7583" s="1"/>
      <c r="R7583" s="1"/>
      <c r="Z7583" s="103"/>
      <c r="AA7583" s="103"/>
      <c r="AB7583" s="1"/>
    </row>
    <row r="7584" spans="15:28">
      <c r="O7584" s="1"/>
      <c r="P7584" s="1"/>
      <c r="Q7584" s="1"/>
      <c r="R7584" s="1"/>
      <c r="Z7584" s="103"/>
      <c r="AA7584" s="103"/>
      <c r="AB7584" s="1"/>
    </row>
    <row r="7585" spans="15:28">
      <c r="O7585" s="1"/>
      <c r="P7585" s="1"/>
      <c r="Q7585" s="1"/>
      <c r="R7585" s="1"/>
      <c r="Z7585" s="103"/>
      <c r="AA7585" s="103"/>
      <c r="AB7585" s="1"/>
    </row>
    <row r="7586" spans="15:28">
      <c r="O7586" s="1"/>
      <c r="P7586" s="1"/>
      <c r="Q7586" s="1"/>
      <c r="R7586" s="1"/>
      <c r="Z7586" s="103"/>
      <c r="AA7586" s="103"/>
      <c r="AB7586" s="1"/>
    </row>
    <row r="7587" spans="15:28">
      <c r="O7587" s="1"/>
      <c r="P7587" s="1"/>
      <c r="Q7587" s="1"/>
      <c r="R7587" s="1"/>
      <c r="Z7587" s="103"/>
      <c r="AA7587" s="103"/>
      <c r="AB7587" s="1"/>
    </row>
    <row r="7588" spans="15:28">
      <c r="O7588" s="1"/>
      <c r="P7588" s="1"/>
      <c r="Q7588" s="1"/>
      <c r="R7588" s="1"/>
      <c r="Z7588" s="103"/>
      <c r="AA7588" s="103"/>
      <c r="AB7588" s="1"/>
    </row>
    <row r="7589" spans="15:28">
      <c r="O7589" s="1"/>
      <c r="P7589" s="1"/>
      <c r="Q7589" s="1"/>
      <c r="R7589" s="1"/>
      <c r="Z7589" s="103"/>
      <c r="AA7589" s="103"/>
      <c r="AB7589" s="1"/>
    </row>
    <row r="7590" spans="15:28">
      <c r="O7590" s="1"/>
      <c r="P7590" s="1"/>
      <c r="Q7590" s="1"/>
      <c r="R7590" s="1"/>
      <c r="Z7590" s="103"/>
      <c r="AA7590" s="103"/>
      <c r="AB7590" s="1"/>
    </row>
    <row r="7591" spans="15:28">
      <c r="O7591" s="1"/>
      <c r="P7591" s="1"/>
      <c r="Q7591" s="1"/>
      <c r="R7591" s="1"/>
      <c r="Z7591" s="103"/>
      <c r="AA7591" s="103"/>
      <c r="AB7591" s="1"/>
    </row>
    <row r="7592" spans="15:28">
      <c r="O7592" s="1"/>
      <c r="P7592" s="1"/>
      <c r="Q7592" s="1"/>
      <c r="R7592" s="1"/>
      <c r="Z7592" s="103"/>
      <c r="AA7592" s="103"/>
      <c r="AB7592" s="1"/>
    </row>
    <row r="7593" spans="15:28">
      <c r="O7593" s="1"/>
      <c r="P7593" s="1"/>
      <c r="Q7593" s="1"/>
      <c r="R7593" s="1"/>
      <c r="Z7593" s="103"/>
      <c r="AA7593" s="103"/>
      <c r="AB7593" s="1"/>
    </row>
    <row r="7594" spans="15:28">
      <c r="O7594" s="1"/>
      <c r="P7594" s="1"/>
      <c r="Q7594" s="1"/>
      <c r="R7594" s="1"/>
      <c r="Z7594" s="103"/>
      <c r="AA7594" s="103"/>
      <c r="AB7594" s="1"/>
    </row>
    <row r="7595" spans="15:28">
      <c r="O7595" s="1"/>
      <c r="P7595" s="1"/>
      <c r="Q7595" s="1"/>
      <c r="R7595" s="1"/>
      <c r="Z7595" s="103"/>
      <c r="AA7595" s="103"/>
      <c r="AB7595" s="1"/>
    </row>
    <row r="7596" spans="15:28">
      <c r="O7596" s="1"/>
      <c r="P7596" s="1"/>
      <c r="Q7596" s="1"/>
      <c r="R7596" s="1"/>
      <c r="Z7596" s="103"/>
      <c r="AA7596" s="103"/>
      <c r="AB7596" s="1"/>
    </row>
    <row r="7597" spans="15:28">
      <c r="O7597" s="1"/>
      <c r="P7597" s="1"/>
      <c r="Q7597" s="1"/>
      <c r="R7597" s="1"/>
      <c r="Z7597" s="103"/>
      <c r="AA7597" s="103"/>
      <c r="AB7597" s="1"/>
    </row>
    <row r="7598" spans="15:28">
      <c r="O7598" s="1"/>
      <c r="P7598" s="1"/>
      <c r="Q7598" s="1"/>
      <c r="R7598" s="1"/>
      <c r="Z7598" s="103"/>
      <c r="AA7598" s="103"/>
      <c r="AB7598" s="1"/>
    </row>
    <row r="7599" spans="15:28">
      <c r="O7599" s="1"/>
      <c r="P7599" s="1"/>
      <c r="Q7599" s="1"/>
      <c r="R7599" s="1"/>
      <c r="Z7599" s="103"/>
      <c r="AA7599" s="103"/>
      <c r="AB7599" s="1"/>
    </row>
    <row r="7600" spans="15:28">
      <c r="O7600" s="1"/>
      <c r="P7600" s="1"/>
      <c r="Q7600" s="1"/>
      <c r="R7600" s="1"/>
      <c r="Z7600" s="103"/>
      <c r="AA7600" s="103"/>
      <c r="AB7600" s="1"/>
    </row>
    <row r="7601" spans="15:28">
      <c r="O7601" s="1"/>
      <c r="P7601" s="1"/>
      <c r="Q7601" s="1"/>
      <c r="R7601" s="1"/>
      <c r="Z7601" s="103"/>
      <c r="AA7601" s="103"/>
      <c r="AB7601" s="1"/>
    </row>
    <row r="7602" spans="15:28">
      <c r="O7602" s="1"/>
      <c r="P7602" s="1"/>
      <c r="Q7602" s="1"/>
      <c r="R7602" s="1"/>
      <c r="Z7602" s="103"/>
      <c r="AA7602" s="103"/>
      <c r="AB7602" s="1"/>
    </row>
    <row r="7603" spans="15:28">
      <c r="O7603" s="1"/>
      <c r="P7603" s="1"/>
      <c r="Q7603" s="1"/>
      <c r="R7603" s="1"/>
      <c r="Z7603" s="103"/>
      <c r="AA7603" s="103"/>
      <c r="AB7603" s="1"/>
    </row>
    <row r="7604" spans="15:28">
      <c r="O7604" s="1"/>
      <c r="P7604" s="1"/>
      <c r="Q7604" s="1"/>
      <c r="R7604" s="1"/>
      <c r="Z7604" s="103"/>
      <c r="AA7604" s="103"/>
      <c r="AB7604" s="1"/>
    </row>
    <row r="7605" spans="15:28">
      <c r="O7605" s="1"/>
      <c r="P7605" s="1"/>
      <c r="Q7605" s="1"/>
      <c r="R7605" s="1"/>
      <c r="Z7605" s="103"/>
      <c r="AA7605" s="103"/>
      <c r="AB7605" s="1"/>
    </row>
    <row r="7606" spans="15:28">
      <c r="O7606" s="1"/>
      <c r="P7606" s="1"/>
      <c r="Q7606" s="1"/>
      <c r="R7606" s="1"/>
      <c r="Z7606" s="103"/>
      <c r="AA7606" s="103"/>
      <c r="AB7606" s="1"/>
    </row>
    <row r="7607" spans="15:28">
      <c r="O7607" s="1"/>
      <c r="P7607" s="1"/>
      <c r="Q7607" s="1"/>
      <c r="R7607" s="1"/>
      <c r="Z7607" s="103"/>
      <c r="AA7607" s="103"/>
      <c r="AB7607" s="1"/>
    </row>
    <row r="7608" spans="15:28">
      <c r="O7608" s="1"/>
      <c r="P7608" s="1"/>
      <c r="Q7608" s="1"/>
      <c r="R7608" s="1"/>
      <c r="Z7608" s="103"/>
      <c r="AA7608" s="103"/>
      <c r="AB7608" s="1"/>
    </row>
    <row r="7609" spans="15:28">
      <c r="O7609" s="1"/>
      <c r="P7609" s="1"/>
      <c r="Q7609" s="1"/>
      <c r="R7609" s="1"/>
      <c r="Z7609" s="103"/>
      <c r="AA7609" s="103"/>
      <c r="AB7609" s="1"/>
    </row>
    <row r="7610" spans="15:28">
      <c r="O7610" s="1"/>
      <c r="P7610" s="1"/>
      <c r="Q7610" s="1"/>
      <c r="R7610" s="1"/>
      <c r="Z7610" s="103"/>
      <c r="AA7610" s="103"/>
      <c r="AB7610" s="1"/>
    </row>
    <row r="7611" spans="15:28">
      <c r="O7611" s="1"/>
      <c r="P7611" s="1"/>
      <c r="Q7611" s="1"/>
      <c r="R7611" s="1"/>
      <c r="Z7611" s="103"/>
      <c r="AA7611" s="103"/>
      <c r="AB7611" s="1"/>
    </row>
    <row r="7612" spans="15:28">
      <c r="O7612" s="1"/>
      <c r="P7612" s="1"/>
      <c r="Q7612" s="1"/>
      <c r="R7612" s="1"/>
      <c r="Z7612" s="103"/>
      <c r="AA7612" s="103"/>
      <c r="AB7612" s="1"/>
    </row>
    <row r="7613" spans="15:28">
      <c r="O7613" s="1"/>
      <c r="P7613" s="1"/>
      <c r="Q7613" s="1"/>
      <c r="R7613" s="1"/>
      <c r="Z7613" s="103"/>
      <c r="AA7613" s="103"/>
      <c r="AB7613" s="1"/>
    </row>
    <row r="7614" spans="15:28">
      <c r="O7614" s="1"/>
      <c r="P7614" s="1"/>
      <c r="Q7614" s="1"/>
      <c r="R7614" s="1"/>
      <c r="Z7614" s="103"/>
      <c r="AA7614" s="103"/>
      <c r="AB7614" s="1"/>
    </row>
    <row r="7615" spans="15:28">
      <c r="O7615" s="1"/>
      <c r="P7615" s="1"/>
      <c r="Q7615" s="1"/>
      <c r="R7615" s="1"/>
      <c r="Z7615" s="103"/>
      <c r="AA7615" s="103"/>
      <c r="AB7615" s="1"/>
    </row>
    <row r="7616" spans="15:28">
      <c r="O7616" s="1"/>
      <c r="P7616" s="1"/>
      <c r="Q7616" s="1"/>
      <c r="R7616" s="1"/>
      <c r="Z7616" s="103"/>
      <c r="AA7616" s="103"/>
      <c r="AB7616" s="1"/>
    </row>
    <row r="7617" spans="15:28">
      <c r="O7617" s="1"/>
      <c r="P7617" s="1"/>
      <c r="Q7617" s="1"/>
      <c r="R7617" s="1"/>
      <c r="Z7617" s="103"/>
      <c r="AA7617" s="103"/>
      <c r="AB7617" s="1"/>
    </row>
    <row r="7618" spans="15:28">
      <c r="O7618" s="1"/>
      <c r="P7618" s="1"/>
      <c r="Q7618" s="1"/>
      <c r="R7618" s="1"/>
      <c r="Z7618" s="103"/>
      <c r="AA7618" s="103"/>
      <c r="AB7618" s="1"/>
    </row>
    <row r="7619" spans="15:28">
      <c r="O7619" s="1"/>
      <c r="P7619" s="1"/>
      <c r="Q7619" s="1"/>
      <c r="R7619" s="1"/>
      <c r="Z7619" s="103"/>
      <c r="AA7619" s="103"/>
      <c r="AB7619" s="1"/>
    </row>
    <row r="7620" spans="15:28">
      <c r="O7620" s="1"/>
      <c r="P7620" s="1"/>
      <c r="Q7620" s="1"/>
      <c r="R7620" s="1"/>
      <c r="Z7620" s="103"/>
      <c r="AA7620" s="103"/>
      <c r="AB7620" s="1"/>
    </row>
    <row r="7621" spans="15:28">
      <c r="O7621" s="1"/>
      <c r="P7621" s="1"/>
      <c r="Q7621" s="1"/>
      <c r="R7621" s="1"/>
      <c r="Z7621" s="103"/>
      <c r="AA7621" s="103"/>
      <c r="AB7621" s="1"/>
    </row>
    <row r="7622" spans="15:28">
      <c r="O7622" s="1"/>
      <c r="P7622" s="1"/>
      <c r="Q7622" s="1"/>
      <c r="R7622" s="1"/>
      <c r="Z7622" s="103"/>
      <c r="AA7622" s="103"/>
      <c r="AB7622" s="1"/>
    </row>
    <row r="7623" spans="15:28">
      <c r="O7623" s="1"/>
      <c r="P7623" s="1"/>
      <c r="Q7623" s="1"/>
      <c r="R7623" s="1"/>
      <c r="Z7623" s="103"/>
      <c r="AA7623" s="103"/>
      <c r="AB7623" s="1"/>
    </row>
    <row r="7624" spans="15:28">
      <c r="O7624" s="1"/>
      <c r="P7624" s="1"/>
      <c r="Q7624" s="1"/>
      <c r="R7624" s="1"/>
      <c r="Z7624" s="103"/>
      <c r="AA7624" s="103"/>
      <c r="AB7624" s="1"/>
    </row>
    <row r="7625" spans="15:28">
      <c r="O7625" s="1"/>
      <c r="P7625" s="1"/>
      <c r="Q7625" s="1"/>
      <c r="R7625" s="1"/>
      <c r="Z7625" s="103"/>
      <c r="AA7625" s="103"/>
      <c r="AB7625" s="1"/>
    </row>
    <row r="7626" spans="15:28">
      <c r="O7626" s="1"/>
      <c r="P7626" s="1"/>
      <c r="Q7626" s="1"/>
      <c r="R7626" s="1"/>
      <c r="Z7626" s="103"/>
      <c r="AA7626" s="103"/>
      <c r="AB7626" s="1"/>
    </row>
    <row r="7627" spans="15:28">
      <c r="O7627" s="1"/>
      <c r="P7627" s="1"/>
      <c r="Q7627" s="1"/>
      <c r="R7627" s="1"/>
      <c r="Z7627" s="103"/>
      <c r="AA7627" s="103"/>
      <c r="AB7627" s="1"/>
    </row>
    <row r="7628" spans="15:28">
      <c r="O7628" s="1"/>
      <c r="P7628" s="1"/>
      <c r="Q7628" s="1"/>
      <c r="R7628" s="1"/>
      <c r="Z7628" s="103"/>
      <c r="AA7628" s="103"/>
      <c r="AB7628" s="1"/>
    </row>
    <row r="7629" spans="15:28">
      <c r="O7629" s="1"/>
      <c r="P7629" s="1"/>
      <c r="Q7629" s="1"/>
      <c r="R7629" s="1"/>
      <c r="Z7629" s="103"/>
      <c r="AA7629" s="103"/>
      <c r="AB7629" s="1"/>
    </row>
    <row r="7630" spans="15:28">
      <c r="O7630" s="1"/>
      <c r="P7630" s="1"/>
      <c r="Q7630" s="1"/>
      <c r="R7630" s="1"/>
      <c r="Z7630" s="103"/>
      <c r="AA7630" s="103"/>
      <c r="AB7630" s="1"/>
    </row>
    <row r="7631" spans="15:28">
      <c r="O7631" s="1"/>
      <c r="P7631" s="1"/>
      <c r="Q7631" s="1"/>
      <c r="R7631" s="1"/>
      <c r="Z7631" s="103"/>
      <c r="AA7631" s="103"/>
      <c r="AB7631" s="1"/>
    </row>
    <row r="7632" spans="15:28">
      <c r="O7632" s="1"/>
      <c r="P7632" s="1"/>
      <c r="Q7632" s="1"/>
      <c r="R7632" s="1"/>
      <c r="Z7632" s="103"/>
      <c r="AA7632" s="103"/>
      <c r="AB7632" s="1"/>
    </row>
    <row r="7633" spans="15:28">
      <c r="O7633" s="1"/>
      <c r="P7633" s="1"/>
      <c r="Q7633" s="1"/>
      <c r="R7633" s="1"/>
      <c r="Z7633" s="103"/>
      <c r="AA7633" s="103"/>
      <c r="AB7633" s="1"/>
    </row>
    <row r="7634" spans="15:28">
      <c r="O7634" s="1"/>
      <c r="P7634" s="1"/>
      <c r="Q7634" s="1"/>
      <c r="R7634" s="1"/>
      <c r="Z7634" s="103"/>
      <c r="AA7634" s="103"/>
      <c r="AB7634" s="1"/>
    </row>
    <row r="7635" spans="15:28">
      <c r="O7635" s="1"/>
      <c r="P7635" s="1"/>
      <c r="Q7635" s="1"/>
      <c r="R7635" s="1"/>
      <c r="Z7635" s="103"/>
      <c r="AA7635" s="103"/>
      <c r="AB7635" s="1"/>
    </row>
    <row r="7636" spans="15:28">
      <c r="O7636" s="1"/>
      <c r="P7636" s="1"/>
      <c r="Q7636" s="1"/>
      <c r="R7636" s="1"/>
      <c r="Z7636" s="103"/>
      <c r="AA7636" s="103"/>
      <c r="AB7636" s="1"/>
    </row>
    <row r="7637" spans="15:28">
      <c r="O7637" s="1"/>
      <c r="P7637" s="1"/>
      <c r="Q7637" s="1"/>
      <c r="R7637" s="1"/>
      <c r="Z7637" s="103"/>
      <c r="AA7637" s="103"/>
      <c r="AB7637" s="1"/>
    </row>
    <row r="7638" spans="15:28">
      <c r="O7638" s="1"/>
      <c r="P7638" s="1"/>
      <c r="Q7638" s="1"/>
      <c r="R7638" s="1"/>
      <c r="Z7638" s="103"/>
      <c r="AA7638" s="103"/>
      <c r="AB7638" s="1"/>
    </row>
    <row r="7639" spans="15:28">
      <c r="O7639" s="1"/>
      <c r="P7639" s="1"/>
      <c r="Q7639" s="1"/>
      <c r="R7639" s="1"/>
      <c r="Z7639" s="103"/>
      <c r="AA7639" s="103"/>
      <c r="AB7639" s="1"/>
    </row>
    <row r="7640" spans="15:28">
      <c r="O7640" s="1"/>
      <c r="P7640" s="1"/>
      <c r="Q7640" s="1"/>
      <c r="R7640" s="1"/>
      <c r="Z7640" s="103"/>
      <c r="AA7640" s="103"/>
      <c r="AB7640" s="1"/>
    </row>
    <row r="7641" spans="15:28">
      <c r="O7641" s="1"/>
      <c r="P7641" s="1"/>
      <c r="Q7641" s="1"/>
      <c r="R7641" s="1"/>
      <c r="Z7641" s="103"/>
      <c r="AA7641" s="103"/>
      <c r="AB7641" s="1"/>
    </row>
    <row r="7642" spans="15:28">
      <c r="O7642" s="1"/>
      <c r="P7642" s="1"/>
      <c r="Q7642" s="1"/>
      <c r="R7642" s="1"/>
      <c r="Z7642" s="103"/>
      <c r="AA7642" s="103"/>
      <c r="AB7642" s="1"/>
    </row>
    <row r="7643" spans="15:28">
      <c r="O7643" s="1"/>
      <c r="P7643" s="1"/>
      <c r="Q7643" s="1"/>
      <c r="R7643" s="1"/>
      <c r="Z7643" s="103"/>
      <c r="AA7643" s="103"/>
      <c r="AB7643" s="1"/>
    </row>
    <row r="7644" spans="15:28">
      <c r="O7644" s="1"/>
      <c r="P7644" s="1"/>
      <c r="Q7644" s="1"/>
      <c r="R7644" s="1"/>
      <c r="Z7644" s="103"/>
      <c r="AA7644" s="103"/>
      <c r="AB7644" s="1"/>
    </row>
    <row r="7645" spans="15:28">
      <c r="O7645" s="1"/>
      <c r="P7645" s="1"/>
      <c r="Q7645" s="1"/>
      <c r="R7645" s="1"/>
      <c r="Z7645" s="103"/>
      <c r="AA7645" s="103"/>
      <c r="AB7645" s="1"/>
    </row>
    <row r="7646" spans="15:28">
      <c r="O7646" s="1"/>
      <c r="P7646" s="1"/>
      <c r="Q7646" s="1"/>
      <c r="R7646" s="1"/>
      <c r="Z7646" s="103"/>
      <c r="AA7646" s="103"/>
      <c r="AB7646" s="1"/>
    </row>
    <row r="7647" spans="15:28">
      <c r="O7647" s="1"/>
      <c r="P7647" s="1"/>
      <c r="Q7647" s="1"/>
      <c r="R7647" s="1"/>
      <c r="Z7647" s="103"/>
      <c r="AA7647" s="103"/>
      <c r="AB7647" s="1"/>
    </row>
    <row r="7648" spans="15:28">
      <c r="O7648" s="1"/>
      <c r="P7648" s="1"/>
      <c r="Q7648" s="1"/>
      <c r="R7648" s="1"/>
      <c r="Z7648" s="103"/>
      <c r="AA7648" s="103"/>
      <c r="AB7648" s="1"/>
    </row>
    <row r="7649" spans="15:28">
      <c r="O7649" s="1"/>
      <c r="P7649" s="1"/>
      <c r="Q7649" s="1"/>
      <c r="R7649" s="1"/>
      <c r="Z7649" s="103"/>
      <c r="AA7649" s="103"/>
      <c r="AB7649" s="1"/>
    </row>
    <row r="7650" spans="15:28">
      <c r="O7650" s="1"/>
      <c r="P7650" s="1"/>
      <c r="Q7650" s="1"/>
      <c r="R7650" s="1"/>
      <c r="Z7650" s="103"/>
      <c r="AA7650" s="103"/>
      <c r="AB7650" s="1"/>
    </row>
    <row r="7651" spans="15:28">
      <c r="O7651" s="1"/>
      <c r="P7651" s="1"/>
      <c r="Q7651" s="1"/>
      <c r="R7651" s="1"/>
      <c r="Z7651" s="103"/>
      <c r="AA7651" s="103"/>
      <c r="AB7651" s="1"/>
    </row>
    <row r="7652" spans="15:28">
      <c r="O7652" s="1"/>
      <c r="P7652" s="1"/>
      <c r="Q7652" s="1"/>
      <c r="R7652" s="1"/>
      <c r="Z7652" s="103"/>
      <c r="AA7652" s="103"/>
      <c r="AB7652" s="1"/>
    </row>
    <row r="7653" spans="15:28">
      <c r="O7653" s="1"/>
      <c r="P7653" s="1"/>
      <c r="Q7653" s="1"/>
      <c r="R7653" s="1"/>
      <c r="Z7653" s="103"/>
      <c r="AA7653" s="103"/>
      <c r="AB7653" s="1"/>
    </row>
    <row r="7654" spans="15:28">
      <c r="O7654" s="1"/>
      <c r="P7654" s="1"/>
      <c r="Q7654" s="1"/>
      <c r="R7654" s="1"/>
      <c r="Z7654" s="103"/>
      <c r="AA7654" s="103"/>
      <c r="AB7654" s="1"/>
    </row>
    <row r="7655" spans="15:28">
      <c r="O7655" s="1"/>
      <c r="P7655" s="1"/>
      <c r="Q7655" s="1"/>
      <c r="R7655" s="1"/>
      <c r="Z7655" s="103"/>
      <c r="AA7655" s="103"/>
      <c r="AB7655" s="1"/>
    </row>
    <row r="7656" spans="15:28">
      <c r="O7656" s="1"/>
      <c r="P7656" s="1"/>
      <c r="Q7656" s="1"/>
      <c r="R7656" s="1"/>
      <c r="Z7656" s="103"/>
      <c r="AA7656" s="103"/>
      <c r="AB7656" s="1"/>
    </row>
    <row r="7657" spans="15:28">
      <c r="O7657" s="1"/>
      <c r="P7657" s="1"/>
      <c r="Q7657" s="1"/>
      <c r="R7657" s="1"/>
      <c r="Z7657" s="103"/>
      <c r="AA7657" s="103"/>
      <c r="AB7657" s="1"/>
    </row>
    <row r="7658" spans="15:28">
      <c r="O7658" s="1"/>
      <c r="P7658" s="1"/>
      <c r="Q7658" s="1"/>
      <c r="R7658" s="1"/>
      <c r="Z7658" s="103"/>
      <c r="AA7658" s="103"/>
      <c r="AB7658" s="1"/>
    </row>
    <row r="7659" spans="15:28">
      <c r="O7659" s="1"/>
      <c r="P7659" s="1"/>
      <c r="Q7659" s="1"/>
      <c r="R7659" s="1"/>
      <c r="Z7659" s="103"/>
      <c r="AA7659" s="103"/>
      <c r="AB7659" s="1"/>
    </row>
    <row r="7660" spans="15:28">
      <c r="O7660" s="1"/>
      <c r="P7660" s="1"/>
      <c r="Q7660" s="1"/>
      <c r="R7660" s="1"/>
      <c r="Z7660" s="103"/>
      <c r="AA7660" s="103"/>
      <c r="AB7660" s="1"/>
    </row>
    <row r="7661" spans="15:28">
      <c r="O7661" s="1"/>
      <c r="P7661" s="1"/>
      <c r="Q7661" s="1"/>
      <c r="R7661" s="1"/>
      <c r="Z7661" s="103"/>
      <c r="AA7661" s="103"/>
      <c r="AB7661" s="1"/>
    </row>
    <row r="7662" spans="15:28">
      <c r="O7662" s="1"/>
      <c r="P7662" s="1"/>
      <c r="Q7662" s="1"/>
      <c r="R7662" s="1"/>
      <c r="Z7662" s="103"/>
      <c r="AA7662" s="103"/>
      <c r="AB7662" s="1"/>
    </row>
    <row r="7663" spans="15:28">
      <c r="O7663" s="1"/>
      <c r="P7663" s="1"/>
      <c r="Q7663" s="1"/>
      <c r="R7663" s="1"/>
      <c r="Z7663" s="103"/>
      <c r="AA7663" s="103"/>
      <c r="AB7663" s="1"/>
    </row>
    <row r="7664" spans="15:28">
      <c r="O7664" s="1"/>
      <c r="P7664" s="1"/>
      <c r="Q7664" s="1"/>
      <c r="R7664" s="1"/>
      <c r="Z7664" s="103"/>
      <c r="AA7664" s="103"/>
      <c r="AB7664" s="1"/>
    </row>
    <row r="7665" spans="15:28">
      <c r="O7665" s="1"/>
      <c r="P7665" s="1"/>
      <c r="Q7665" s="1"/>
      <c r="R7665" s="1"/>
      <c r="Z7665" s="103"/>
      <c r="AA7665" s="103"/>
      <c r="AB7665" s="1"/>
    </row>
    <row r="7666" spans="15:28">
      <c r="O7666" s="1"/>
      <c r="P7666" s="1"/>
      <c r="Q7666" s="1"/>
      <c r="R7666" s="1"/>
      <c r="Z7666" s="103"/>
      <c r="AA7666" s="103"/>
      <c r="AB7666" s="1"/>
    </row>
    <row r="7667" spans="15:28">
      <c r="O7667" s="1"/>
      <c r="P7667" s="1"/>
      <c r="Q7667" s="1"/>
      <c r="R7667" s="1"/>
      <c r="Z7667" s="103"/>
      <c r="AA7667" s="103"/>
      <c r="AB7667" s="1"/>
    </row>
    <row r="7668" spans="15:28">
      <c r="O7668" s="1"/>
      <c r="P7668" s="1"/>
      <c r="Q7668" s="1"/>
      <c r="R7668" s="1"/>
      <c r="Z7668" s="103"/>
      <c r="AA7668" s="103"/>
      <c r="AB7668" s="1"/>
    </row>
    <row r="7669" spans="15:28">
      <c r="O7669" s="1"/>
      <c r="P7669" s="1"/>
      <c r="Q7669" s="1"/>
      <c r="R7669" s="1"/>
      <c r="Z7669" s="103"/>
      <c r="AA7669" s="103"/>
      <c r="AB7669" s="1"/>
    </row>
    <row r="7670" spans="15:28">
      <c r="O7670" s="1"/>
      <c r="P7670" s="1"/>
      <c r="Q7670" s="1"/>
      <c r="R7670" s="1"/>
      <c r="Z7670" s="103"/>
      <c r="AA7670" s="103"/>
      <c r="AB7670" s="1"/>
    </row>
    <row r="7671" spans="15:28">
      <c r="O7671" s="1"/>
      <c r="P7671" s="1"/>
      <c r="Q7671" s="1"/>
      <c r="R7671" s="1"/>
      <c r="Z7671" s="103"/>
      <c r="AA7671" s="103"/>
      <c r="AB7671" s="1"/>
    </row>
    <row r="7672" spans="15:28">
      <c r="O7672" s="1"/>
      <c r="P7672" s="1"/>
      <c r="Q7672" s="1"/>
      <c r="R7672" s="1"/>
      <c r="Z7672" s="103"/>
      <c r="AA7672" s="103"/>
      <c r="AB7672" s="1"/>
    </row>
    <row r="7673" spans="15:28">
      <c r="O7673" s="1"/>
      <c r="P7673" s="1"/>
      <c r="Q7673" s="1"/>
      <c r="R7673" s="1"/>
      <c r="Z7673" s="103"/>
      <c r="AA7673" s="103"/>
      <c r="AB7673" s="1"/>
    </row>
    <row r="7674" spans="15:28">
      <c r="O7674" s="1"/>
      <c r="P7674" s="1"/>
      <c r="Q7674" s="1"/>
      <c r="R7674" s="1"/>
      <c r="Z7674" s="103"/>
      <c r="AA7674" s="103"/>
      <c r="AB7674" s="1"/>
    </row>
    <row r="7675" spans="15:28">
      <c r="O7675" s="1"/>
      <c r="P7675" s="1"/>
      <c r="Q7675" s="1"/>
      <c r="R7675" s="1"/>
      <c r="Z7675" s="103"/>
      <c r="AA7675" s="103"/>
      <c r="AB7675" s="1"/>
    </row>
    <row r="7676" spans="15:28">
      <c r="O7676" s="1"/>
      <c r="P7676" s="1"/>
      <c r="Q7676" s="1"/>
      <c r="R7676" s="1"/>
      <c r="Z7676" s="103"/>
      <c r="AA7676" s="103"/>
      <c r="AB7676" s="1"/>
    </row>
    <row r="7677" spans="15:28">
      <c r="O7677" s="1"/>
      <c r="P7677" s="1"/>
      <c r="Q7677" s="1"/>
      <c r="R7677" s="1"/>
      <c r="Z7677" s="103"/>
      <c r="AA7677" s="103"/>
      <c r="AB7677" s="1"/>
    </row>
    <row r="7678" spans="15:28">
      <c r="O7678" s="1"/>
      <c r="P7678" s="1"/>
      <c r="Q7678" s="1"/>
      <c r="R7678" s="1"/>
      <c r="Z7678" s="103"/>
      <c r="AA7678" s="103"/>
      <c r="AB7678" s="1"/>
    </row>
    <row r="7679" spans="15:28">
      <c r="O7679" s="1"/>
      <c r="P7679" s="1"/>
      <c r="Q7679" s="1"/>
      <c r="R7679" s="1"/>
      <c r="Z7679" s="103"/>
      <c r="AA7679" s="103"/>
      <c r="AB7679" s="1"/>
    </row>
    <row r="7680" spans="15:28">
      <c r="O7680" s="1"/>
      <c r="P7680" s="1"/>
      <c r="Q7680" s="1"/>
      <c r="R7680" s="1"/>
      <c r="Z7680" s="103"/>
      <c r="AA7680" s="103"/>
      <c r="AB7680" s="1"/>
    </row>
    <row r="7681" spans="15:28">
      <c r="O7681" s="1"/>
      <c r="P7681" s="1"/>
      <c r="Q7681" s="1"/>
      <c r="R7681" s="1"/>
      <c r="Z7681" s="103"/>
      <c r="AA7681" s="103"/>
      <c r="AB7681" s="1"/>
    </row>
    <row r="7682" spans="15:28">
      <c r="O7682" s="1"/>
      <c r="P7682" s="1"/>
      <c r="Q7682" s="1"/>
      <c r="R7682" s="1"/>
      <c r="Z7682" s="103"/>
      <c r="AA7682" s="103"/>
      <c r="AB7682" s="1"/>
    </row>
    <row r="7683" spans="15:28">
      <c r="O7683" s="1"/>
      <c r="P7683" s="1"/>
      <c r="Q7683" s="1"/>
      <c r="R7683" s="1"/>
      <c r="Z7683" s="103"/>
      <c r="AA7683" s="103"/>
      <c r="AB7683" s="1"/>
    </row>
    <row r="7684" spans="15:28">
      <c r="O7684" s="1"/>
      <c r="P7684" s="1"/>
      <c r="Q7684" s="1"/>
      <c r="R7684" s="1"/>
      <c r="Z7684" s="103"/>
      <c r="AA7684" s="103"/>
      <c r="AB7684" s="1"/>
    </row>
    <row r="7685" spans="15:28">
      <c r="O7685" s="1"/>
      <c r="P7685" s="1"/>
      <c r="Q7685" s="1"/>
      <c r="R7685" s="1"/>
      <c r="Z7685" s="103"/>
      <c r="AA7685" s="103"/>
      <c r="AB7685" s="1"/>
    </row>
    <row r="7686" spans="15:28">
      <c r="O7686" s="1"/>
      <c r="P7686" s="1"/>
      <c r="Q7686" s="1"/>
      <c r="R7686" s="1"/>
      <c r="Z7686" s="103"/>
      <c r="AA7686" s="103"/>
      <c r="AB7686" s="1"/>
    </row>
    <row r="7687" spans="15:28">
      <c r="O7687" s="1"/>
      <c r="P7687" s="1"/>
      <c r="Q7687" s="1"/>
      <c r="R7687" s="1"/>
      <c r="Z7687" s="103"/>
      <c r="AA7687" s="103"/>
      <c r="AB7687" s="1"/>
    </row>
    <row r="7688" spans="15:28">
      <c r="O7688" s="1"/>
      <c r="P7688" s="1"/>
      <c r="Q7688" s="1"/>
      <c r="R7688" s="1"/>
      <c r="Z7688" s="103"/>
      <c r="AA7688" s="103"/>
      <c r="AB7688" s="1"/>
    </row>
    <row r="7689" spans="15:28">
      <c r="O7689" s="1"/>
      <c r="P7689" s="1"/>
      <c r="Q7689" s="1"/>
      <c r="R7689" s="1"/>
      <c r="Z7689" s="103"/>
      <c r="AA7689" s="103"/>
      <c r="AB7689" s="1"/>
    </row>
    <row r="7690" spans="15:28">
      <c r="O7690" s="1"/>
      <c r="P7690" s="1"/>
      <c r="Q7690" s="1"/>
      <c r="R7690" s="1"/>
      <c r="Z7690" s="103"/>
      <c r="AA7690" s="103"/>
      <c r="AB7690" s="1"/>
    </row>
    <row r="7691" spans="15:28">
      <c r="O7691" s="1"/>
      <c r="P7691" s="1"/>
      <c r="Q7691" s="1"/>
      <c r="R7691" s="1"/>
      <c r="Z7691" s="103"/>
      <c r="AA7691" s="103"/>
      <c r="AB7691" s="1"/>
    </row>
    <row r="7692" spans="15:28">
      <c r="O7692" s="1"/>
      <c r="P7692" s="1"/>
      <c r="Q7692" s="1"/>
      <c r="R7692" s="1"/>
      <c r="Z7692" s="103"/>
      <c r="AA7692" s="103"/>
      <c r="AB7692" s="1"/>
    </row>
    <row r="7693" spans="15:28">
      <c r="O7693" s="1"/>
      <c r="P7693" s="1"/>
      <c r="Q7693" s="1"/>
      <c r="R7693" s="1"/>
      <c r="Z7693" s="103"/>
      <c r="AA7693" s="103"/>
      <c r="AB7693" s="1"/>
    </row>
    <row r="7694" spans="15:28">
      <c r="O7694" s="1"/>
      <c r="P7694" s="1"/>
      <c r="Q7694" s="1"/>
      <c r="R7694" s="1"/>
      <c r="Z7694" s="103"/>
      <c r="AA7694" s="103"/>
      <c r="AB7694" s="1"/>
    </row>
    <row r="7695" spans="15:28">
      <c r="O7695" s="1"/>
      <c r="P7695" s="1"/>
      <c r="Q7695" s="1"/>
      <c r="R7695" s="1"/>
      <c r="Z7695" s="103"/>
      <c r="AA7695" s="103"/>
      <c r="AB7695" s="1"/>
    </row>
    <row r="7696" spans="15:28">
      <c r="O7696" s="1"/>
      <c r="P7696" s="1"/>
      <c r="Q7696" s="1"/>
      <c r="R7696" s="1"/>
      <c r="Z7696" s="103"/>
      <c r="AA7696" s="103"/>
      <c r="AB7696" s="1"/>
    </row>
    <row r="7697" spans="15:28">
      <c r="O7697" s="1"/>
      <c r="P7697" s="1"/>
      <c r="Q7697" s="1"/>
      <c r="R7697" s="1"/>
      <c r="Z7697" s="103"/>
      <c r="AA7697" s="103"/>
      <c r="AB7697" s="1"/>
    </row>
    <row r="7698" spans="15:28">
      <c r="O7698" s="1"/>
      <c r="P7698" s="1"/>
      <c r="Q7698" s="1"/>
      <c r="R7698" s="1"/>
      <c r="Z7698" s="103"/>
      <c r="AA7698" s="103"/>
      <c r="AB7698" s="1"/>
    </row>
    <row r="7699" spans="15:28">
      <c r="O7699" s="1"/>
      <c r="P7699" s="1"/>
      <c r="Q7699" s="1"/>
      <c r="R7699" s="1"/>
      <c r="Z7699" s="103"/>
      <c r="AA7699" s="103"/>
      <c r="AB7699" s="1"/>
    </row>
    <row r="7700" spans="15:28">
      <c r="O7700" s="1"/>
      <c r="P7700" s="1"/>
      <c r="Q7700" s="1"/>
      <c r="R7700" s="1"/>
      <c r="Z7700" s="103"/>
      <c r="AA7700" s="103"/>
      <c r="AB7700" s="1"/>
    </row>
    <row r="7701" spans="15:28">
      <c r="O7701" s="1"/>
      <c r="P7701" s="1"/>
      <c r="Q7701" s="1"/>
      <c r="R7701" s="1"/>
      <c r="Z7701" s="103"/>
      <c r="AA7701" s="103"/>
      <c r="AB7701" s="1"/>
    </row>
    <row r="7702" spans="15:28">
      <c r="O7702" s="1"/>
      <c r="P7702" s="1"/>
      <c r="Q7702" s="1"/>
      <c r="R7702" s="1"/>
      <c r="Z7702" s="103"/>
      <c r="AA7702" s="103"/>
      <c r="AB7702" s="1"/>
    </row>
    <row r="7703" spans="15:28">
      <c r="O7703" s="1"/>
      <c r="P7703" s="1"/>
      <c r="Q7703" s="1"/>
      <c r="R7703" s="1"/>
      <c r="Z7703" s="103"/>
      <c r="AA7703" s="103"/>
      <c r="AB7703" s="1"/>
    </row>
    <row r="7704" spans="15:28">
      <c r="O7704" s="1"/>
      <c r="P7704" s="1"/>
      <c r="Q7704" s="1"/>
      <c r="R7704" s="1"/>
      <c r="Z7704" s="103"/>
      <c r="AA7704" s="103"/>
      <c r="AB7704" s="1"/>
    </row>
    <row r="7705" spans="15:28">
      <c r="O7705" s="1"/>
      <c r="P7705" s="1"/>
      <c r="Q7705" s="1"/>
      <c r="R7705" s="1"/>
      <c r="Z7705" s="103"/>
      <c r="AA7705" s="103"/>
      <c r="AB7705" s="1"/>
    </row>
    <row r="7706" spans="15:28">
      <c r="O7706" s="1"/>
      <c r="P7706" s="1"/>
      <c r="Q7706" s="1"/>
      <c r="R7706" s="1"/>
      <c r="Z7706" s="103"/>
      <c r="AA7706" s="103"/>
      <c r="AB7706" s="1"/>
    </row>
    <row r="7707" spans="15:28">
      <c r="O7707" s="1"/>
      <c r="P7707" s="1"/>
      <c r="Q7707" s="1"/>
      <c r="R7707" s="1"/>
      <c r="Z7707" s="103"/>
      <c r="AA7707" s="103"/>
      <c r="AB7707" s="1"/>
    </row>
    <row r="7708" spans="15:28">
      <c r="O7708" s="1"/>
      <c r="P7708" s="1"/>
      <c r="Q7708" s="1"/>
      <c r="R7708" s="1"/>
      <c r="Z7708" s="103"/>
      <c r="AA7708" s="103"/>
      <c r="AB7708" s="1"/>
    </row>
    <row r="7709" spans="15:28">
      <c r="O7709" s="1"/>
      <c r="P7709" s="1"/>
      <c r="Q7709" s="1"/>
      <c r="R7709" s="1"/>
      <c r="Z7709" s="103"/>
      <c r="AA7709" s="103"/>
      <c r="AB7709" s="1"/>
    </row>
    <row r="7710" spans="15:28">
      <c r="O7710" s="1"/>
      <c r="P7710" s="1"/>
      <c r="Q7710" s="1"/>
      <c r="R7710" s="1"/>
      <c r="Z7710" s="103"/>
      <c r="AA7710" s="103"/>
      <c r="AB7710" s="1"/>
    </row>
    <row r="7711" spans="15:28">
      <c r="O7711" s="1"/>
      <c r="P7711" s="1"/>
      <c r="Q7711" s="1"/>
      <c r="R7711" s="1"/>
      <c r="Z7711" s="103"/>
      <c r="AA7711" s="103"/>
      <c r="AB7711" s="1"/>
    </row>
    <row r="7712" spans="15:28">
      <c r="O7712" s="1"/>
      <c r="P7712" s="1"/>
      <c r="Q7712" s="1"/>
      <c r="R7712" s="1"/>
      <c r="Z7712" s="103"/>
      <c r="AA7712" s="103"/>
      <c r="AB7712" s="1"/>
    </row>
    <row r="7713" spans="15:28">
      <c r="O7713" s="1"/>
      <c r="P7713" s="1"/>
      <c r="Q7713" s="1"/>
      <c r="R7713" s="1"/>
      <c r="Z7713" s="103"/>
      <c r="AA7713" s="103"/>
      <c r="AB7713" s="1"/>
    </row>
    <row r="7714" spans="15:28">
      <c r="O7714" s="1"/>
      <c r="P7714" s="1"/>
      <c r="Q7714" s="1"/>
      <c r="R7714" s="1"/>
      <c r="Z7714" s="103"/>
      <c r="AA7714" s="103"/>
      <c r="AB7714" s="1"/>
    </row>
    <row r="7715" spans="15:28">
      <c r="O7715" s="1"/>
      <c r="P7715" s="1"/>
      <c r="Q7715" s="1"/>
      <c r="R7715" s="1"/>
      <c r="Z7715" s="103"/>
      <c r="AA7715" s="103"/>
      <c r="AB7715" s="1"/>
    </row>
    <row r="7716" spans="15:28">
      <c r="O7716" s="1"/>
      <c r="P7716" s="1"/>
      <c r="Q7716" s="1"/>
      <c r="R7716" s="1"/>
      <c r="Z7716" s="103"/>
      <c r="AA7716" s="103"/>
      <c r="AB7716" s="1"/>
    </row>
    <row r="7717" spans="15:28">
      <c r="O7717" s="1"/>
      <c r="P7717" s="1"/>
      <c r="Q7717" s="1"/>
      <c r="R7717" s="1"/>
      <c r="Z7717" s="103"/>
      <c r="AA7717" s="103"/>
      <c r="AB7717" s="1"/>
    </row>
    <row r="7718" spans="15:28">
      <c r="O7718" s="1"/>
      <c r="P7718" s="1"/>
      <c r="Q7718" s="1"/>
      <c r="R7718" s="1"/>
      <c r="Z7718" s="103"/>
      <c r="AA7718" s="103"/>
      <c r="AB7718" s="1"/>
    </row>
    <row r="7719" spans="15:28">
      <c r="O7719" s="1"/>
      <c r="P7719" s="1"/>
      <c r="Q7719" s="1"/>
      <c r="R7719" s="1"/>
      <c r="Z7719" s="103"/>
      <c r="AA7719" s="103"/>
      <c r="AB7719" s="1"/>
    </row>
    <row r="7720" spans="15:28">
      <c r="O7720" s="1"/>
      <c r="P7720" s="1"/>
      <c r="Q7720" s="1"/>
      <c r="R7720" s="1"/>
      <c r="Z7720" s="103"/>
      <c r="AA7720" s="103"/>
      <c r="AB7720" s="1"/>
    </row>
    <row r="7721" spans="15:28">
      <c r="O7721" s="1"/>
      <c r="P7721" s="1"/>
      <c r="Q7721" s="1"/>
      <c r="R7721" s="1"/>
      <c r="Z7721" s="103"/>
      <c r="AA7721" s="103"/>
      <c r="AB7721" s="1"/>
    </row>
    <row r="7722" spans="15:28">
      <c r="O7722" s="1"/>
      <c r="P7722" s="1"/>
      <c r="Q7722" s="1"/>
      <c r="R7722" s="1"/>
      <c r="Z7722" s="103"/>
      <c r="AA7722" s="103"/>
      <c r="AB7722" s="1"/>
    </row>
    <row r="7723" spans="15:28">
      <c r="O7723" s="1"/>
      <c r="P7723" s="1"/>
      <c r="Q7723" s="1"/>
      <c r="R7723" s="1"/>
      <c r="Z7723" s="103"/>
      <c r="AA7723" s="103"/>
      <c r="AB7723" s="1"/>
    </row>
    <row r="7724" spans="15:28">
      <c r="O7724" s="1"/>
      <c r="P7724" s="1"/>
      <c r="Q7724" s="1"/>
      <c r="R7724" s="1"/>
      <c r="Z7724" s="103"/>
      <c r="AA7724" s="103"/>
      <c r="AB7724" s="1"/>
    </row>
    <row r="7725" spans="15:28">
      <c r="O7725" s="1"/>
      <c r="P7725" s="1"/>
      <c r="Q7725" s="1"/>
      <c r="R7725" s="1"/>
      <c r="Z7725" s="103"/>
      <c r="AA7725" s="103"/>
      <c r="AB7725" s="1"/>
    </row>
    <row r="7726" spans="15:28">
      <c r="O7726" s="1"/>
      <c r="P7726" s="1"/>
      <c r="Q7726" s="1"/>
      <c r="R7726" s="1"/>
      <c r="Z7726" s="103"/>
      <c r="AA7726" s="103"/>
      <c r="AB7726" s="1"/>
    </row>
    <row r="7727" spans="15:28">
      <c r="O7727" s="1"/>
      <c r="P7727" s="1"/>
      <c r="Q7727" s="1"/>
      <c r="R7727" s="1"/>
      <c r="Z7727" s="103"/>
      <c r="AA7727" s="103"/>
      <c r="AB7727" s="1"/>
    </row>
    <row r="7728" spans="15:28">
      <c r="O7728" s="1"/>
      <c r="P7728" s="1"/>
      <c r="Q7728" s="1"/>
      <c r="R7728" s="1"/>
      <c r="Z7728" s="103"/>
      <c r="AA7728" s="103"/>
      <c r="AB7728" s="1"/>
    </row>
    <row r="7729" spans="15:28">
      <c r="O7729" s="1"/>
      <c r="P7729" s="1"/>
      <c r="Q7729" s="1"/>
      <c r="R7729" s="1"/>
      <c r="Z7729" s="103"/>
      <c r="AA7729" s="103"/>
      <c r="AB7729" s="1"/>
    </row>
    <row r="7730" spans="15:28">
      <c r="O7730" s="1"/>
      <c r="P7730" s="1"/>
      <c r="Q7730" s="1"/>
      <c r="R7730" s="1"/>
      <c r="Z7730" s="103"/>
      <c r="AA7730" s="103"/>
      <c r="AB7730" s="1"/>
    </row>
    <row r="7731" spans="15:28">
      <c r="O7731" s="1"/>
      <c r="P7731" s="1"/>
      <c r="Q7731" s="1"/>
      <c r="R7731" s="1"/>
      <c r="Z7731" s="103"/>
      <c r="AA7731" s="103"/>
      <c r="AB7731" s="1"/>
    </row>
    <row r="7732" spans="15:28">
      <c r="O7732" s="1"/>
      <c r="P7732" s="1"/>
      <c r="Q7732" s="1"/>
      <c r="R7732" s="1"/>
      <c r="Z7732" s="103"/>
      <c r="AA7732" s="103"/>
      <c r="AB7732" s="1"/>
    </row>
    <row r="7733" spans="15:28">
      <c r="O7733" s="1"/>
      <c r="P7733" s="1"/>
      <c r="Q7733" s="1"/>
      <c r="R7733" s="1"/>
      <c r="Z7733" s="103"/>
      <c r="AA7733" s="103"/>
      <c r="AB7733" s="1"/>
    </row>
    <row r="7734" spans="15:28">
      <c r="O7734" s="1"/>
      <c r="P7734" s="1"/>
      <c r="Q7734" s="1"/>
      <c r="R7734" s="1"/>
      <c r="Z7734" s="103"/>
      <c r="AA7734" s="103"/>
      <c r="AB7734" s="1"/>
    </row>
    <row r="7735" spans="15:28">
      <c r="O7735" s="1"/>
      <c r="P7735" s="1"/>
      <c r="Q7735" s="1"/>
      <c r="R7735" s="1"/>
      <c r="Z7735" s="103"/>
      <c r="AA7735" s="103"/>
      <c r="AB7735" s="1"/>
    </row>
    <row r="7736" spans="15:28">
      <c r="O7736" s="1"/>
      <c r="P7736" s="1"/>
      <c r="Q7736" s="1"/>
      <c r="R7736" s="1"/>
      <c r="Z7736" s="103"/>
      <c r="AA7736" s="103"/>
      <c r="AB7736" s="1"/>
    </row>
    <row r="7737" spans="15:28">
      <c r="O7737" s="1"/>
      <c r="P7737" s="1"/>
      <c r="Q7737" s="1"/>
      <c r="R7737" s="1"/>
      <c r="Z7737" s="103"/>
      <c r="AA7737" s="103"/>
      <c r="AB7737" s="1"/>
    </row>
    <row r="7738" spans="15:28">
      <c r="O7738" s="1"/>
      <c r="P7738" s="1"/>
      <c r="Q7738" s="1"/>
      <c r="R7738" s="1"/>
      <c r="Z7738" s="103"/>
      <c r="AA7738" s="103"/>
      <c r="AB7738" s="1"/>
    </row>
    <row r="7739" spans="15:28">
      <c r="O7739" s="1"/>
      <c r="P7739" s="1"/>
      <c r="Q7739" s="1"/>
      <c r="R7739" s="1"/>
      <c r="Z7739" s="103"/>
      <c r="AA7739" s="103"/>
      <c r="AB7739" s="1"/>
    </row>
    <row r="7740" spans="15:28">
      <c r="O7740" s="1"/>
      <c r="P7740" s="1"/>
      <c r="Q7740" s="1"/>
      <c r="R7740" s="1"/>
      <c r="Z7740" s="103"/>
      <c r="AA7740" s="103"/>
      <c r="AB7740" s="1"/>
    </row>
    <row r="7741" spans="15:28">
      <c r="O7741" s="1"/>
      <c r="P7741" s="1"/>
      <c r="Q7741" s="1"/>
      <c r="R7741" s="1"/>
      <c r="Z7741" s="103"/>
      <c r="AA7741" s="103"/>
      <c r="AB7741" s="1"/>
    </row>
    <row r="7742" spans="15:28">
      <c r="O7742" s="1"/>
      <c r="P7742" s="1"/>
      <c r="Q7742" s="1"/>
      <c r="R7742" s="1"/>
      <c r="Z7742" s="103"/>
      <c r="AA7742" s="103"/>
      <c r="AB7742" s="1"/>
    </row>
    <row r="7743" spans="15:28">
      <c r="O7743" s="1"/>
      <c r="P7743" s="1"/>
      <c r="Q7743" s="1"/>
      <c r="R7743" s="1"/>
      <c r="Z7743" s="103"/>
      <c r="AA7743" s="103"/>
      <c r="AB7743" s="1"/>
    </row>
    <row r="7744" spans="15:28">
      <c r="O7744" s="1"/>
      <c r="P7744" s="1"/>
      <c r="Q7744" s="1"/>
      <c r="R7744" s="1"/>
      <c r="Z7744" s="103"/>
      <c r="AA7744" s="103"/>
      <c r="AB7744" s="1"/>
    </row>
    <row r="7745" spans="15:28">
      <c r="O7745" s="1"/>
      <c r="P7745" s="1"/>
      <c r="Q7745" s="1"/>
      <c r="R7745" s="1"/>
      <c r="Z7745" s="103"/>
      <c r="AA7745" s="103"/>
      <c r="AB7745" s="1"/>
    </row>
    <row r="7746" spans="15:28">
      <c r="O7746" s="1"/>
      <c r="P7746" s="1"/>
      <c r="Q7746" s="1"/>
      <c r="R7746" s="1"/>
      <c r="Z7746" s="103"/>
      <c r="AA7746" s="103"/>
      <c r="AB7746" s="1"/>
    </row>
    <row r="7747" spans="15:28">
      <c r="O7747" s="1"/>
      <c r="P7747" s="1"/>
      <c r="Q7747" s="1"/>
      <c r="R7747" s="1"/>
      <c r="Z7747" s="103"/>
      <c r="AA7747" s="103"/>
      <c r="AB7747" s="1"/>
    </row>
    <row r="7748" spans="15:28">
      <c r="O7748" s="1"/>
      <c r="P7748" s="1"/>
      <c r="Q7748" s="1"/>
      <c r="R7748" s="1"/>
      <c r="Z7748" s="103"/>
      <c r="AA7748" s="103"/>
      <c r="AB7748" s="1"/>
    </row>
    <row r="7749" spans="15:28">
      <c r="O7749" s="1"/>
      <c r="P7749" s="1"/>
      <c r="Q7749" s="1"/>
      <c r="R7749" s="1"/>
      <c r="Z7749" s="103"/>
      <c r="AA7749" s="103"/>
      <c r="AB7749" s="1"/>
    </row>
    <row r="7750" spans="15:28">
      <c r="O7750" s="1"/>
      <c r="P7750" s="1"/>
      <c r="Q7750" s="1"/>
      <c r="R7750" s="1"/>
      <c r="Z7750" s="103"/>
      <c r="AA7750" s="103"/>
      <c r="AB7750" s="1"/>
    </row>
    <row r="7751" spans="15:28">
      <c r="O7751" s="1"/>
      <c r="P7751" s="1"/>
      <c r="Q7751" s="1"/>
      <c r="R7751" s="1"/>
      <c r="Z7751" s="103"/>
      <c r="AA7751" s="103"/>
      <c r="AB7751" s="1"/>
    </row>
    <row r="7752" spans="15:28">
      <c r="O7752" s="1"/>
      <c r="P7752" s="1"/>
      <c r="Q7752" s="1"/>
      <c r="R7752" s="1"/>
      <c r="Z7752" s="103"/>
      <c r="AA7752" s="103"/>
      <c r="AB7752" s="1"/>
    </row>
    <row r="7753" spans="15:28">
      <c r="O7753" s="1"/>
      <c r="P7753" s="1"/>
      <c r="Q7753" s="1"/>
      <c r="R7753" s="1"/>
      <c r="Z7753" s="103"/>
      <c r="AA7753" s="103"/>
      <c r="AB7753" s="1"/>
    </row>
    <row r="7754" spans="15:28">
      <c r="O7754" s="1"/>
      <c r="P7754" s="1"/>
      <c r="Q7754" s="1"/>
      <c r="R7754" s="1"/>
      <c r="Z7754" s="103"/>
      <c r="AA7754" s="103"/>
      <c r="AB7754" s="1"/>
    </row>
    <row r="7755" spans="15:28">
      <c r="O7755" s="1"/>
      <c r="P7755" s="1"/>
      <c r="Q7755" s="1"/>
      <c r="R7755" s="1"/>
      <c r="Z7755" s="103"/>
      <c r="AA7755" s="103"/>
      <c r="AB7755" s="1"/>
    </row>
    <row r="7756" spans="15:28">
      <c r="O7756" s="1"/>
      <c r="P7756" s="1"/>
      <c r="Q7756" s="1"/>
      <c r="R7756" s="1"/>
      <c r="Z7756" s="103"/>
      <c r="AA7756" s="103"/>
      <c r="AB7756" s="1"/>
    </row>
    <row r="7757" spans="15:28">
      <c r="O7757" s="1"/>
      <c r="P7757" s="1"/>
      <c r="Q7757" s="1"/>
      <c r="R7757" s="1"/>
      <c r="Z7757" s="103"/>
      <c r="AA7757" s="103"/>
      <c r="AB7757" s="1"/>
    </row>
    <row r="7758" spans="15:28">
      <c r="O7758" s="1"/>
      <c r="P7758" s="1"/>
      <c r="Q7758" s="1"/>
      <c r="R7758" s="1"/>
      <c r="Z7758" s="103"/>
      <c r="AA7758" s="103"/>
      <c r="AB7758" s="1"/>
    </row>
    <row r="7759" spans="15:28">
      <c r="O7759" s="1"/>
      <c r="P7759" s="1"/>
      <c r="Q7759" s="1"/>
      <c r="R7759" s="1"/>
      <c r="Z7759" s="103"/>
      <c r="AA7759" s="103"/>
      <c r="AB7759" s="1"/>
    </row>
    <row r="7760" spans="15:28">
      <c r="O7760" s="1"/>
      <c r="P7760" s="1"/>
      <c r="Q7760" s="1"/>
      <c r="R7760" s="1"/>
      <c r="Z7760" s="103"/>
      <c r="AA7760" s="103"/>
      <c r="AB7760" s="1"/>
    </row>
    <row r="7761" spans="15:28">
      <c r="O7761" s="1"/>
      <c r="P7761" s="1"/>
      <c r="Q7761" s="1"/>
      <c r="R7761" s="1"/>
      <c r="Z7761" s="103"/>
      <c r="AA7761" s="103"/>
      <c r="AB7761" s="1"/>
    </row>
    <row r="7762" spans="15:28">
      <c r="O7762" s="1"/>
      <c r="P7762" s="1"/>
      <c r="Q7762" s="1"/>
      <c r="R7762" s="1"/>
      <c r="Z7762" s="103"/>
      <c r="AA7762" s="103"/>
      <c r="AB7762" s="1"/>
    </row>
    <row r="7763" spans="15:28">
      <c r="O7763" s="1"/>
      <c r="P7763" s="1"/>
      <c r="Q7763" s="1"/>
      <c r="R7763" s="1"/>
      <c r="Z7763" s="103"/>
      <c r="AA7763" s="103"/>
      <c r="AB7763" s="1"/>
    </row>
    <row r="7764" spans="15:28">
      <c r="O7764" s="1"/>
      <c r="P7764" s="1"/>
      <c r="Q7764" s="1"/>
      <c r="R7764" s="1"/>
      <c r="Z7764" s="103"/>
      <c r="AA7764" s="103"/>
      <c r="AB7764" s="1"/>
    </row>
    <row r="7765" spans="15:28">
      <c r="O7765" s="1"/>
      <c r="P7765" s="1"/>
      <c r="Q7765" s="1"/>
      <c r="R7765" s="1"/>
      <c r="Z7765" s="103"/>
      <c r="AA7765" s="103"/>
      <c r="AB7765" s="1"/>
    </row>
    <row r="7766" spans="15:28">
      <c r="O7766" s="1"/>
      <c r="P7766" s="1"/>
      <c r="Q7766" s="1"/>
      <c r="R7766" s="1"/>
      <c r="Z7766" s="103"/>
      <c r="AA7766" s="103"/>
      <c r="AB7766" s="1"/>
    </row>
    <row r="7767" spans="15:28">
      <c r="O7767" s="1"/>
      <c r="P7767" s="1"/>
      <c r="Q7767" s="1"/>
      <c r="R7767" s="1"/>
      <c r="Z7767" s="103"/>
      <c r="AA7767" s="103"/>
      <c r="AB7767" s="1"/>
    </row>
    <row r="7768" spans="15:28">
      <c r="O7768" s="1"/>
      <c r="P7768" s="1"/>
      <c r="Q7768" s="1"/>
      <c r="R7768" s="1"/>
      <c r="Z7768" s="103"/>
      <c r="AA7768" s="103"/>
      <c r="AB7768" s="1"/>
    </row>
    <row r="7769" spans="15:28">
      <c r="O7769" s="1"/>
      <c r="P7769" s="1"/>
      <c r="Q7769" s="1"/>
      <c r="R7769" s="1"/>
      <c r="Z7769" s="103"/>
      <c r="AA7769" s="103"/>
      <c r="AB7769" s="1"/>
    </row>
    <row r="7770" spans="15:28">
      <c r="O7770" s="1"/>
      <c r="P7770" s="1"/>
      <c r="Q7770" s="1"/>
      <c r="R7770" s="1"/>
      <c r="Z7770" s="103"/>
      <c r="AA7770" s="103"/>
      <c r="AB7770" s="1"/>
    </row>
    <row r="7771" spans="15:28">
      <c r="O7771" s="1"/>
      <c r="P7771" s="1"/>
      <c r="Q7771" s="1"/>
      <c r="R7771" s="1"/>
      <c r="Z7771" s="103"/>
      <c r="AA7771" s="103"/>
      <c r="AB7771" s="1"/>
    </row>
    <row r="7772" spans="15:28">
      <c r="O7772" s="1"/>
      <c r="P7772" s="1"/>
      <c r="Q7772" s="1"/>
      <c r="R7772" s="1"/>
      <c r="Z7772" s="103"/>
      <c r="AA7772" s="103"/>
      <c r="AB7772" s="1"/>
    </row>
    <row r="7773" spans="15:28">
      <c r="O7773" s="1"/>
      <c r="P7773" s="1"/>
      <c r="Q7773" s="1"/>
      <c r="R7773" s="1"/>
      <c r="Z7773" s="103"/>
      <c r="AA7773" s="103"/>
      <c r="AB7773" s="1"/>
    </row>
    <row r="7774" spans="15:28">
      <c r="O7774" s="1"/>
      <c r="P7774" s="1"/>
      <c r="Q7774" s="1"/>
      <c r="R7774" s="1"/>
      <c r="Z7774" s="103"/>
      <c r="AA7774" s="103"/>
      <c r="AB7774" s="1"/>
    </row>
    <row r="7775" spans="15:28">
      <c r="O7775" s="1"/>
      <c r="P7775" s="1"/>
      <c r="Q7775" s="1"/>
      <c r="R7775" s="1"/>
      <c r="Z7775" s="103"/>
      <c r="AA7775" s="103"/>
      <c r="AB7775" s="1"/>
    </row>
    <row r="7776" spans="15:28">
      <c r="O7776" s="1"/>
      <c r="P7776" s="1"/>
      <c r="Q7776" s="1"/>
      <c r="R7776" s="1"/>
      <c r="Z7776" s="103"/>
      <c r="AA7776" s="103"/>
      <c r="AB7776" s="1"/>
    </row>
    <row r="7777" spans="15:28">
      <c r="O7777" s="1"/>
      <c r="P7777" s="1"/>
      <c r="Q7777" s="1"/>
      <c r="R7777" s="1"/>
      <c r="Z7777" s="103"/>
      <c r="AA7777" s="103"/>
      <c r="AB7777" s="1"/>
    </row>
    <row r="7778" spans="15:28">
      <c r="O7778" s="1"/>
      <c r="P7778" s="1"/>
      <c r="Q7778" s="1"/>
      <c r="R7778" s="1"/>
      <c r="Z7778" s="103"/>
      <c r="AA7778" s="103"/>
      <c r="AB7778" s="1"/>
    </row>
    <row r="7779" spans="15:28">
      <c r="O7779" s="1"/>
      <c r="P7779" s="1"/>
      <c r="Q7779" s="1"/>
      <c r="R7779" s="1"/>
      <c r="Z7779" s="103"/>
      <c r="AA7779" s="103"/>
      <c r="AB7779" s="1"/>
    </row>
    <row r="7780" spans="15:28">
      <c r="O7780" s="1"/>
      <c r="P7780" s="1"/>
      <c r="Q7780" s="1"/>
      <c r="R7780" s="1"/>
      <c r="Z7780" s="103"/>
      <c r="AA7780" s="103"/>
      <c r="AB7780" s="1"/>
    </row>
    <row r="7781" spans="15:28">
      <c r="O7781" s="1"/>
      <c r="P7781" s="1"/>
      <c r="Q7781" s="1"/>
      <c r="R7781" s="1"/>
      <c r="Z7781" s="103"/>
      <c r="AA7781" s="103"/>
      <c r="AB7781" s="1"/>
    </row>
    <row r="7782" spans="15:28">
      <c r="O7782" s="1"/>
      <c r="P7782" s="1"/>
      <c r="Q7782" s="1"/>
      <c r="R7782" s="1"/>
      <c r="Z7782" s="103"/>
      <c r="AA7782" s="103"/>
      <c r="AB7782" s="1"/>
    </row>
    <row r="7783" spans="15:28">
      <c r="O7783" s="1"/>
      <c r="P7783" s="1"/>
      <c r="Q7783" s="1"/>
      <c r="R7783" s="1"/>
      <c r="Z7783" s="103"/>
      <c r="AA7783" s="103"/>
      <c r="AB7783" s="1"/>
    </row>
    <row r="7784" spans="15:28">
      <c r="O7784" s="1"/>
      <c r="P7784" s="1"/>
      <c r="Q7784" s="1"/>
      <c r="R7784" s="1"/>
      <c r="Z7784" s="103"/>
      <c r="AA7784" s="103"/>
      <c r="AB7784" s="1"/>
    </row>
    <row r="7785" spans="15:28">
      <c r="O7785" s="1"/>
      <c r="P7785" s="1"/>
      <c r="Q7785" s="1"/>
      <c r="R7785" s="1"/>
      <c r="Z7785" s="103"/>
      <c r="AA7785" s="103"/>
      <c r="AB7785" s="1"/>
    </row>
    <row r="7786" spans="15:28">
      <c r="O7786" s="1"/>
      <c r="P7786" s="1"/>
      <c r="Q7786" s="1"/>
      <c r="R7786" s="1"/>
      <c r="Z7786" s="103"/>
      <c r="AA7786" s="103"/>
      <c r="AB7786" s="1"/>
    </row>
    <row r="7787" spans="15:28">
      <c r="O7787" s="1"/>
      <c r="P7787" s="1"/>
      <c r="Q7787" s="1"/>
      <c r="R7787" s="1"/>
      <c r="Z7787" s="103"/>
      <c r="AA7787" s="103"/>
      <c r="AB7787" s="1"/>
    </row>
    <row r="7788" spans="15:28">
      <c r="O7788" s="1"/>
      <c r="P7788" s="1"/>
      <c r="Q7788" s="1"/>
      <c r="R7788" s="1"/>
      <c r="Z7788" s="103"/>
      <c r="AA7788" s="103"/>
      <c r="AB7788" s="1"/>
    </row>
    <row r="7789" spans="15:28">
      <c r="O7789" s="1"/>
      <c r="P7789" s="1"/>
      <c r="Q7789" s="1"/>
      <c r="R7789" s="1"/>
      <c r="Z7789" s="103"/>
      <c r="AA7789" s="103"/>
      <c r="AB7789" s="1"/>
    </row>
    <row r="7790" spans="15:28">
      <c r="O7790" s="1"/>
      <c r="P7790" s="1"/>
      <c r="Q7790" s="1"/>
      <c r="R7790" s="1"/>
      <c r="Z7790" s="103"/>
      <c r="AA7790" s="103"/>
      <c r="AB7790" s="1"/>
    </row>
    <row r="7791" spans="15:28">
      <c r="O7791" s="1"/>
      <c r="P7791" s="1"/>
      <c r="Q7791" s="1"/>
      <c r="R7791" s="1"/>
      <c r="Z7791" s="103"/>
      <c r="AA7791" s="103"/>
      <c r="AB7791" s="1"/>
    </row>
    <row r="7792" spans="15:28">
      <c r="O7792" s="1"/>
      <c r="P7792" s="1"/>
      <c r="Q7792" s="1"/>
      <c r="R7792" s="1"/>
      <c r="Z7792" s="103"/>
      <c r="AA7792" s="103"/>
      <c r="AB7792" s="1"/>
    </row>
    <row r="7793" spans="15:28">
      <c r="O7793" s="1"/>
      <c r="P7793" s="1"/>
      <c r="Q7793" s="1"/>
      <c r="R7793" s="1"/>
      <c r="Z7793" s="103"/>
      <c r="AA7793" s="103"/>
      <c r="AB7793" s="1"/>
    </row>
    <row r="7794" spans="15:28">
      <c r="O7794" s="1"/>
      <c r="P7794" s="1"/>
      <c r="Q7794" s="1"/>
      <c r="R7794" s="1"/>
      <c r="Z7794" s="103"/>
      <c r="AA7794" s="103"/>
      <c r="AB7794" s="1"/>
    </row>
    <row r="7795" spans="15:28">
      <c r="O7795" s="1"/>
      <c r="P7795" s="1"/>
      <c r="Q7795" s="1"/>
      <c r="R7795" s="1"/>
      <c r="Z7795" s="103"/>
      <c r="AA7795" s="103"/>
      <c r="AB7795" s="1"/>
    </row>
    <row r="7796" spans="15:28">
      <c r="O7796" s="1"/>
      <c r="P7796" s="1"/>
      <c r="Q7796" s="1"/>
      <c r="R7796" s="1"/>
      <c r="Z7796" s="103"/>
      <c r="AA7796" s="103"/>
      <c r="AB7796" s="1"/>
    </row>
    <row r="7797" spans="15:28">
      <c r="O7797" s="1"/>
      <c r="P7797" s="1"/>
      <c r="Q7797" s="1"/>
      <c r="R7797" s="1"/>
      <c r="Z7797" s="103"/>
      <c r="AA7797" s="103"/>
      <c r="AB7797" s="1"/>
    </row>
    <row r="7798" spans="15:28">
      <c r="O7798" s="1"/>
      <c r="P7798" s="1"/>
      <c r="Q7798" s="1"/>
      <c r="R7798" s="1"/>
      <c r="Z7798" s="103"/>
      <c r="AA7798" s="103"/>
      <c r="AB7798" s="1"/>
    </row>
    <row r="7799" spans="15:28">
      <c r="O7799" s="1"/>
      <c r="P7799" s="1"/>
      <c r="Q7799" s="1"/>
      <c r="R7799" s="1"/>
      <c r="Z7799" s="103"/>
      <c r="AA7799" s="103"/>
      <c r="AB7799" s="1"/>
    </row>
    <row r="7800" spans="15:28">
      <c r="O7800" s="1"/>
      <c r="P7800" s="1"/>
      <c r="Q7800" s="1"/>
      <c r="R7800" s="1"/>
      <c r="Z7800" s="103"/>
      <c r="AA7800" s="103"/>
      <c r="AB7800" s="1"/>
    </row>
    <row r="7801" spans="15:28">
      <c r="O7801" s="1"/>
      <c r="P7801" s="1"/>
      <c r="Q7801" s="1"/>
      <c r="R7801" s="1"/>
      <c r="Z7801" s="103"/>
      <c r="AA7801" s="103"/>
      <c r="AB7801" s="1"/>
    </row>
    <row r="7802" spans="15:28">
      <c r="O7802" s="1"/>
      <c r="P7802" s="1"/>
      <c r="Q7802" s="1"/>
      <c r="R7802" s="1"/>
      <c r="Z7802" s="103"/>
      <c r="AA7802" s="103"/>
      <c r="AB7802" s="1"/>
    </row>
    <row r="7803" spans="15:28">
      <c r="O7803" s="1"/>
      <c r="P7803" s="1"/>
      <c r="Q7803" s="1"/>
      <c r="R7803" s="1"/>
      <c r="Z7803" s="103"/>
      <c r="AA7803" s="103"/>
      <c r="AB7803" s="1"/>
    </row>
    <row r="7804" spans="15:28">
      <c r="O7804" s="1"/>
      <c r="P7804" s="1"/>
      <c r="Q7804" s="1"/>
      <c r="R7804" s="1"/>
      <c r="Z7804" s="103"/>
      <c r="AA7804" s="103"/>
      <c r="AB7804" s="1"/>
    </row>
    <row r="7805" spans="15:28">
      <c r="O7805" s="1"/>
      <c r="P7805" s="1"/>
      <c r="Q7805" s="1"/>
      <c r="R7805" s="1"/>
      <c r="Z7805" s="103"/>
      <c r="AA7805" s="103"/>
      <c r="AB7805" s="1"/>
    </row>
    <row r="7806" spans="15:28">
      <c r="O7806" s="1"/>
      <c r="P7806" s="1"/>
      <c r="Q7806" s="1"/>
      <c r="R7806" s="1"/>
      <c r="Z7806" s="103"/>
      <c r="AA7806" s="103"/>
      <c r="AB7806" s="1"/>
    </row>
    <row r="7807" spans="15:28">
      <c r="O7807" s="1"/>
      <c r="P7807" s="1"/>
      <c r="Q7807" s="1"/>
      <c r="R7807" s="1"/>
      <c r="Z7807" s="103"/>
      <c r="AA7807" s="103"/>
      <c r="AB7807" s="1"/>
    </row>
    <row r="7808" spans="15:28">
      <c r="O7808" s="1"/>
      <c r="P7808" s="1"/>
      <c r="Q7808" s="1"/>
      <c r="R7808" s="1"/>
      <c r="Z7808" s="103"/>
      <c r="AA7808" s="103"/>
      <c r="AB7808" s="1"/>
    </row>
    <row r="7809" spans="15:28">
      <c r="O7809" s="1"/>
      <c r="P7809" s="1"/>
      <c r="Q7809" s="1"/>
      <c r="R7809" s="1"/>
      <c r="Z7809" s="103"/>
      <c r="AA7809" s="103"/>
      <c r="AB7809" s="1"/>
    </row>
    <row r="7810" spans="15:28">
      <c r="O7810" s="1"/>
      <c r="P7810" s="1"/>
      <c r="Q7810" s="1"/>
      <c r="R7810" s="1"/>
      <c r="Z7810" s="103"/>
      <c r="AA7810" s="103"/>
      <c r="AB7810" s="1"/>
    </row>
    <row r="7811" spans="15:28">
      <c r="O7811" s="1"/>
      <c r="P7811" s="1"/>
      <c r="Q7811" s="1"/>
      <c r="R7811" s="1"/>
      <c r="Z7811" s="103"/>
      <c r="AA7811" s="103"/>
      <c r="AB7811" s="1"/>
    </row>
    <row r="7812" spans="15:28">
      <c r="O7812" s="1"/>
      <c r="P7812" s="1"/>
      <c r="Q7812" s="1"/>
      <c r="R7812" s="1"/>
      <c r="Z7812" s="103"/>
      <c r="AA7812" s="103"/>
      <c r="AB7812" s="1"/>
    </row>
    <row r="7813" spans="15:28">
      <c r="O7813" s="1"/>
      <c r="P7813" s="1"/>
      <c r="Q7813" s="1"/>
      <c r="R7813" s="1"/>
      <c r="Z7813" s="103"/>
      <c r="AA7813" s="103"/>
      <c r="AB7813" s="1"/>
    </row>
    <row r="7814" spans="15:28">
      <c r="O7814" s="1"/>
      <c r="P7814" s="1"/>
      <c r="Q7814" s="1"/>
      <c r="R7814" s="1"/>
      <c r="Z7814" s="103"/>
      <c r="AA7814" s="103"/>
      <c r="AB7814" s="1"/>
    </row>
    <row r="7815" spans="15:28">
      <c r="O7815" s="1"/>
      <c r="P7815" s="1"/>
      <c r="Q7815" s="1"/>
      <c r="R7815" s="1"/>
      <c r="Z7815" s="103"/>
      <c r="AA7815" s="103"/>
      <c r="AB7815" s="1"/>
    </row>
    <row r="7816" spans="15:28">
      <c r="O7816" s="1"/>
      <c r="P7816" s="1"/>
      <c r="Q7816" s="1"/>
      <c r="R7816" s="1"/>
      <c r="Z7816" s="103"/>
      <c r="AA7816" s="103"/>
      <c r="AB7816" s="1"/>
    </row>
    <row r="7817" spans="15:28">
      <c r="O7817" s="1"/>
      <c r="P7817" s="1"/>
      <c r="Q7817" s="1"/>
      <c r="R7817" s="1"/>
      <c r="Z7817" s="103"/>
      <c r="AA7817" s="103"/>
      <c r="AB7817" s="1"/>
    </row>
    <row r="7818" spans="15:28">
      <c r="O7818" s="1"/>
      <c r="P7818" s="1"/>
      <c r="Q7818" s="1"/>
      <c r="R7818" s="1"/>
      <c r="Z7818" s="103"/>
      <c r="AA7818" s="103"/>
      <c r="AB7818" s="1"/>
    </row>
    <row r="7819" spans="15:28">
      <c r="O7819" s="1"/>
      <c r="P7819" s="1"/>
      <c r="Q7819" s="1"/>
      <c r="R7819" s="1"/>
      <c r="Z7819" s="103"/>
      <c r="AA7819" s="103"/>
      <c r="AB7819" s="1"/>
    </row>
    <row r="7820" spans="15:28">
      <c r="O7820" s="1"/>
      <c r="P7820" s="1"/>
      <c r="Q7820" s="1"/>
      <c r="R7820" s="1"/>
      <c r="Z7820" s="103"/>
      <c r="AA7820" s="103"/>
      <c r="AB7820" s="1"/>
    </row>
    <row r="7821" spans="15:28">
      <c r="O7821" s="1"/>
      <c r="P7821" s="1"/>
      <c r="Q7821" s="1"/>
      <c r="R7821" s="1"/>
      <c r="Z7821" s="103"/>
      <c r="AA7821" s="103"/>
      <c r="AB7821" s="1"/>
    </row>
    <row r="7822" spans="15:28">
      <c r="O7822" s="1"/>
      <c r="P7822" s="1"/>
      <c r="Q7822" s="1"/>
      <c r="R7822" s="1"/>
      <c r="Z7822" s="103"/>
      <c r="AA7822" s="103"/>
      <c r="AB7822" s="1"/>
    </row>
    <row r="7823" spans="15:28">
      <c r="O7823" s="1"/>
      <c r="P7823" s="1"/>
      <c r="Q7823" s="1"/>
      <c r="R7823" s="1"/>
      <c r="Z7823" s="103"/>
      <c r="AA7823" s="103"/>
      <c r="AB7823" s="1"/>
    </row>
    <row r="7824" spans="15:28">
      <c r="O7824" s="1"/>
      <c r="P7824" s="1"/>
      <c r="Q7824" s="1"/>
      <c r="R7824" s="1"/>
      <c r="Z7824" s="103"/>
      <c r="AA7824" s="103"/>
      <c r="AB7824" s="1"/>
    </row>
    <row r="7825" spans="15:28">
      <c r="O7825" s="1"/>
      <c r="P7825" s="1"/>
      <c r="Q7825" s="1"/>
      <c r="R7825" s="1"/>
      <c r="Z7825" s="103"/>
      <c r="AA7825" s="103"/>
      <c r="AB7825" s="1"/>
    </row>
    <row r="7826" spans="15:28">
      <c r="O7826" s="1"/>
      <c r="P7826" s="1"/>
      <c r="Q7826" s="1"/>
      <c r="R7826" s="1"/>
      <c r="Z7826" s="103"/>
      <c r="AA7826" s="103"/>
      <c r="AB7826" s="1"/>
    </row>
    <row r="7827" spans="15:28">
      <c r="O7827" s="1"/>
      <c r="P7827" s="1"/>
      <c r="Q7827" s="1"/>
      <c r="R7827" s="1"/>
      <c r="Z7827" s="103"/>
      <c r="AA7827" s="103"/>
      <c r="AB7827" s="1"/>
    </row>
    <row r="7828" spans="15:28">
      <c r="O7828" s="1"/>
      <c r="P7828" s="1"/>
      <c r="Q7828" s="1"/>
      <c r="R7828" s="1"/>
      <c r="Z7828" s="103"/>
      <c r="AA7828" s="103"/>
      <c r="AB7828" s="1"/>
    </row>
    <row r="7829" spans="15:28">
      <c r="O7829" s="1"/>
      <c r="P7829" s="1"/>
      <c r="Q7829" s="1"/>
      <c r="R7829" s="1"/>
      <c r="Z7829" s="103"/>
      <c r="AA7829" s="103"/>
      <c r="AB7829" s="1"/>
    </row>
    <row r="7830" spans="15:28">
      <c r="O7830" s="1"/>
      <c r="P7830" s="1"/>
      <c r="Q7830" s="1"/>
      <c r="R7830" s="1"/>
      <c r="Z7830" s="103"/>
      <c r="AA7830" s="103"/>
      <c r="AB7830" s="1"/>
    </row>
    <row r="7831" spans="15:28">
      <c r="O7831" s="1"/>
      <c r="P7831" s="1"/>
      <c r="Q7831" s="1"/>
      <c r="R7831" s="1"/>
      <c r="Z7831" s="103"/>
      <c r="AA7831" s="103"/>
      <c r="AB7831" s="1"/>
    </row>
    <row r="7832" spans="15:28">
      <c r="O7832" s="1"/>
      <c r="P7832" s="1"/>
      <c r="Q7832" s="1"/>
      <c r="R7832" s="1"/>
      <c r="Z7832" s="103"/>
      <c r="AA7832" s="103"/>
      <c r="AB7832" s="1"/>
    </row>
    <row r="7833" spans="15:28">
      <c r="O7833" s="1"/>
      <c r="P7833" s="1"/>
      <c r="Q7833" s="1"/>
      <c r="R7833" s="1"/>
      <c r="Z7833" s="103"/>
      <c r="AA7833" s="103"/>
      <c r="AB7833" s="1"/>
    </row>
    <row r="7834" spans="15:28">
      <c r="O7834" s="1"/>
      <c r="P7834" s="1"/>
      <c r="Q7834" s="1"/>
      <c r="R7834" s="1"/>
      <c r="Z7834" s="103"/>
      <c r="AA7834" s="103"/>
      <c r="AB7834" s="1"/>
    </row>
    <row r="7835" spans="15:28">
      <c r="O7835" s="1"/>
      <c r="P7835" s="1"/>
      <c r="Q7835" s="1"/>
      <c r="R7835" s="1"/>
      <c r="Z7835" s="103"/>
      <c r="AA7835" s="103"/>
      <c r="AB7835" s="1"/>
    </row>
    <row r="7836" spans="15:28">
      <c r="O7836" s="1"/>
      <c r="P7836" s="1"/>
      <c r="Q7836" s="1"/>
      <c r="R7836" s="1"/>
      <c r="Z7836" s="103"/>
      <c r="AA7836" s="103"/>
      <c r="AB7836" s="1"/>
    </row>
    <row r="7837" spans="15:28">
      <c r="O7837" s="1"/>
      <c r="P7837" s="1"/>
      <c r="Q7837" s="1"/>
      <c r="R7837" s="1"/>
      <c r="Z7837" s="103"/>
      <c r="AA7837" s="103"/>
      <c r="AB7837" s="1"/>
    </row>
    <row r="7838" spans="15:28">
      <c r="O7838" s="1"/>
      <c r="P7838" s="1"/>
      <c r="Q7838" s="1"/>
      <c r="R7838" s="1"/>
      <c r="Z7838" s="103"/>
      <c r="AA7838" s="103"/>
      <c r="AB7838" s="1"/>
    </row>
    <row r="7839" spans="15:28">
      <c r="O7839" s="1"/>
      <c r="P7839" s="1"/>
      <c r="Q7839" s="1"/>
      <c r="R7839" s="1"/>
      <c r="Z7839" s="103"/>
      <c r="AA7839" s="103"/>
      <c r="AB7839" s="1"/>
    </row>
    <row r="7840" spans="15:28">
      <c r="O7840" s="1"/>
      <c r="P7840" s="1"/>
      <c r="Q7840" s="1"/>
      <c r="R7840" s="1"/>
      <c r="Z7840" s="103"/>
      <c r="AA7840" s="103"/>
      <c r="AB7840" s="1"/>
    </row>
    <row r="7841" spans="15:28">
      <c r="O7841" s="1"/>
      <c r="P7841" s="1"/>
      <c r="Q7841" s="1"/>
      <c r="R7841" s="1"/>
      <c r="Z7841" s="103"/>
      <c r="AA7841" s="103"/>
      <c r="AB7841" s="1"/>
    </row>
    <row r="7842" spans="15:28">
      <c r="O7842" s="1"/>
      <c r="P7842" s="1"/>
      <c r="Q7842" s="1"/>
      <c r="R7842" s="1"/>
      <c r="Z7842" s="103"/>
      <c r="AA7842" s="103"/>
      <c r="AB7842" s="1"/>
    </row>
    <row r="7843" spans="15:28">
      <c r="O7843" s="1"/>
      <c r="P7843" s="1"/>
      <c r="Q7843" s="1"/>
      <c r="R7843" s="1"/>
      <c r="Z7843" s="103"/>
      <c r="AA7843" s="103"/>
      <c r="AB7843" s="1"/>
    </row>
    <row r="7844" spans="15:28">
      <c r="O7844" s="1"/>
      <c r="P7844" s="1"/>
      <c r="Q7844" s="1"/>
      <c r="R7844" s="1"/>
      <c r="Z7844" s="103"/>
      <c r="AA7844" s="103"/>
      <c r="AB7844" s="1"/>
    </row>
    <row r="7845" spans="15:28">
      <c r="O7845" s="1"/>
      <c r="P7845" s="1"/>
      <c r="Q7845" s="1"/>
      <c r="R7845" s="1"/>
      <c r="Z7845" s="103"/>
      <c r="AA7845" s="103"/>
      <c r="AB7845" s="1"/>
    </row>
    <row r="7846" spans="15:28">
      <c r="O7846" s="1"/>
      <c r="P7846" s="1"/>
      <c r="Q7846" s="1"/>
      <c r="R7846" s="1"/>
      <c r="Z7846" s="103"/>
      <c r="AA7846" s="103"/>
      <c r="AB7846" s="1"/>
    </row>
    <row r="7847" spans="15:28">
      <c r="O7847" s="1"/>
      <c r="P7847" s="1"/>
      <c r="Q7847" s="1"/>
      <c r="R7847" s="1"/>
      <c r="Z7847" s="103"/>
      <c r="AA7847" s="103"/>
      <c r="AB7847" s="1"/>
    </row>
    <row r="7848" spans="15:28">
      <c r="O7848" s="1"/>
      <c r="P7848" s="1"/>
      <c r="Q7848" s="1"/>
      <c r="R7848" s="1"/>
      <c r="Z7848" s="103"/>
      <c r="AA7848" s="103"/>
      <c r="AB7848" s="1"/>
    </row>
    <row r="7849" spans="15:28">
      <c r="O7849" s="1"/>
      <c r="P7849" s="1"/>
      <c r="Q7849" s="1"/>
      <c r="R7849" s="1"/>
      <c r="Z7849" s="103"/>
      <c r="AA7849" s="103"/>
      <c r="AB7849" s="1"/>
    </row>
    <row r="7850" spans="15:28">
      <c r="O7850" s="1"/>
      <c r="P7850" s="1"/>
      <c r="Q7850" s="1"/>
      <c r="R7850" s="1"/>
      <c r="Z7850" s="103"/>
      <c r="AA7850" s="103"/>
      <c r="AB7850" s="1"/>
    </row>
    <row r="7851" spans="15:28">
      <c r="O7851" s="1"/>
      <c r="P7851" s="1"/>
      <c r="Q7851" s="1"/>
      <c r="R7851" s="1"/>
      <c r="Z7851" s="103"/>
      <c r="AA7851" s="103"/>
      <c r="AB7851" s="1"/>
    </row>
    <row r="7852" spans="15:28">
      <c r="O7852" s="1"/>
      <c r="P7852" s="1"/>
      <c r="Q7852" s="1"/>
      <c r="R7852" s="1"/>
      <c r="Z7852" s="103"/>
      <c r="AA7852" s="103"/>
      <c r="AB7852" s="1"/>
    </row>
    <row r="7853" spans="15:28">
      <c r="O7853" s="1"/>
      <c r="P7853" s="1"/>
      <c r="Q7853" s="1"/>
      <c r="R7853" s="1"/>
      <c r="Z7853" s="103"/>
      <c r="AA7853" s="103"/>
      <c r="AB7853" s="1"/>
    </row>
    <row r="7854" spans="15:28">
      <c r="O7854" s="1"/>
      <c r="P7854" s="1"/>
      <c r="Q7854" s="1"/>
      <c r="R7854" s="1"/>
      <c r="Z7854" s="103"/>
      <c r="AA7854" s="103"/>
      <c r="AB7854" s="1"/>
    </row>
    <row r="7855" spans="15:28">
      <c r="O7855" s="1"/>
      <c r="P7855" s="1"/>
      <c r="Q7855" s="1"/>
      <c r="R7855" s="1"/>
      <c r="Z7855" s="103"/>
      <c r="AA7855" s="103"/>
      <c r="AB7855" s="1"/>
    </row>
    <row r="7856" spans="15:28">
      <c r="O7856" s="1"/>
      <c r="P7856" s="1"/>
      <c r="Q7856" s="1"/>
      <c r="R7856" s="1"/>
      <c r="Z7856" s="103"/>
      <c r="AA7856" s="103"/>
      <c r="AB7856" s="1"/>
    </row>
    <row r="7857" spans="15:28">
      <c r="O7857" s="1"/>
      <c r="P7857" s="1"/>
      <c r="Q7857" s="1"/>
      <c r="R7857" s="1"/>
      <c r="Z7857" s="103"/>
      <c r="AA7857" s="103"/>
      <c r="AB7857" s="1"/>
    </row>
    <row r="7858" spans="15:28">
      <c r="O7858" s="1"/>
      <c r="P7858" s="1"/>
      <c r="Q7858" s="1"/>
      <c r="R7858" s="1"/>
      <c r="Z7858" s="103"/>
      <c r="AA7858" s="103"/>
      <c r="AB7858" s="1"/>
    </row>
    <row r="7859" spans="15:28">
      <c r="O7859" s="1"/>
      <c r="P7859" s="1"/>
      <c r="Q7859" s="1"/>
      <c r="R7859" s="1"/>
      <c r="Z7859" s="103"/>
      <c r="AA7859" s="103"/>
      <c r="AB7859" s="1"/>
    </row>
    <row r="7860" spans="15:28">
      <c r="O7860" s="1"/>
      <c r="P7860" s="1"/>
      <c r="Q7860" s="1"/>
      <c r="R7860" s="1"/>
      <c r="Z7860" s="103"/>
      <c r="AA7860" s="103"/>
      <c r="AB7860" s="1"/>
    </row>
    <row r="7861" spans="15:28">
      <c r="O7861" s="1"/>
      <c r="P7861" s="1"/>
      <c r="Q7861" s="1"/>
      <c r="R7861" s="1"/>
      <c r="Z7861" s="103"/>
      <c r="AA7861" s="103"/>
      <c r="AB7861" s="1"/>
    </row>
    <row r="7862" spans="15:28">
      <c r="O7862" s="1"/>
      <c r="P7862" s="1"/>
      <c r="Q7862" s="1"/>
      <c r="R7862" s="1"/>
      <c r="Z7862" s="103"/>
      <c r="AA7862" s="103"/>
      <c r="AB7862" s="1"/>
    </row>
    <row r="7863" spans="15:28">
      <c r="O7863" s="1"/>
      <c r="P7863" s="1"/>
      <c r="Q7863" s="1"/>
      <c r="R7863" s="1"/>
      <c r="Z7863" s="103"/>
      <c r="AA7863" s="103"/>
      <c r="AB7863" s="1"/>
    </row>
    <row r="7864" spans="15:28">
      <c r="O7864" s="1"/>
      <c r="P7864" s="1"/>
      <c r="Q7864" s="1"/>
      <c r="R7864" s="1"/>
      <c r="Z7864" s="103"/>
      <c r="AA7864" s="103"/>
      <c r="AB7864" s="1"/>
    </row>
    <row r="7865" spans="15:28">
      <c r="O7865" s="1"/>
      <c r="P7865" s="1"/>
      <c r="Q7865" s="1"/>
      <c r="R7865" s="1"/>
      <c r="Z7865" s="103"/>
      <c r="AA7865" s="103"/>
      <c r="AB7865" s="1"/>
    </row>
    <row r="7866" spans="15:28">
      <c r="O7866" s="1"/>
      <c r="P7866" s="1"/>
      <c r="Q7866" s="1"/>
      <c r="R7866" s="1"/>
      <c r="Z7866" s="103"/>
      <c r="AA7866" s="103"/>
      <c r="AB7866" s="1"/>
    </row>
    <row r="7867" spans="15:28">
      <c r="O7867" s="1"/>
      <c r="P7867" s="1"/>
      <c r="Q7867" s="1"/>
      <c r="R7867" s="1"/>
      <c r="Z7867" s="103"/>
      <c r="AA7867" s="103"/>
      <c r="AB7867" s="1"/>
    </row>
    <row r="7868" spans="15:28">
      <c r="O7868" s="1"/>
      <c r="P7868" s="1"/>
      <c r="Q7868" s="1"/>
      <c r="R7868" s="1"/>
      <c r="Z7868" s="103"/>
      <c r="AA7868" s="103"/>
      <c r="AB7868" s="1"/>
    </row>
    <row r="7869" spans="15:28">
      <c r="O7869" s="1"/>
      <c r="P7869" s="1"/>
      <c r="Q7869" s="1"/>
      <c r="R7869" s="1"/>
      <c r="Z7869" s="103"/>
      <c r="AA7869" s="103"/>
      <c r="AB7869" s="1"/>
    </row>
    <row r="7870" spans="15:28">
      <c r="O7870" s="1"/>
      <c r="P7870" s="1"/>
      <c r="Q7870" s="1"/>
      <c r="R7870" s="1"/>
      <c r="Z7870" s="103"/>
      <c r="AA7870" s="103"/>
      <c r="AB7870" s="1"/>
    </row>
    <row r="7871" spans="15:28">
      <c r="O7871" s="1"/>
      <c r="P7871" s="1"/>
      <c r="Q7871" s="1"/>
      <c r="R7871" s="1"/>
      <c r="Z7871" s="103"/>
      <c r="AA7871" s="103"/>
      <c r="AB7871" s="1"/>
    </row>
    <row r="7872" spans="15:28">
      <c r="O7872" s="1"/>
      <c r="P7872" s="1"/>
      <c r="Q7872" s="1"/>
      <c r="R7872" s="1"/>
      <c r="Z7872" s="103"/>
      <c r="AA7872" s="103"/>
      <c r="AB7872" s="1"/>
    </row>
    <row r="7873" spans="15:28">
      <c r="O7873" s="1"/>
      <c r="P7873" s="1"/>
      <c r="Q7873" s="1"/>
      <c r="R7873" s="1"/>
      <c r="Z7873" s="103"/>
      <c r="AA7873" s="103"/>
      <c r="AB7873" s="1"/>
    </row>
    <row r="7874" spans="15:28">
      <c r="O7874" s="1"/>
      <c r="P7874" s="1"/>
      <c r="Q7874" s="1"/>
      <c r="R7874" s="1"/>
      <c r="Z7874" s="103"/>
      <c r="AA7874" s="103"/>
      <c r="AB7874" s="1"/>
    </row>
    <row r="7875" spans="15:28">
      <c r="O7875" s="1"/>
      <c r="P7875" s="1"/>
      <c r="Q7875" s="1"/>
      <c r="R7875" s="1"/>
      <c r="Z7875" s="103"/>
      <c r="AA7875" s="103"/>
      <c r="AB7875" s="1"/>
    </row>
    <row r="7876" spans="15:28">
      <c r="O7876" s="1"/>
      <c r="P7876" s="1"/>
      <c r="Q7876" s="1"/>
      <c r="R7876" s="1"/>
      <c r="Z7876" s="103"/>
      <c r="AA7876" s="103"/>
      <c r="AB7876" s="1"/>
    </row>
    <row r="7877" spans="15:28">
      <c r="O7877" s="1"/>
      <c r="P7877" s="1"/>
      <c r="Q7877" s="1"/>
      <c r="R7877" s="1"/>
      <c r="Z7877" s="103"/>
      <c r="AA7877" s="103"/>
      <c r="AB7877" s="1"/>
    </row>
    <row r="7878" spans="15:28">
      <c r="O7878" s="1"/>
      <c r="P7878" s="1"/>
      <c r="Q7878" s="1"/>
      <c r="R7878" s="1"/>
      <c r="Z7878" s="103"/>
      <c r="AA7878" s="103"/>
      <c r="AB7878" s="1"/>
    </row>
    <row r="7879" spans="15:28">
      <c r="O7879" s="1"/>
      <c r="P7879" s="1"/>
      <c r="Q7879" s="1"/>
      <c r="R7879" s="1"/>
      <c r="Z7879" s="103"/>
      <c r="AA7879" s="103"/>
      <c r="AB7879" s="1"/>
    </row>
    <row r="7880" spans="15:28">
      <c r="O7880" s="1"/>
      <c r="P7880" s="1"/>
      <c r="Q7880" s="1"/>
      <c r="R7880" s="1"/>
      <c r="Z7880" s="103"/>
      <c r="AA7880" s="103"/>
      <c r="AB7880" s="1"/>
    </row>
    <row r="7881" spans="15:28">
      <c r="O7881" s="1"/>
      <c r="P7881" s="1"/>
      <c r="Q7881" s="1"/>
      <c r="R7881" s="1"/>
      <c r="Z7881" s="103"/>
      <c r="AA7881" s="103"/>
      <c r="AB7881" s="1"/>
    </row>
    <row r="7882" spans="15:28">
      <c r="O7882" s="1"/>
      <c r="P7882" s="1"/>
      <c r="Q7882" s="1"/>
      <c r="R7882" s="1"/>
      <c r="Z7882" s="103"/>
      <c r="AA7882" s="103"/>
      <c r="AB7882" s="1"/>
    </row>
    <row r="7883" spans="15:28">
      <c r="O7883" s="1"/>
      <c r="P7883" s="1"/>
      <c r="Q7883" s="1"/>
      <c r="R7883" s="1"/>
      <c r="Z7883" s="103"/>
      <c r="AA7883" s="103"/>
      <c r="AB7883" s="1"/>
    </row>
    <row r="7884" spans="15:28">
      <c r="O7884" s="1"/>
      <c r="P7884" s="1"/>
      <c r="Q7884" s="1"/>
      <c r="R7884" s="1"/>
      <c r="Z7884" s="103"/>
      <c r="AA7884" s="103"/>
      <c r="AB7884" s="1"/>
    </row>
    <row r="7885" spans="15:28">
      <c r="O7885" s="1"/>
      <c r="P7885" s="1"/>
      <c r="Q7885" s="1"/>
      <c r="R7885" s="1"/>
      <c r="Z7885" s="103"/>
      <c r="AA7885" s="103"/>
      <c r="AB7885" s="1"/>
    </row>
    <row r="7886" spans="15:28">
      <c r="O7886" s="1"/>
      <c r="P7886" s="1"/>
      <c r="Q7886" s="1"/>
      <c r="R7886" s="1"/>
      <c r="Z7886" s="103"/>
      <c r="AA7886" s="103"/>
      <c r="AB7886" s="1"/>
    </row>
    <row r="7887" spans="15:28">
      <c r="O7887" s="1"/>
      <c r="P7887" s="1"/>
      <c r="Q7887" s="1"/>
      <c r="R7887" s="1"/>
      <c r="Z7887" s="103"/>
      <c r="AA7887" s="103"/>
      <c r="AB7887" s="1"/>
    </row>
    <row r="7888" spans="15:28">
      <c r="O7888" s="1"/>
      <c r="P7888" s="1"/>
      <c r="Q7888" s="1"/>
      <c r="R7888" s="1"/>
      <c r="Z7888" s="103"/>
      <c r="AA7888" s="103"/>
      <c r="AB7888" s="1"/>
    </row>
    <row r="7889" spans="15:28">
      <c r="O7889" s="1"/>
      <c r="P7889" s="1"/>
      <c r="Q7889" s="1"/>
      <c r="R7889" s="1"/>
      <c r="Z7889" s="103"/>
      <c r="AA7889" s="103"/>
      <c r="AB7889" s="1"/>
    </row>
    <row r="7890" spans="15:28">
      <c r="O7890" s="1"/>
      <c r="P7890" s="1"/>
      <c r="Q7890" s="1"/>
      <c r="R7890" s="1"/>
      <c r="Z7890" s="103"/>
      <c r="AA7890" s="103"/>
      <c r="AB7890" s="1"/>
    </row>
    <row r="7891" spans="15:28">
      <c r="O7891" s="1"/>
      <c r="P7891" s="1"/>
      <c r="Q7891" s="1"/>
      <c r="R7891" s="1"/>
      <c r="Z7891" s="103"/>
      <c r="AA7891" s="103"/>
      <c r="AB7891" s="1"/>
    </row>
    <row r="7892" spans="15:28">
      <c r="O7892" s="1"/>
      <c r="P7892" s="1"/>
      <c r="Q7892" s="1"/>
      <c r="R7892" s="1"/>
      <c r="Z7892" s="103"/>
      <c r="AA7892" s="103"/>
      <c r="AB7892" s="1"/>
    </row>
    <row r="7893" spans="15:28">
      <c r="O7893" s="1"/>
      <c r="P7893" s="1"/>
      <c r="Q7893" s="1"/>
      <c r="R7893" s="1"/>
      <c r="Z7893" s="103"/>
      <c r="AA7893" s="103"/>
      <c r="AB7893" s="1"/>
    </row>
    <row r="7894" spans="15:28">
      <c r="O7894" s="1"/>
      <c r="P7894" s="1"/>
      <c r="Q7894" s="1"/>
      <c r="R7894" s="1"/>
      <c r="Z7894" s="103"/>
      <c r="AA7894" s="103"/>
      <c r="AB7894" s="1"/>
    </row>
    <row r="7895" spans="15:28">
      <c r="O7895" s="1"/>
      <c r="P7895" s="1"/>
      <c r="Q7895" s="1"/>
      <c r="R7895" s="1"/>
      <c r="Z7895" s="103"/>
      <c r="AA7895" s="103"/>
      <c r="AB7895" s="1"/>
    </row>
    <row r="7896" spans="15:28">
      <c r="O7896" s="1"/>
      <c r="P7896" s="1"/>
      <c r="Q7896" s="1"/>
      <c r="R7896" s="1"/>
      <c r="Z7896" s="103"/>
      <c r="AA7896" s="103"/>
      <c r="AB7896" s="1"/>
    </row>
    <row r="7897" spans="15:28">
      <c r="O7897" s="1"/>
      <c r="P7897" s="1"/>
      <c r="Q7897" s="1"/>
      <c r="R7897" s="1"/>
      <c r="Z7897" s="103"/>
      <c r="AA7897" s="103"/>
      <c r="AB7897" s="1"/>
    </row>
    <row r="7898" spans="15:28">
      <c r="O7898" s="1"/>
      <c r="P7898" s="1"/>
      <c r="Q7898" s="1"/>
      <c r="R7898" s="1"/>
      <c r="Z7898" s="103"/>
      <c r="AA7898" s="103"/>
      <c r="AB7898" s="1"/>
    </row>
    <row r="7899" spans="15:28">
      <c r="O7899" s="1"/>
      <c r="P7899" s="1"/>
      <c r="Q7899" s="1"/>
      <c r="R7899" s="1"/>
      <c r="Z7899" s="103"/>
      <c r="AA7899" s="103"/>
      <c r="AB7899" s="1"/>
    </row>
    <row r="7900" spans="15:28">
      <c r="O7900" s="1"/>
      <c r="P7900" s="1"/>
      <c r="Q7900" s="1"/>
      <c r="R7900" s="1"/>
      <c r="Z7900" s="103"/>
      <c r="AA7900" s="103"/>
      <c r="AB7900" s="1"/>
    </row>
    <row r="7901" spans="15:28">
      <c r="O7901" s="1"/>
      <c r="P7901" s="1"/>
      <c r="Q7901" s="1"/>
      <c r="R7901" s="1"/>
      <c r="Z7901" s="103"/>
      <c r="AA7901" s="103"/>
      <c r="AB7901" s="1"/>
    </row>
    <row r="7902" spans="15:28">
      <c r="O7902" s="1"/>
      <c r="P7902" s="1"/>
      <c r="Q7902" s="1"/>
      <c r="R7902" s="1"/>
      <c r="Z7902" s="103"/>
      <c r="AA7902" s="103"/>
      <c r="AB7902" s="1"/>
    </row>
    <row r="7903" spans="15:28">
      <c r="O7903" s="1"/>
      <c r="P7903" s="1"/>
      <c r="Q7903" s="1"/>
      <c r="R7903" s="1"/>
      <c r="Z7903" s="103"/>
      <c r="AA7903" s="103"/>
      <c r="AB7903" s="1"/>
    </row>
    <row r="7904" spans="15:28">
      <c r="O7904" s="1"/>
      <c r="P7904" s="1"/>
      <c r="Q7904" s="1"/>
      <c r="R7904" s="1"/>
      <c r="Z7904" s="103"/>
      <c r="AA7904" s="103"/>
      <c r="AB7904" s="1"/>
    </row>
    <row r="7905" spans="15:28">
      <c r="O7905" s="1"/>
      <c r="P7905" s="1"/>
      <c r="Q7905" s="1"/>
      <c r="R7905" s="1"/>
      <c r="Z7905" s="103"/>
      <c r="AA7905" s="103"/>
      <c r="AB7905" s="1"/>
    </row>
    <row r="7906" spans="15:28">
      <c r="O7906" s="1"/>
      <c r="P7906" s="1"/>
      <c r="Q7906" s="1"/>
      <c r="R7906" s="1"/>
      <c r="Z7906" s="103"/>
      <c r="AA7906" s="103"/>
      <c r="AB7906" s="1"/>
    </row>
    <row r="7907" spans="15:28">
      <c r="O7907" s="1"/>
      <c r="P7907" s="1"/>
      <c r="Q7907" s="1"/>
      <c r="R7907" s="1"/>
      <c r="Z7907" s="103"/>
      <c r="AA7907" s="103"/>
      <c r="AB7907" s="1"/>
    </row>
    <row r="7908" spans="15:28">
      <c r="O7908" s="1"/>
      <c r="P7908" s="1"/>
      <c r="Q7908" s="1"/>
      <c r="R7908" s="1"/>
      <c r="Z7908" s="103"/>
      <c r="AA7908" s="103"/>
      <c r="AB7908" s="1"/>
    </row>
    <row r="7909" spans="15:28">
      <c r="O7909" s="1"/>
      <c r="P7909" s="1"/>
      <c r="Q7909" s="1"/>
      <c r="R7909" s="1"/>
      <c r="Z7909" s="103"/>
      <c r="AA7909" s="103"/>
      <c r="AB7909" s="1"/>
    </row>
    <row r="7910" spans="15:28">
      <c r="O7910" s="1"/>
      <c r="P7910" s="1"/>
      <c r="Q7910" s="1"/>
      <c r="R7910" s="1"/>
      <c r="Z7910" s="103"/>
      <c r="AA7910" s="103"/>
      <c r="AB7910" s="1"/>
    </row>
    <row r="7911" spans="15:28">
      <c r="O7911" s="1"/>
      <c r="P7911" s="1"/>
      <c r="Q7911" s="1"/>
      <c r="R7911" s="1"/>
      <c r="Z7911" s="103"/>
      <c r="AA7911" s="103"/>
      <c r="AB7911" s="1"/>
    </row>
    <row r="7912" spans="15:28">
      <c r="O7912" s="1"/>
      <c r="P7912" s="1"/>
      <c r="Q7912" s="1"/>
      <c r="R7912" s="1"/>
      <c r="Z7912" s="103"/>
      <c r="AA7912" s="103"/>
      <c r="AB7912" s="1"/>
    </row>
    <row r="7913" spans="15:28">
      <c r="O7913" s="1"/>
      <c r="P7913" s="1"/>
      <c r="Q7913" s="1"/>
      <c r="R7913" s="1"/>
      <c r="Z7913" s="103"/>
      <c r="AA7913" s="103"/>
      <c r="AB7913" s="1"/>
    </row>
    <row r="7914" spans="15:28">
      <c r="O7914" s="1"/>
      <c r="P7914" s="1"/>
      <c r="Q7914" s="1"/>
      <c r="R7914" s="1"/>
      <c r="Z7914" s="103"/>
      <c r="AA7914" s="103"/>
      <c r="AB7914" s="1"/>
    </row>
    <row r="7915" spans="15:28">
      <c r="O7915" s="1"/>
      <c r="P7915" s="1"/>
      <c r="Q7915" s="1"/>
      <c r="R7915" s="1"/>
      <c r="Z7915" s="103"/>
      <c r="AA7915" s="103"/>
      <c r="AB7915" s="1"/>
    </row>
    <row r="7916" spans="15:28">
      <c r="O7916" s="1"/>
      <c r="P7916" s="1"/>
      <c r="Q7916" s="1"/>
      <c r="R7916" s="1"/>
      <c r="Z7916" s="103"/>
      <c r="AA7916" s="103"/>
      <c r="AB7916" s="1"/>
    </row>
    <row r="7917" spans="15:28">
      <c r="O7917" s="1"/>
      <c r="P7917" s="1"/>
      <c r="Q7917" s="1"/>
      <c r="R7917" s="1"/>
      <c r="Z7917" s="103"/>
      <c r="AA7917" s="103"/>
      <c r="AB7917" s="1"/>
    </row>
    <row r="7918" spans="15:28">
      <c r="O7918" s="1"/>
      <c r="P7918" s="1"/>
      <c r="Q7918" s="1"/>
      <c r="R7918" s="1"/>
      <c r="Z7918" s="103"/>
      <c r="AA7918" s="103"/>
      <c r="AB7918" s="1"/>
    </row>
    <row r="7919" spans="15:28">
      <c r="O7919" s="1"/>
      <c r="P7919" s="1"/>
      <c r="Q7919" s="1"/>
      <c r="R7919" s="1"/>
      <c r="Z7919" s="103"/>
      <c r="AA7919" s="103"/>
      <c r="AB7919" s="1"/>
    </row>
    <row r="7920" spans="15:28">
      <c r="O7920" s="1"/>
      <c r="P7920" s="1"/>
      <c r="Q7920" s="1"/>
      <c r="R7920" s="1"/>
      <c r="Z7920" s="103"/>
      <c r="AA7920" s="103"/>
      <c r="AB7920" s="1"/>
    </row>
    <row r="7921" spans="15:28">
      <c r="O7921" s="1"/>
      <c r="P7921" s="1"/>
      <c r="Q7921" s="1"/>
      <c r="R7921" s="1"/>
      <c r="Z7921" s="103"/>
      <c r="AA7921" s="103"/>
      <c r="AB7921" s="1"/>
    </row>
    <row r="7922" spans="15:28">
      <c r="O7922" s="1"/>
      <c r="P7922" s="1"/>
      <c r="Q7922" s="1"/>
      <c r="R7922" s="1"/>
      <c r="Z7922" s="103"/>
      <c r="AA7922" s="103"/>
      <c r="AB7922" s="1"/>
    </row>
    <row r="7923" spans="15:28">
      <c r="O7923" s="1"/>
      <c r="P7923" s="1"/>
      <c r="Q7923" s="1"/>
      <c r="R7923" s="1"/>
      <c r="Z7923" s="103"/>
      <c r="AA7923" s="103"/>
      <c r="AB7923" s="1"/>
    </row>
    <row r="7924" spans="15:28">
      <c r="O7924" s="1"/>
      <c r="P7924" s="1"/>
      <c r="Q7924" s="1"/>
      <c r="R7924" s="1"/>
      <c r="Z7924" s="103"/>
      <c r="AA7924" s="103"/>
      <c r="AB7924" s="1"/>
    </row>
    <row r="7925" spans="15:28">
      <c r="O7925" s="1"/>
      <c r="P7925" s="1"/>
      <c r="Q7925" s="1"/>
      <c r="R7925" s="1"/>
      <c r="Z7925" s="103"/>
      <c r="AA7925" s="103"/>
      <c r="AB7925" s="1"/>
    </row>
    <row r="7926" spans="15:28">
      <c r="O7926" s="1"/>
      <c r="P7926" s="1"/>
      <c r="Q7926" s="1"/>
      <c r="R7926" s="1"/>
      <c r="Z7926" s="103"/>
      <c r="AA7926" s="103"/>
      <c r="AB7926" s="1"/>
    </row>
    <row r="7927" spans="15:28">
      <c r="O7927" s="1"/>
      <c r="P7927" s="1"/>
      <c r="Q7927" s="1"/>
      <c r="R7927" s="1"/>
      <c r="Z7927" s="103"/>
      <c r="AA7927" s="103"/>
      <c r="AB7927" s="1"/>
    </row>
    <row r="7928" spans="15:28">
      <c r="O7928" s="1"/>
      <c r="P7928" s="1"/>
      <c r="Q7928" s="1"/>
      <c r="R7928" s="1"/>
      <c r="Z7928" s="103"/>
      <c r="AA7928" s="103"/>
      <c r="AB7928" s="1"/>
    </row>
    <row r="7929" spans="15:28">
      <c r="O7929" s="1"/>
      <c r="P7929" s="1"/>
      <c r="Q7929" s="1"/>
      <c r="R7929" s="1"/>
      <c r="Z7929" s="103"/>
      <c r="AA7929" s="103"/>
      <c r="AB7929" s="1"/>
    </row>
    <row r="7930" spans="15:28">
      <c r="O7930" s="1"/>
      <c r="P7930" s="1"/>
      <c r="Q7930" s="1"/>
      <c r="R7930" s="1"/>
      <c r="Z7930" s="103"/>
      <c r="AA7930" s="103"/>
      <c r="AB7930" s="1"/>
    </row>
    <row r="7931" spans="15:28">
      <c r="O7931" s="1"/>
      <c r="P7931" s="1"/>
      <c r="Q7931" s="1"/>
      <c r="R7931" s="1"/>
      <c r="Z7931" s="103"/>
      <c r="AA7931" s="103"/>
      <c r="AB7931" s="1"/>
    </row>
    <row r="7932" spans="15:28">
      <c r="O7932" s="1"/>
      <c r="P7932" s="1"/>
      <c r="Q7932" s="1"/>
      <c r="R7932" s="1"/>
      <c r="Z7932" s="103"/>
      <c r="AA7932" s="103"/>
      <c r="AB7932" s="1"/>
    </row>
    <row r="7933" spans="15:28">
      <c r="O7933" s="1"/>
      <c r="P7933" s="1"/>
      <c r="Q7933" s="1"/>
      <c r="R7933" s="1"/>
      <c r="Z7933" s="103"/>
      <c r="AA7933" s="103"/>
      <c r="AB7933" s="1"/>
    </row>
    <row r="7934" spans="15:28">
      <c r="O7934" s="1"/>
      <c r="P7934" s="1"/>
      <c r="Q7934" s="1"/>
      <c r="R7934" s="1"/>
      <c r="Z7934" s="103"/>
      <c r="AA7934" s="103"/>
      <c r="AB7934" s="1"/>
    </row>
    <row r="7935" spans="15:28">
      <c r="O7935" s="1"/>
      <c r="P7935" s="1"/>
      <c r="Q7935" s="1"/>
      <c r="R7935" s="1"/>
      <c r="Z7935" s="103"/>
      <c r="AA7935" s="103"/>
      <c r="AB7935" s="1"/>
    </row>
    <row r="7936" spans="15:28">
      <c r="O7936" s="1"/>
      <c r="P7936" s="1"/>
      <c r="Q7936" s="1"/>
      <c r="R7936" s="1"/>
      <c r="Z7936" s="103"/>
      <c r="AA7936" s="103"/>
      <c r="AB7936" s="1"/>
    </row>
    <row r="7937" spans="15:28">
      <c r="O7937" s="1"/>
      <c r="P7937" s="1"/>
      <c r="Q7937" s="1"/>
      <c r="R7937" s="1"/>
      <c r="Z7937" s="103"/>
      <c r="AA7937" s="103"/>
      <c r="AB7937" s="1"/>
    </row>
    <row r="7938" spans="15:28">
      <c r="O7938" s="1"/>
      <c r="P7938" s="1"/>
      <c r="Q7938" s="1"/>
      <c r="R7938" s="1"/>
      <c r="Z7938" s="103"/>
      <c r="AA7938" s="103"/>
      <c r="AB7938" s="1"/>
    </row>
    <row r="7939" spans="15:28">
      <c r="O7939" s="1"/>
      <c r="P7939" s="1"/>
      <c r="Q7939" s="1"/>
      <c r="R7939" s="1"/>
      <c r="Z7939" s="103"/>
      <c r="AA7939" s="103"/>
      <c r="AB7939" s="1"/>
    </row>
    <row r="7940" spans="15:28">
      <c r="O7940" s="1"/>
      <c r="P7940" s="1"/>
      <c r="Q7940" s="1"/>
      <c r="R7940" s="1"/>
      <c r="Z7940" s="103"/>
      <c r="AA7940" s="103"/>
      <c r="AB7940" s="1"/>
    </row>
    <row r="7941" spans="15:28">
      <c r="O7941" s="1"/>
      <c r="P7941" s="1"/>
      <c r="Q7941" s="1"/>
      <c r="R7941" s="1"/>
      <c r="Z7941" s="103"/>
      <c r="AA7941" s="103"/>
      <c r="AB7941" s="1"/>
    </row>
    <row r="7942" spans="15:28">
      <c r="O7942" s="1"/>
      <c r="P7942" s="1"/>
      <c r="Q7942" s="1"/>
      <c r="R7942" s="1"/>
      <c r="Z7942" s="103"/>
      <c r="AA7942" s="103"/>
      <c r="AB7942" s="1"/>
    </row>
    <row r="7943" spans="15:28">
      <c r="O7943" s="1"/>
      <c r="P7943" s="1"/>
      <c r="Q7943" s="1"/>
      <c r="R7943" s="1"/>
      <c r="Z7943" s="103"/>
      <c r="AA7943" s="103"/>
      <c r="AB7943" s="1"/>
    </row>
    <row r="7944" spans="15:28">
      <c r="O7944" s="1"/>
      <c r="P7944" s="1"/>
      <c r="Q7944" s="1"/>
      <c r="R7944" s="1"/>
      <c r="Z7944" s="103"/>
      <c r="AA7944" s="103"/>
      <c r="AB7944" s="1"/>
    </row>
    <row r="7945" spans="15:28">
      <c r="O7945" s="1"/>
      <c r="P7945" s="1"/>
      <c r="Q7945" s="1"/>
      <c r="R7945" s="1"/>
      <c r="Z7945" s="103"/>
      <c r="AA7945" s="103"/>
      <c r="AB7945" s="1"/>
    </row>
    <row r="7946" spans="15:28">
      <c r="O7946" s="1"/>
      <c r="P7946" s="1"/>
      <c r="Q7946" s="1"/>
      <c r="R7946" s="1"/>
      <c r="Z7946" s="103"/>
      <c r="AA7946" s="103"/>
      <c r="AB7946" s="1"/>
    </row>
    <row r="7947" spans="15:28">
      <c r="O7947" s="1"/>
      <c r="P7947" s="1"/>
      <c r="Q7947" s="1"/>
      <c r="R7947" s="1"/>
      <c r="Z7947" s="103"/>
      <c r="AA7947" s="103"/>
      <c r="AB7947" s="1"/>
    </row>
    <row r="7948" spans="15:28">
      <c r="O7948" s="1"/>
      <c r="P7948" s="1"/>
      <c r="Q7948" s="1"/>
      <c r="R7948" s="1"/>
      <c r="Z7948" s="103"/>
      <c r="AA7948" s="103"/>
      <c r="AB7948" s="1"/>
    </row>
    <row r="7949" spans="15:28">
      <c r="O7949" s="1"/>
      <c r="P7949" s="1"/>
      <c r="Q7949" s="1"/>
      <c r="R7949" s="1"/>
      <c r="Z7949" s="103"/>
      <c r="AA7949" s="103"/>
      <c r="AB7949" s="1"/>
    </row>
    <row r="7950" spans="15:28">
      <c r="O7950" s="1"/>
      <c r="P7950" s="1"/>
      <c r="Q7950" s="1"/>
      <c r="R7950" s="1"/>
      <c r="Z7950" s="103"/>
      <c r="AA7950" s="103"/>
      <c r="AB7950" s="1"/>
    </row>
    <row r="7951" spans="15:28">
      <c r="O7951" s="1"/>
      <c r="P7951" s="1"/>
      <c r="Q7951" s="1"/>
      <c r="R7951" s="1"/>
      <c r="Z7951" s="103"/>
      <c r="AA7951" s="103"/>
      <c r="AB7951" s="1"/>
    </row>
    <row r="7952" spans="15:28">
      <c r="O7952" s="1"/>
      <c r="P7952" s="1"/>
      <c r="Q7952" s="1"/>
      <c r="R7952" s="1"/>
      <c r="Z7952" s="103"/>
      <c r="AA7952" s="103"/>
      <c r="AB7952" s="1"/>
    </row>
    <row r="7953" spans="15:28">
      <c r="O7953" s="1"/>
      <c r="P7953" s="1"/>
      <c r="Q7953" s="1"/>
      <c r="R7953" s="1"/>
      <c r="Z7953" s="103"/>
      <c r="AA7953" s="103"/>
      <c r="AB7953" s="1"/>
    </row>
    <row r="7954" spans="15:28">
      <c r="O7954" s="1"/>
      <c r="P7954" s="1"/>
      <c r="Q7954" s="1"/>
      <c r="R7954" s="1"/>
      <c r="Z7954" s="103"/>
      <c r="AA7954" s="103"/>
      <c r="AB7954" s="1"/>
    </row>
    <row r="7955" spans="15:28">
      <c r="O7955" s="1"/>
      <c r="P7955" s="1"/>
      <c r="Q7955" s="1"/>
      <c r="R7955" s="1"/>
      <c r="Z7955" s="103"/>
      <c r="AA7955" s="103"/>
      <c r="AB7955" s="1"/>
    </row>
    <row r="7956" spans="15:28">
      <c r="O7956" s="1"/>
      <c r="P7956" s="1"/>
      <c r="Q7956" s="1"/>
      <c r="R7956" s="1"/>
      <c r="Z7956" s="103"/>
      <c r="AA7956" s="103"/>
      <c r="AB7956" s="1"/>
    </row>
    <row r="7957" spans="15:28">
      <c r="O7957" s="1"/>
      <c r="P7957" s="1"/>
      <c r="Q7957" s="1"/>
      <c r="R7957" s="1"/>
      <c r="Z7957" s="103"/>
      <c r="AA7957" s="103"/>
      <c r="AB7957" s="1"/>
    </row>
    <row r="7958" spans="15:28">
      <c r="O7958" s="1"/>
      <c r="P7958" s="1"/>
      <c r="Q7958" s="1"/>
      <c r="R7958" s="1"/>
      <c r="Z7958" s="103"/>
      <c r="AA7958" s="103"/>
      <c r="AB7958" s="1"/>
    </row>
    <row r="7959" spans="15:28">
      <c r="O7959" s="1"/>
      <c r="P7959" s="1"/>
      <c r="Q7959" s="1"/>
      <c r="R7959" s="1"/>
      <c r="Z7959" s="103"/>
      <c r="AA7959" s="103"/>
      <c r="AB7959" s="1"/>
    </row>
    <row r="7960" spans="15:28">
      <c r="O7960" s="1"/>
      <c r="P7960" s="1"/>
      <c r="Q7960" s="1"/>
      <c r="R7960" s="1"/>
      <c r="Z7960" s="103"/>
      <c r="AA7960" s="103"/>
      <c r="AB7960" s="1"/>
    </row>
    <row r="7961" spans="15:28">
      <c r="O7961" s="1"/>
      <c r="P7961" s="1"/>
      <c r="Q7961" s="1"/>
      <c r="R7961" s="1"/>
      <c r="Z7961" s="103"/>
      <c r="AA7961" s="103"/>
      <c r="AB7961" s="1"/>
    </row>
    <row r="7962" spans="15:28">
      <c r="O7962" s="1"/>
      <c r="P7962" s="1"/>
      <c r="Q7962" s="1"/>
      <c r="R7962" s="1"/>
      <c r="Z7962" s="103"/>
      <c r="AA7962" s="103"/>
      <c r="AB7962" s="1"/>
    </row>
    <row r="7963" spans="15:28">
      <c r="O7963" s="1"/>
      <c r="P7963" s="1"/>
      <c r="Q7963" s="1"/>
      <c r="R7963" s="1"/>
      <c r="Z7963" s="103"/>
      <c r="AA7963" s="103"/>
      <c r="AB7963" s="1"/>
    </row>
    <row r="7964" spans="15:28">
      <c r="O7964" s="1"/>
      <c r="P7964" s="1"/>
      <c r="Q7964" s="1"/>
      <c r="R7964" s="1"/>
      <c r="Z7964" s="103"/>
      <c r="AA7964" s="103"/>
      <c r="AB7964" s="1"/>
    </row>
    <row r="7965" spans="15:28">
      <c r="O7965" s="1"/>
      <c r="P7965" s="1"/>
      <c r="Q7965" s="1"/>
      <c r="R7965" s="1"/>
      <c r="Z7965" s="103"/>
      <c r="AA7965" s="103"/>
      <c r="AB7965" s="1"/>
    </row>
    <row r="7966" spans="15:28">
      <c r="O7966" s="1"/>
      <c r="P7966" s="1"/>
      <c r="Q7966" s="1"/>
      <c r="R7966" s="1"/>
      <c r="Z7966" s="103"/>
      <c r="AA7966" s="103"/>
      <c r="AB7966" s="1"/>
    </row>
    <row r="7967" spans="15:28">
      <c r="O7967" s="1"/>
      <c r="P7967" s="1"/>
      <c r="Q7967" s="1"/>
      <c r="R7967" s="1"/>
      <c r="Z7967" s="103"/>
      <c r="AA7967" s="103"/>
      <c r="AB7967" s="1"/>
    </row>
    <row r="7968" spans="15:28">
      <c r="O7968" s="1"/>
      <c r="P7968" s="1"/>
      <c r="Q7968" s="1"/>
      <c r="R7968" s="1"/>
      <c r="Z7968" s="103"/>
      <c r="AA7968" s="103"/>
      <c r="AB7968" s="1"/>
    </row>
    <row r="7969" spans="15:30">
      <c r="O7969" s="1"/>
      <c r="P7969" s="1"/>
      <c r="Q7969" s="1"/>
      <c r="R7969" s="1"/>
      <c r="Z7969" s="103"/>
      <c r="AA7969" s="103"/>
      <c r="AB7969" s="1"/>
      <c r="AD7969" s="102"/>
    </row>
    <row r="7970" spans="15:30">
      <c r="O7970" s="1"/>
      <c r="P7970" s="1"/>
      <c r="Q7970" s="1"/>
      <c r="R7970" s="1"/>
      <c r="Z7970" s="103"/>
      <c r="AA7970" s="103"/>
      <c r="AB7970" s="1"/>
    </row>
    <row r="7971" spans="15:30">
      <c r="O7971" s="1"/>
      <c r="P7971" s="1"/>
      <c r="Q7971" s="1"/>
      <c r="R7971" s="1"/>
      <c r="Z7971" s="103"/>
      <c r="AA7971" s="103"/>
      <c r="AB7971" s="1"/>
    </row>
    <row r="7972" spans="15:30">
      <c r="O7972" s="1"/>
      <c r="P7972" s="1"/>
      <c r="Q7972" s="1"/>
      <c r="R7972" s="1"/>
      <c r="Z7972" s="103"/>
      <c r="AA7972" s="103"/>
      <c r="AB7972" s="1"/>
    </row>
    <row r="7973" spans="15:30">
      <c r="O7973" s="1"/>
      <c r="P7973" s="1"/>
      <c r="Q7973" s="1"/>
      <c r="R7973" s="1"/>
      <c r="Z7973" s="103"/>
      <c r="AA7973" s="103"/>
      <c r="AB7973" s="1"/>
    </row>
    <row r="7974" spans="15:30">
      <c r="O7974" s="1"/>
      <c r="P7974" s="1"/>
      <c r="Q7974" s="1"/>
      <c r="R7974" s="1"/>
      <c r="Z7974" s="103"/>
      <c r="AA7974" s="103"/>
      <c r="AB7974" s="1"/>
    </row>
    <row r="7975" spans="15:30">
      <c r="O7975" s="1"/>
      <c r="P7975" s="1"/>
      <c r="Q7975" s="1"/>
      <c r="R7975" s="1"/>
      <c r="Z7975" s="103"/>
      <c r="AA7975" s="103"/>
      <c r="AB7975" s="1"/>
    </row>
    <row r="7976" spans="15:30">
      <c r="O7976" s="1"/>
      <c r="P7976" s="1"/>
      <c r="Q7976" s="1"/>
      <c r="R7976" s="1"/>
      <c r="Z7976" s="103"/>
      <c r="AA7976" s="103"/>
      <c r="AB7976" s="1"/>
    </row>
    <row r="7977" spans="15:30">
      <c r="O7977" s="1"/>
      <c r="P7977" s="1"/>
      <c r="Q7977" s="1"/>
      <c r="R7977" s="1"/>
      <c r="Z7977" s="103"/>
      <c r="AA7977" s="103"/>
      <c r="AB7977" s="1"/>
    </row>
    <row r="7978" spans="15:30">
      <c r="O7978" s="1"/>
      <c r="P7978" s="1"/>
      <c r="Q7978" s="1"/>
      <c r="R7978" s="1"/>
      <c r="Z7978" s="103"/>
      <c r="AA7978" s="103"/>
      <c r="AB7978" s="1"/>
    </row>
    <row r="7979" spans="15:30">
      <c r="O7979" s="1"/>
      <c r="P7979" s="1"/>
      <c r="Q7979" s="1"/>
      <c r="R7979" s="1"/>
      <c r="Z7979" s="103"/>
      <c r="AA7979" s="103"/>
      <c r="AB7979" s="1"/>
    </row>
    <row r="7980" spans="15:30">
      <c r="O7980" s="1"/>
      <c r="P7980" s="1"/>
      <c r="Q7980" s="1"/>
      <c r="R7980" s="1"/>
      <c r="Z7980" s="103"/>
      <c r="AA7980" s="103"/>
      <c r="AB7980" s="1"/>
    </row>
    <row r="7981" spans="15:30">
      <c r="O7981" s="1"/>
      <c r="P7981" s="1"/>
      <c r="Q7981" s="1"/>
      <c r="R7981" s="1"/>
      <c r="Z7981" s="103"/>
      <c r="AA7981" s="103"/>
      <c r="AB7981" s="1"/>
    </row>
    <row r="7982" spans="15:30">
      <c r="O7982" s="1"/>
      <c r="P7982" s="1"/>
      <c r="Q7982" s="1"/>
      <c r="R7982" s="1"/>
      <c r="Z7982" s="103"/>
      <c r="AA7982" s="103"/>
      <c r="AB7982" s="1"/>
    </row>
    <row r="7983" spans="15:30">
      <c r="O7983" s="1"/>
      <c r="P7983" s="1"/>
      <c r="Q7983" s="1"/>
      <c r="R7983" s="1"/>
      <c r="Z7983" s="103"/>
      <c r="AA7983" s="103"/>
      <c r="AB7983" s="1"/>
    </row>
    <row r="7984" spans="15:30">
      <c r="O7984" s="1"/>
      <c r="P7984" s="1"/>
      <c r="Q7984" s="1"/>
      <c r="R7984" s="1"/>
      <c r="Z7984" s="103"/>
      <c r="AA7984" s="103"/>
      <c r="AB7984" s="1"/>
    </row>
    <row r="7985" spans="15:30">
      <c r="O7985" s="1"/>
      <c r="P7985" s="1"/>
      <c r="Q7985" s="1"/>
      <c r="R7985" s="1"/>
      <c r="Z7985" s="103"/>
      <c r="AA7985" s="103"/>
      <c r="AB7985" s="1"/>
    </row>
    <row r="7986" spans="15:30">
      <c r="O7986" s="1"/>
      <c r="P7986" s="1"/>
      <c r="Q7986" s="1"/>
      <c r="R7986" s="1"/>
      <c r="Z7986" s="103"/>
      <c r="AA7986" s="103"/>
      <c r="AB7986" s="1"/>
    </row>
    <row r="7987" spans="15:30">
      <c r="O7987" s="1"/>
      <c r="P7987" s="1"/>
      <c r="Q7987" s="1"/>
      <c r="R7987" s="1"/>
      <c r="Z7987" s="103"/>
      <c r="AA7987" s="103"/>
      <c r="AB7987" s="1"/>
    </row>
    <row r="7988" spans="15:30">
      <c r="O7988" s="1"/>
      <c r="P7988" s="1"/>
      <c r="Q7988" s="1"/>
      <c r="R7988" s="1"/>
      <c r="Z7988" s="103"/>
      <c r="AA7988" s="103"/>
      <c r="AB7988" s="1"/>
      <c r="AD7988" s="102"/>
    </row>
    <row r="7989" spans="15:30">
      <c r="O7989" s="1"/>
      <c r="P7989" s="1"/>
      <c r="Q7989" s="1"/>
      <c r="R7989" s="1"/>
      <c r="Z7989" s="103"/>
      <c r="AA7989" s="103"/>
      <c r="AB7989" s="1"/>
    </row>
    <row r="7990" spans="15:30">
      <c r="O7990" s="1"/>
      <c r="P7990" s="1"/>
      <c r="Q7990" s="1"/>
      <c r="R7990" s="1"/>
      <c r="Z7990" s="103"/>
      <c r="AA7990" s="103"/>
      <c r="AB7990" s="1"/>
    </row>
    <row r="7991" spans="15:30">
      <c r="O7991" s="1"/>
      <c r="P7991" s="1"/>
      <c r="Q7991" s="1"/>
      <c r="R7991" s="1"/>
      <c r="Z7991" s="103"/>
      <c r="AA7991" s="103"/>
      <c r="AB7991" s="1"/>
    </row>
    <row r="7992" spans="15:30">
      <c r="O7992" s="1"/>
      <c r="P7992" s="1"/>
      <c r="Q7992" s="1"/>
      <c r="R7992" s="1"/>
      <c r="Z7992" s="103"/>
      <c r="AA7992" s="103"/>
      <c r="AB7992" s="1"/>
    </row>
    <row r="7993" spans="15:30">
      <c r="O7993" s="1"/>
      <c r="P7993" s="1"/>
      <c r="Q7993" s="1"/>
      <c r="R7993" s="1"/>
      <c r="Z7993" s="103"/>
      <c r="AA7993" s="103"/>
      <c r="AB7993" s="1"/>
    </row>
    <row r="7994" spans="15:30">
      <c r="O7994" s="1"/>
      <c r="P7994" s="1"/>
      <c r="Q7994" s="1"/>
      <c r="R7994" s="1"/>
      <c r="Z7994" s="103"/>
      <c r="AA7994" s="103"/>
      <c r="AB7994" s="1"/>
    </row>
    <row r="7995" spans="15:30">
      <c r="O7995" s="1"/>
      <c r="P7995" s="1"/>
      <c r="Q7995" s="1"/>
      <c r="R7995" s="1"/>
      <c r="Z7995" s="103"/>
      <c r="AA7995" s="103"/>
      <c r="AB7995" s="1"/>
    </row>
    <row r="7996" spans="15:30">
      <c r="O7996" s="1"/>
      <c r="P7996" s="1"/>
      <c r="Q7996" s="1"/>
      <c r="R7996" s="1"/>
      <c r="Z7996" s="103"/>
      <c r="AA7996" s="103"/>
      <c r="AB7996" s="1"/>
    </row>
    <row r="7997" spans="15:30">
      <c r="O7997" s="1"/>
      <c r="P7997" s="1"/>
      <c r="Q7997" s="1"/>
      <c r="R7997" s="1"/>
      <c r="Z7997" s="103"/>
      <c r="AA7997" s="103"/>
      <c r="AB7997" s="1"/>
    </row>
    <row r="7998" spans="15:30">
      <c r="O7998" s="1"/>
      <c r="P7998" s="1"/>
      <c r="Q7998" s="1"/>
      <c r="R7998" s="1"/>
      <c r="Z7998" s="103"/>
      <c r="AA7998" s="103"/>
      <c r="AB7998" s="1"/>
    </row>
    <row r="7999" spans="15:30">
      <c r="O7999" s="1"/>
      <c r="P7999" s="1"/>
      <c r="Q7999" s="1"/>
      <c r="R7999" s="1"/>
      <c r="Z7999" s="103"/>
      <c r="AA7999" s="103"/>
      <c r="AB7999" s="1"/>
    </row>
    <row r="8000" spans="15:30">
      <c r="O8000" s="1"/>
      <c r="P8000" s="1"/>
      <c r="Q8000" s="1"/>
      <c r="R8000" s="1"/>
      <c r="Z8000" s="103"/>
      <c r="AA8000" s="103"/>
      <c r="AB8000" s="1"/>
    </row>
    <row r="8001" spans="15:28">
      <c r="O8001" s="1"/>
      <c r="P8001" s="1"/>
      <c r="Q8001" s="1"/>
      <c r="R8001" s="1"/>
      <c r="Z8001" s="103"/>
      <c r="AA8001" s="103"/>
      <c r="AB8001" s="1"/>
    </row>
    <row r="8002" spans="15:28">
      <c r="O8002" s="1"/>
      <c r="P8002" s="1"/>
      <c r="Q8002" s="1"/>
      <c r="R8002" s="1"/>
      <c r="Z8002" s="103"/>
      <c r="AA8002" s="103"/>
      <c r="AB8002" s="1"/>
    </row>
    <row r="8003" spans="15:28">
      <c r="O8003" s="1"/>
      <c r="P8003" s="1"/>
      <c r="Q8003" s="1"/>
      <c r="R8003" s="1"/>
      <c r="Z8003" s="103"/>
      <c r="AA8003" s="103"/>
      <c r="AB8003" s="1"/>
    </row>
    <row r="8004" spans="15:28">
      <c r="O8004" s="1"/>
      <c r="P8004" s="1"/>
      <c r="Q8004" s="1"/>
      <c r="R8004" s="1"/>
      <c r="Z8004" s="103"/>
      <c r="AA8004" s="103"/>
      <c r="AB8004" s="1"/>
    </row>
    <row r="8005" spans="15:28">
      <c r="O8005" s="1"/>
      <c r="P8005" s="1"/>
      <c r="Q8005" s="1"/>
      <c r="R8005" s="1"/>
      <c r="Z8005" s="103"/>
      <c r="AA8005" s="103"/>
      <c r="AB8005" s="1"/>
    </row>
    <row r="8006" spans="15:28">
      <c r="O8006" s="1"/>
      <c r="P8006" s="1"/>
      <c r="Q8006" s="1"/>
      <c r="R8006" s="1"/>
      <c r="Z8006" s="103"/>
      <c r="AA8006" s="103"/>
      <c r="AB8006" s="1"/>
    </row>
    <row r="8007" spans="15:28">
      <c r="O8007" s="1"/>
      <c r="P8007" s="1"/>
      <c r="Q8007" s="1"/>
      <c r="R8007" s="1"/>
      <c r="Z8007" s="103"/>
      <c r="AA8007" s="103"/>
      <c r="AB8007" s="1"/>
    </row>
    <row r="8008" spans="15:28">
      <c r="O8008" s="1"/>
      <c r="P8008" s="1"/>
      <c r="Q8008" s="1"/>
      <c r="R8008" s="1"/>
      <c r="Z8008" s="103"/>
      <c r="AA8008" s="103"/>
      <c r="AB8008" s="1"/>
    </row>
    <row r="8009" spans="15:28">
      <c r="O8009" s="1"/>
      <c r="P8009" s="1"/>
      <c r="Q8009" s="1"/>
      <c r="R8009" s="1"/>
      <c r="Z8009" s="103"/>
      <c r="AA8009" s="103"/>
      <c r="AB8009" s="1"/>
    </row>
    <row r="8010" spans="15:28">
      <c r="O8010" s="1"/>
      <c r="P8010" s="1"/>
      <c r="Q8010" s="1"/>
      <c r="R8010" s="1"/>
      <c r="Z8010" s="103"/>
      <c r="AA8010" s="103"/>
      <c r="AB8010" s="1"/>
    </row>
    <row r="8011" spans="15:28">
      <c r="O8011" s="1"/>
      <c r="P8011" s="1"/>
      <c r="Q8011" s="1"/>
      <c r="R8011" s="1"/>
      <c r="Z8011" s="103"/>
      <c r="AA8011" s="103"/>
      <c r="AB8011" s="1"/>
    </row>
    <row r="8012" spans="15:28">
      <c r="O8012" s="1"/>
      <c r="P8012" s="1"/>
      <c r="Q8012" s="1"/>
      <c r="R8012" s="1"/>
      <c r="Z8012" s="103"/>
      <c r="AA8012" s="103"/>
      <c r="AB8012" s="1"/>
    </row>
    <row r="8013" spans="15:28">
      <c r="O8013" s="1"/>
      <c r="P8013" s="1"/>
      <c r="Q8013" s="1"/>
      <c r="R8013" s="1"/>
      <c r="Z8013" s="103"/>
      <c r="AA8013" s="103"/>
      <c r="AB8013" s="1"/>
    </row>
    <row r="8014" spans="15:28">
      <c r="O8014" s="1"/>
      <c r="P8014" s="1"/>
      <c r="Q8014" s="1"/>
      <c r="R8014" s="1"/>
      <c r="Z8014" s="103"/>
      <c r="AA8014" s="103"/>
      <c r="AB8014" s="1"/>
    </row>
    <row r="8015" spans="15:28">
      <c r="O8015" s="1"/>
      <c r="P8015" s="1"/>
      <c r="Q8015" s="1"/>
      <c r="R8015" s="1"/>
      <c r="Z8015" s="103"/>
      <c r="AA8015" s="103"/>
      <c r="AB8015" s="1"/>
    </row>
    <row r="8016" spans="15:28">
      <c r="O8016" s="1"/>
      <c r="P8016" s="1"/>
      <c r="Q8016" s="1"/>
      <c r="R8016" s="1"/>
      <c r="Z8016" s="103"/>
      <c r="AA8016" s="103"/>
      <c r="AB8016" s="1"/>
    </row>
    <row r="8017" spans="15:28">
      <c r="O8017" s="1"/>
      <c r="P8017" s="1"/>
      <c r="Q8017" s="1"/>
      <c r="R8017" s="1"/>
      <c r="Z8017" s="103"/>
      <c r="AA8017" s="103"/>
      <c r="AB8017" s="1"/>
    </row>
    <row r="8018" spans="15:28">
      <c r="O8018" s="1"/>
      <c r="P8018" s="1"/>
      <c r="Q8018" s="1"/>
      <c r="R8018" s="1"/>
      <c r="Z8018" s="103"/>
      <c r="AA8018" s="103"/>
      <c r="AB8018" s="1"/>
    </row>
    <row r="8019" spans="15:28">
      <c r="O8019" s="1"/>
      <c r="P8019" s="1"/>
      <c r="Q8019" s="1"/>
      <c r="R8019" s="1"/>
      <c r="Z8019" s="103"/>
      <c r="AA8019" s="103"/>
      <c r="AB8019" s="1"/>
    </row>
    <row r="8020" spans="15:28">
      <c r="O8020" s="1"/>
      <c r="P8020" s="1"/>
      <c r="Q8020" s="1"/>
      <c r="R8020" s="1"/>
      <c r="Z8020" s="103"/>
      <c r="AA8020" s="103"/>
      <c r="AB8020" s="1"/>
    </row>
    <row r="8021" spans="15:28">
      <c r="O8021" s="1"/>
      <c r="P8021" s="1"/>
      <c r="Q8021" s="1"/>
      <c r="R8021" s="1"/>
      <c r="Z8021" s="103"/>
      <c r="AA8021" s="103"/>
      <c r="AB8021" s="1"/>
    </row>
    <row r="8022" spans="15:28">
      <c r="O8022" s="1"/>
      <c r="P8022" s="1"/>
      <c r="Q8022" s="1"/>
      <c r="R8022" s="1"/>
      <c r="Z8022" s="103"/>
      <c r="AA8022" s="103"/>
      <c r="AB8022" s="1"/>
    </row>
    <row r="8023" spans="15:28">
      <c r="O8023" s="1"/>
      <c r="P8023" s="1"/>
      <c r="Q8023" s="1"/>
      <c r="R8023" s="1"/>
      <c r="Z8023" s="103"/>
      <c r="AA8023" s="103"/>
      <c r="AB8023" s="1"/>
    </row>
    <row r="8024" spans="15:28">
      <c r="O8024" s="1"/>
      <c r="P8024" s="1"/>
      <c r="Q8024" s="1"/>
      <c r="R8024" s="1"/>
      <c r="Z8024" s="103"/>
      <c r="AA8024" s="103"/>
      <c r="AB8024" s="1"/>
    </row>
    <row r="8025" spans="15:28">
      <c r="O8025" s="1"/>
      <c r="P8025" s="1"/>
      <c r="Q8025" s="1"/>
      <c r="R8025" s="1"/>
      <c r="Z8025" s="103"/>
      <c r="AA8025" s="103"/>
      <c r="AB8025" s="1"/>
    </row>
    <row r="8026" spans="15:28">
      <c r="O8026" s="1"/>
      <c r="P8026" s="1"/>
      <c r="Q8026" s="1"/>
      <c r="R8026" s="1"/>
      <c r="Z8026" s="103"/>
      <c r="AA8026" s="103"/>
      <c r="AB8026" s="1"/>
    </row>
    <row r="8027" spans="15:28">
      <c r="O8027" s="1"/>
      <c r="P8027" s="1"/>
      <c r="Q8027" s="1"/>
      <c r="R8027" s="1"/>
      <c r="Z8027" s="103"/>
      <c r="AA8027" s="103"/>
      <c r="AB8027" s="1"/>
    </row>
    <row r="8028" spans="15:28">
      <c r="O8028" s="1"/>
      <c r="P8028" s="1"/>
      <c r="Q8028" s="1"/>
      <c r="R8028" s="1"/>
      <c r="Z8028" s="103"/>
      <c r="AA8028" s="103"/>
      <c r="AB8028" s="1"/>
    </row>
    <row r="8029" spans="15:28">
      <c r="O8029" s="1"/>
      <c r="P8029" s="1"/>
      <c r="Q8029" s="1"/>
      <c r="R8029" s="1"/>
      <c r="Z8029" s="103"/>
      <c r="AA8029" s="103"/>
      <c r="AB8029" s="1"/>
    </row>
    <row r="8030" spans="15:28">
      <c r="O8030" s="1"/>
      <c r="P8030" s="1"/>
      <c r="Q8030" s="1"/>
      <c r="R8030" s="1"/>
      <c r="Z8030" s="103"/>
      <c r="AA8030" s="103"/>
      <c r="AB8030" s="1"/>
    </row>
    <row r="8031" spans="15:28">
      <c r="O8031" s="1"/>
      <c r="P8031" s="1"/>
      <c r="Q8031" s="1"/>
      <c r="R8031" s="1"/>
      <c r="Z8031" s="103"/>
      <c r="AA8031" s="103"/>
      <c r="AB8031" s="1"/>
    </row>
    <row r="8032" spans="15:28">
      <c r="O8032" s="1"/>
      <c r="P8032" s="1"/>
      <c r="Q8032" s="1"/>
      <c r="R8032" s="1"/>
      <c r="Z8032" s="103"/>
      <c r="AA8032" s="103"/>
      <c r="AB8032" s="1"/>
    </row>
    <row r="8033" spans="15:30">
      <c r="O8033" s="1"/>
      <c r="P8033" s="1"/>
      <c r="Q8033" s="1"/>
      <c r="R8033" s="1"/>
      <c r="Z8033" s="103"/>
      <c r="AA8033" s="103"/>
      <c r="AB8033" s="1"/>
    </row>
    <row r="8034" spans="15:30">
      <c r="O8034" s="1"/>
      <c r="P8034" s="1"/>
      <c r="Q8034" s="1"/>
      <c r="R8034" s="1"/>
      <c r="Z8034" s="103"/>
      <c r="AA8034" s="103"/>
      <c r="AB8034" s="1"/>
    </row>
    <row r="8035" spans="15:30">
      <c r="O8035" s="1"/>
      <c r="P8035" s="1"/>
      <c r="Q8035" s="1"/>
      <c r="R8035" s="1"/>
      <c r="Z8035" s="103"/>
      <c r="AA8035" s="103"/>
      <c r="AB8035" s="1"/>
    </row>
    <row r="8036" spans="15:30">
      <c r="O8036" s="1"/>
      <c r="P8036" s="1"/>
      <c r="Q8036" s="1"/>
      <c r="R8036" s="1"/>
      <c r="Z8036" s="103"/>
      <c r="AA8036" s="103"/>
      <c r="AB8036" s="1"/>
    </row>
    <row r="8037" spans="15:30">
      <c r="O8037" s="1"/>
      <c r="P8037" s="1"/>
      <c r="Q8037" s="1"/>
      <c r="R8037" s="1"/>
      <c r="Z8037" s="103"/>
      <c r="AA8037" s="103"/>
      <c r="AB8037" s="1"/>
    </row>
    <row r="8038" spans="15:30">
      <c r="O8038" s="1"/>
      <c r="P8038" s="1"/>
      <c r="Q8038" s="1"/>
      <c r="R8038" s="1"/>
      <c r="Z8038" s="103"/>
      <c r="AA8038" s="103"/>
      <c r="AB8038" s="1"/>
    </row>
    <row r="8039" spans="15:30">
      <c r="O8039" s="1"/>
      <c r="P8039" s="1"/>
      <c r="Q8039" s="1"/>
      <c r="R8039" s="1"/>
      <c r="Z8039" s="103"/>
      <c r="AA8039" s="103"/>
      <c r="AB8039" s="1"/>
    </row>
    <row r="8040" spans="15:30">
      <c r="O8040" s="1"/>
      <c r="P8040" s="1"/>
      <c r="Q8040" s="1"/>
      <c r="R8040" s="1"/>
      <c r="Z8040" s="103"/>
      <c r="AA8040" s="103"/>
      <c r="AB8040" s="1"/>
    </row>
    <row r="8041" spans="15:30">
      <c r="O8041" s="1"/>
      <c r="P8041" s="1"/>
      <c r="Q8041" s="1"/>
      <c r="R8041" s="1"/>
      <c r="Z8041" s="103"/>
      <c r="AA8041" s="103"/>
      <c r="AB8041" s="1"/>
    </row>
    <row r="8042" spans="15:30">
      <c r="O8042" s="1"/>
      <c r="P8042" s="1"/>
      <c r="Q8042" s="1"/>
      <c r="R8042" s="1"/>
      <c r="Z8042" s="103"/>
      <c r="AA8042" s="103"/>
      <c r="AB8042" s="1"/>
    </row>
    <row r="8043" spans="15:30">
      <c r="O8043" s="1"/>
      <c r="P8043" s="1"/>
      <c r="Q8043" s="1"/>
      <c r="R8043" s="1"/>
      <c r="Z8043" s="103"/>
      <c r="AA8043" s="103"/>
      <c r="AB8043" s="1"/>
    </row>
    <row r="8044" spans="15:30">
      <c r="O8044" s="1"/>
      <c r="P8044" s="1"/>
      <c r="Q8044" s="1"/>
      <c r="R8044" s="1"/>
      <c r="Z8044" s="103"/>
      <c r="AA8044" s="103"/>
      <c r="AB8044" s="1"/>
      <c r="AD8044" s="102"/>
    </row>
    <row r="8045" spans="15:30">
      <c r="O8045" s="1"/>
      <c r="P8045" s="1"/>
      <c r="Q8045" s="1"/>
      <c r="R8045" s="1"/>
      <c r="Z8045" s="103"/>
      <c r="AA8045" s="103"/>
      <c r="AB8045" s="1"/>
      <c r="AD8045" s="102"/>
    </row>
    <row r="8046" spans="15:30">
      <c r="O8046" s="1"/>
      <c r="P8046" s="1"/>
      <c r="Q8046" s="1"/>
      <c r="R8046" s="1"/>
      <c r="Z8046" s="103"/>
      <c r="AA8046" s="103"/>
      <c r="AB8046" s="1"/>
    </row>
    <row r="8047" spans="15:30">
      <c r="O8047" s="1"/>
      <c r="P8047" s="1"/>
      <c r="Q8047" s="1"/>
      <c r="R8047" s="1"/>
      <c r="Z8047" s="103"/>
      <c r="AA8047" s="103"/>
      <c r="AB8047" s="1"/>
    </row>
    <row r="8048" spans="15:30">
      <c r="O8048" s="1"/>
      <c r="P8048" s="1"/>
      <c r="Q8048" s="1"/>
      <c r="R8048" s="1"/>
      <c r="Z8048" s="103"/>
      <c r="AA8048" s="103"/>
      <c r="AB8048" s="1"/>
    </row>
    <row r="8049" spans="15:28">
      <c r="O8049" s="1"/>
      <c r="P8049" s="1"/>
      <c r="Q8049" s="1"/>
      <c r="R8049" s="1"/>
      <c r="Z8049" s="103"/>
      <c r="AA8049" s="103"/>
      <c r="AB8049" s="1"/>
    </row>
    <row r="8050" spans="15:28">
      <c r="O8050" s="1"/>
      <c r="P8050" s="1"/>
      <c r="Q8050" s="1"/>
      <c r="R8050" s="1"/>
      <c r="Z8050" s="103"/>
      <c r="AA8050" s="103"/>
      <c r="AB8050" s="1"/>
    </row>
    <row r="8051" spans="15:28">
      <c r="O8051" s="1"/>
      <c r="P8051" s="1"/>
      <c r="Q8051" s="1"/>
      <c r="R8051" s="1"/>
      <c r="Z8051" s="103"/>
      <c r="AA8051" s="103"/>
      <c r="AB8051" s="1"/>
    </row>
    <row r="8052" spans="15:28">
      <c r="O8052" s="1"/>
      <c r="P8052" s="1"/>
      <c r="Q8052" s="1"/>
      <c r="R8052" s="1"/>
      <c r="Z8052" s="103"/>
      <c r="AA8052" s="103"/>
      <c r="AB8052" s="1"/>
    </row>
    <row r="8053" spans="15:28">
      <c r="O8053" s="1"/>
      <c r="P8053" s="1"/>
      <c r="Q8053" s="1"/>
      <c r="R8053" s="1"/>
      <c r="Z8053" s="103"/>
      <c r="AA8053" s="103"/>
      <c r="AB8053" s="1"/>
    </row>
    <row r="8054" spans="15:28">
      <c r="O8054" s="1"/>
      <c r="P8054" s="1"/>
      <c r="Q8054" s="1"/>
      <c r="R8054" s="1"/>
      <c r="Z8054" s="103"/>
      <c r="AA8054" s="103"/>
      <c r="AB8054" s="1"/>
    </row>
    <row r="8055" spans="15:28">
      <c r="O8055" s="1"/>
      <c r="P8055" s="1"/>
      <c r="Q8055" s="1"/>
      <c r="R8055" s="1"/>
      <c r="Z8055" s="103"/>
      <c r="AA8055" s="103"/>
      <c r="AB8055" s="1"/>
    </row>
    <row r="8056" spans="15:28">
      <c r="O8056" s="1"/>
      <c r="P8056" s="1"/>
      <c r="Q8056" s="1"/>
      <c r="R8056" s="1"/>
      <c r="Z8056" s="103"/>
      <c r="AA8056" s="103"/>
      <c r="AB8056" s="1"/>
    </row>
    <row r="8057" spans="15:28">
      <c r="O8057" s="1"/>
      <c r="P8057" s="1"/>
      <c r="Q8057" s="1"/>
      <c r="R8057" s="1"/>
      <c r="Z8057" s="103"/>
      <c r="AA8057" s="103"/>
      <c r="AB8057" s="1"/>
    </row>
    <row r="8058" spans="15:28">
      <c r="O8058" s="1"/>
      <c r="P8058" s="1"/>
      <c r="Q8058" s="1"/>
      <c r="R8058" s="1"/>
      <c r="Z8058" s="103"/>
      <c r="AA8058" s="103"/>
      <c r="AB8058" s="1"/>
    </row>
    <row r="8059" spans="15:28">
      <c r="O8059" s="1"/>
      <c r="P8059" s="1"/>
      <c r="Q8059" s="1"/>
      <c r="R8059" s="1"/>
      <c r="Z8059" s="103"/>
      <c r="AA8059" s="103"/>
      <c r="AB8059" s="1"/>
    </row>
    <row r="8060" spans="15:28">
      <c r="O8060" s="1"/>
      <c r="P8060" s="1"/>
      <c r="Q8060" s="1"/>
      <c r="R8060" s="1"/>
      <c r="Z8060" s="103"/>
      <c r="AA8060" s="103"/>
      <c r="AB8060" s="1"/>
    </row>
    <row r="8061" spans="15:28">
      <c r="O8061" s="1"/>
      <c r="P8061" s="1"/>
      <c r="Q8061" s="1"/>
      <c r="R8061" s="1"/>
      <c r="Z8061" s="103"/>
      <c r="AA8061" s="103"/>
      <c r="AB8061" s="1"/>
    </row>
    <row r="8062" spans="15:28">
      <c r="O8062" s="1"/>
      <c r="P8062" s="1"/>
      <c r="Q8062" s="1"/>
      <c r="R8062" s="1"/>
      <c r="Z8062" s="103"/>
      <c r="AA8062" s="103"/>
      <c r="AB8062" s="1"/>
    </row>
    <row r="8063" spans="15:28">
      <c r="O8063" s="1"/>
      <c r="P8063" s="1"/>
      <c r="Q8063" s="1"/>
      <c r="R8063" s="1"/>
      <c r="Z8063" s="103"/>
      <c r="AA8063" s="103"/>
      <c r="AB8063" s="1"/>
    </row>
    <row r="8064" spans="15:28">
      <c r="O8064" s="1"/>
      <c r="P8064" s="1"/>
      <c r="Q8064" s="1"/>
      <c r="R8064" s="1"/>
      <c r="Z8064" s="103"/>
      <c r="AA8064" s="103"/>
      <c r="AB8064" s="1"/>
    </row>
    <row r="8065" spans="15:30">
      <c r="O8065" s="1"/>
      <c r="P8065" s="1"/>
      <c r="Q8065" s="1"/>
      <c r="R8065" s="1"/>
      <c r="Z8065" s="103"/>
      <c r="AA8065" s="103"/>
      <c r="AB8065" s="1"/>
    </row>
    <row r="8066" spans="15:30">
      <c r="O8066" s="1"/>
      <c r="P8066" s="1"/>
      <c r="Q8066" s="1"/>
      <c r="R8066" s="1"/>
      <c r="Z8066" s="103"/>
      <c r="AA8066" s="103"/>
      <c r="AB8066" s="1"/>
    </row>
    <row r="8067" spans="15:30">
      <c r="O8067" s="1"/>
      <c r="P8067" s="1"/>
      <c r="Q8067" s="1"/>
      <c r="R8067" s="1"/>
      <c r="Z8067" s="103"/>
      <c r="AA8067" s="103"/>
      <c r="AB8067" s="1"/>
    </row>
    <row r="8068" spans="15:30">
      <c r="O8068" s="1"/>
      <c r="P8068" s="1"/>
      <c r="Q8068" s="1"/>
      <c r="R8068" s="1"/>
      <c r="Z8068" s="103"/>
      <c r="AA8068" s="103"/>
      <c r="AB8068" s="1"/>
    </row>
    <row r="8069" spans="15:30">
      <c r="O8069" s="1"/>
      <c r="P8069" s="1"/>
      <c r="Q8069" s="1"/>
      <c r="R8069" s="1"/>
      <c r="Z8069" s="103"/>
      <c r="AA8069" s="103"/>
      <c r="AB8069" s="1"/>
    </row>
    <row r="8070" spans="15:30">
      <c r="O8070" s="1"/>
      <c r="P8070" s="1"/>
      <c r="Q8070" s="1"/>
      <c r="R8070" s="1"/>
      <c r="Z8070" s="103"/>
      <c r="AA8070" s="103"/>
      <c r="AB8070" s="1"/>
    </row>
    <row r="8071" spans="15:30">
      <c r="O8071" s="1"/>
      <c r="P8071" s="1"/>
      <c r="Q8071" s="1"/>
      <c r="R8071" s="1"/>
      <c r="Z8071" s="103"/>
      <c r="AA8071" s="103"/>
      <c r="AB8071" s="1"/>
    </row>
    <row r="8072" spans="15:30">
      <c r="O8072" s="1"/>
      <c r="P8072" s="1"/>
      <c r="Q8072" s="1"/>
      <c r="R8072" s="1"/>
      <c r="Z8072" s="103"/>
      <c r="AA8072" s="103"/>
      <c r="AB8072" s="1"/>
      <c r="AD8072" s="102"/>
    </row>
    <row r="8073" spans="15:30">
      <c r="O8073" s="1"/>
      <c r="P8073" s="1"/>
      <c r="Q8073" s="1"/>
      <c r="R8073" s="1"/>
      <c r="Z8073" s="103"/>
      <c r="AA8073" s="103"/>
      <c r="AB8073" s="1"/>
    </row>
    <row r="8074" spans="15:30">
      <c r="O8074" s="1"/>
      <c r="P8074" s="1"/>
      <c r="Q8074" s="1"/>
      <c r="R8074" s="1"/>
      <c r="Z8074" s="103"/>
      <c r="AA8074" s="103"/>
      <c r="AB8074" s="1"/>
    </row>
    <row r="8075" spans="15:30">
      <c r="O8075" s="1"/>
      <c r="P8075" s="1"/>
      <c r="Q8075" s="1"/>
      <c r="R8075" s="1"/>
      <c r="Z8075" s="103"/>
      <c r="AA8075" s="103"/>
      <c r="AB8075" s="1"/>
    </row>
    <row r="8076" spans="15:30">
      <c r="O8076" s="1"/>
      <c r="P8076" s="1"/>
      <c r="Q8076" s="1"/>
      <c r="R8076" s="1"/>
      <c r="Z8076" s="103"/>
      <c r="AA8076" s="103"/>
      <c r="AB8076" s="1"/>
    </row>
    <row r="8077" spans="15:30">
      <c r="O8077" s="1"/>
      <c r="P8077" s="1"/>
      <c r="Q8077" s="1"/>
      <c r="R8077" s="1"/>
      <c r="Z8077" s="103"/>
      <c r="AA8077" s="103"/>
      <c r="AB8077" s="1"/>
    </row>
    <row r="8078" spans="15:30">
      <c r="O8078" s="1"/>
      <c r="P8078" s="1"/>
      <c r="Q8078" s="1"/>
      <c r="R8078" s="1"/>
      <c r="Z8078" s="103"/>
      <c r="AA8078" s="103"/>
      <c r="AB8078" s="1"/>
    </row>
    <row r="8079" spans="15:30">
      <c r="O8079" s="1"/>
      <c r="P8079" s="1"/>
      <c r="Q8079" s="1"/>
      <c r="R8079" s="1"/>
      <c r="Z8079" s="103"/>
      <c r="AA8079" s="103"/>
      <c r="AB8079" s="1"/>
    </row>
    <row r="8080" spans="15:30">
      <c r="O8080" s="1"/>
      <c r="P8080" s="1"/>
      <c r="Q8080" s="1"/>
      <c r="R8080" s="1"/>
      <c r="Z8080" s="103"/>
      <c r="AA8080" s="103"/>
      <c r="AB8080" s="1"/>
    </row>
    <row r="8081" spans="15:30">
      <c r="O8081" s="1"/>
      <c r="P8081" s="1"/>
      <c r="Q8081" s="1"/>
      <c r="R8081" s="1"/>
      <c r="Z8081" s="103"/>
      <c r="AA8081" s="103"/>
      <c r="AB8081" s="1"/>
    </row>
    <row r="8082" spans="15:30">
      <c r="O8082" s="1"/>
      <c r="P8082" s="1"/>
      <c r="Q8082" s="1"/>
      <c r="R8082" s="1"/>
      <c r="Z8082" s="103"/>
      <c r="AA8082" s="103"/>
      <c r="AB8082" s="1"/>
      <c r="AD8082" s="102"/>
    </row>
    <row r="8083" spans="15:30">
      <c r="O8083" s="1"/>
      <c r="P8083" s="1"/>
      <c r="Q8083" s="1"/>
      <c r="R8083" s="1"/>
      <c r="Z8083" s="103"/>
      <c r="AA8083" s="103"/>
      <c r="AB8083" s="1"/>
    </row>
    <row r="8084" spans="15:30">
      <c r="O8084" s="1"/>
      <c r="P8084" s="1"/>
      <c r="Q8084" s="1"/>
      <c r="R8084" s="1"/>
      <c r="Z8084" s="103"/>
      <c r="AA8084" s="103"/>
      <c r="AB8084" s="1"/>
    </row>
    <row r="8085" spans="15:30">
      <c r="O8085" s="1"/>
      <c r="P8085" s="1"/>
      <c r="Q8085" s="1"/>
      <c r="R8085" s="1"/>
      <c r="Z8085" s="103"/>
      <c r="AA8085" s="103"/>
      <c r="AB8085" s="1"/>
    </row>
    <row r="8086" spans="15:30">
      <c r="O8086" s="1"/>
      <c r="P8086" s="1"/>
      <c r="Q8086" s="1"/>
      <c r="R8086" s="1"/>
      <c r="Z8086" s="103"/>
      <c r="AA8086" s="103"/>
      <c r="AB8086" s="1"/>
    </row>
    <row r="8087" spans="15:30">
      <c r="O8087" s="1"/>
      <c r="P8087" s="1"/>
      <c r="Q8087" s="1"/>
      <c r="R8087" s="1"/>
      <c r="Z8087" s="103"/>
      <c r="AA8087" s="103"/>
      <c r="AB8087" s="1"/>
    </row>
    <row r="8088" spans="15:30">
      <c r="O8088" s="1"/>
      <c r="P8088" s="1"/>
      <c r="Q8088" s="1"/>
      <c r="R8088" s="1"/>
      <c r="Z8088" s="103"/>
      <c r="AA8088" s="103"/>
      <c r="AB8088" s="1"/>
    </row>
    <row r="8089" spans="15:30">
      <c r="O8089" s="1"/>
      <c r="P8089" s="1"/>
      <c r="Q8089" s="1"/>
      <c r="R8089" s="1"/>
      <c r="Z8089" s="103"/>
      <c r="AA8089" s="103"/>
      <c r="AB8089" s="1"/>
    </row>
    <row r="8090" spans="15:30">
      <c r="O8090" s="1"/>
      <c r="P8090" s="1"/>
      <c r="Q8090" s="1"/>
      <c r="R8090" s="1"/>
      <c r="Z8090" s="103"/>
      <c r="AA8090" s="103"/>
      <c r="AB8090" s="1"/>
    </row>
    <row r="8091" spans="15:30">
      <c r="O8091" s="1"/>
      <c r="P8091" s="1"/>
      <c r="Q8091" s="1"/>
      <c r="R8091" s="1"/>
      <c r="Z8091" s="103"/>
      <c r="AA8091" s="103"/>
      <c r="AB8091" s="1"/>
    </row>
    <row r="8092" spans="15:30">
      <c r="O8092" s="1"/>
      <c r="P8092" s="1"/>
      <c r="Q8092" s="1"/>
      <c r="R8092" s="1"/>
      <c r="Z8092" s="103"/>
      <c r="AA8092" s="103"/>
      <c r="AB8092" s="1"/>
    </row>
    <row r="8093" spans="15:30">
      <c r="O8093" s="1"/>
      <c r="P8093" s="1"/>
      <c r="Q8093" s="1"/>
      <c r="R8093" s="1"/>
      <c r="Z8093" s="103"/>
      <c r="AA8093" s="103"/>
      <c r="AB8093" s="1"/>
    </row>
    <row r="8094" spans="15:30">
      <c r="O8094" s="1"/>
      <c r="P8094" s="1"/>
      <c r="Q8094" s="1"/>
      <c r="R8094" s="1"/>
      <c r="Z8094" s="103"/>
      <c r="AA8094" s="103"/>
      <c r="AB8094" s="1"/>
    </row>
    <row r="8095" spans="15:30">
      <c r="O8095" s="1"/>
      <c r="P8095" s="1"/>
      <c r="Q8095" s="1"/>
      <c r="R8095" s="1"/>
      <c r="Z8095" s="103"/>
      <c r="AA8095" s="103"/>
      <c r="AB8095" s="1"/>
    </row>
    <row r="8096" spans="15:30">
      <c r="O8096" s="1"/>
      <c r="P8096" s="1"/>
      <c r="Q8096" s="1"/>
      <c r="R8096" s="1"/>
      <c r="Z8096" s="103"/>
      <c r="AA8096" s="103"/>
      <c r="AB8096" s="1"/>
    </row>
    <row r="8097" spans="15:28">
      <c r="O8097" s="1"/>
      <c r="P8097" s="1"/>
      <c r="Q8097" s="1"/>
      <c r="R8097" s="1"/>
      <c r="Z8097" s="103"/>
      <c r="AA8097" s="103"/>
      <c r="AB8097" s="1"/>
    </row>
    <row r="8098" spans="15:28">
      <c r="O8098" s="1"/>
      <c r="P8098" s="1"/>
      <c r="Q8098" s="1"/>
      <c r="R8098" s="1"/>
      <c r="Z8098" s="103"/>
      <c r="AA8098" s="103"/>
      <c r="AB8098" s="1"/>
    </row>
    <row r="8099" spans="15:28">
      <c r="O8099" s="1"/>
      <c r="P8099" s="1"/>
      <c r="Q8099" s="1"/>
      <c r="R8099" s="1"/>
      <c r="Z8099" s="103"/>
      <c r="AA8099" s="103"/>
      <c r="AB8099" s="1"/>
    </row>
    <row r="8100" spans="15:28">
      <c r="O8100" s="1"/>
      <c r="P8100" s="1"/>
      <c r="Q8100" s="1"/>
      <c r="R8100" s="1"/>
      <c r="Z8100" s="103"/>
      <c r="AA8100" s="103"/>
      <c r="AB8100" s="1"/>
    </row>
    <row r="8101" spans="15:28">
      <c r="O8101" s="1"/>
      <c r="P8101" s="1"/>
      <c r="Q8101" s="1"/>
      <c r="R8101" s="1"/>
      <c r="Z8101" s="103"/>
      <c r="AA8101" s="103"/>
      <c r="AB8101" s="1"/>
    </row>
    <row r="8102" spans="15:28">
      <c r="O8102" s="1"/>
      <c r="P8102" s="1"/>
      <c r="Q8102" s="1"/>
      <c r="R8102" s="1"/>
      <c r="Z8102" s="103"/>
      <c r="AA8102" s="103"/>
      <c r="AB8102" s="1"/>
    </row>
    <row r="8103" spans="15:28">
      <c r="O8103" s="1"/>
      <c r="P8103" s="1"/>
      <c r="Q8103" s="1"/>
      <c r="R8103" s="1"/>
      <c r="Z8103" s="103"/>
      <c r="AA8103" s="103"/>
      <c r="AB8103" s="1"/>
    </row>
    <row r="8104" spans="15:28">
      <c r="O8104" s="1"/>
      <c r="P8104" s="1"/>
      <c r="Q8104" s="1"/>
      <c r="R8104" s="1"/>
      <c r="Z8104" s="103"/>
      <c r="AA8104" s="103"/>
      <c r="AB8104" s="1"/>
    </row>
    <row r="8105" spans="15:28">
      <c r="O8105" s="1"/>
      <c r="P8105" s="1"/>
      <c r="Q8105" s="1"/>
      <c r="R8105" s="1"/>
      <c r="Z8105" s="103"/>
      <c r="AA8105" s="103"/>
      <c r="AB8105" s="1"/>
    </row>
    <row r="8106" spans="15:28">
      <c r="O8106" s="1"/>
      <c r="P8106" s="1"/>
      <c r="Q8106" s="1"/>
      <c r="R8106" s="1"/>
      <c r="Z8106" s="103"/>
      <c r="AA8106" s="103"/>
      <c r="AB8106" s="1"/>
    </row>
    <row r="8107" spans="15:28">
      <c r="O8107" s="1"/>
      <c r="P8107" s="1"/>
      <c r="Q8107" s="1"/>
      <c r="R8107" s="1"/>
      <c r="Z8107" s="103"/>
      <c r="AA8107" s="103"/>
      <c r="AB8107" s="1"/>
    </row>
    <row r="8108" spans="15:28">
      <c r="O8108" s="1"/>
      <c r="P8108" s="1"/>
      <c r="Q8108" s="1"/>
      <c r="R8108" s="1"/>
      <c r="Z8108" s="103"/>
      <c r="AA8108" s="103"/>
      <c r="AB8108" s="1"/>
    </row>
    <row r="8109" spans="15:28">
      <c r="O8109" s="1"/>
      <c r="P8109" s="1"/>
      <c r="Q8109" s="1"/>
      <c r="R8109" s="1"/>
      <c r="Z8109" s="103"/>
      <c r="AA8109" s="103"/>
      <c r="AB8109" s="1"/>
    </row>
    <row r="8110" spans="15:28">
      <c r="O8110" s="1"/>
      <c r="P8110" s="1"/>
      <c r="Q8110" s="1"/>
      <c r="R8110" s="1"/>
      <c r="Z8110" s="103"/>
      <c r="AA8110" s="103"/>
      <c r="AB8110" s="1"/>
    </row>
    <row r="8111" spans="15:28">
      <c r="O8111" s="1"/>
      <c r="P8111" s="1"/>
      <c r="Q8111" s="1"/>
      <c r="R8111" s="1"/>
      <c r="Z8111" s="103"/>
      <c r="AA8111" s="103"/>
      <c r="AB8111" s="1"/>
    </row>
    <row r="8112" spans="15:28">
      <c r="O8112" s="1"/>
      <c r="P8112" s="1"/>
      <c r="Q8112" s="1"/>
      <c r="R8112" s="1"/>
      <c r="Z8112" s="103"/>
      <c r="AA8112" s="103"/>
      <c r="AB8112" s="1"/>
    </row>
    <row r="8113" spans="15:28">
      <c r="O8113" s="1"/>
      <c r="P8113" s="1"/>
      <c r="Q8113" s="1"/>
      <c r="R8113" s="1"/>
      <c r="Z8113" s="103"/>
      <c r="AA8113" s="103"/>
      <c r="AB8113" s="1"/>
    </row>
    <row r="8114" spans="15:28">
      <c r="O8114" s="1"/>
      <c r="P8114" s="1"/>
      <c r="Q8114" s="1"/>
      <c r="R8114" s="1"/>
      <c r="Z8114" s="103"/>
      <c r="AA8114" s="103"/>
      <c r="AB8114" s="1"/>
    </row>
    <row r="8115" spans="15:28">
      <c r="O8115" s="1"/>
      <c r="P8115" s="1"/>
      <c r="Q8115" s="1"/>
      <c r="R8115" s="1"/>
      <c r="Z8115" s="103"/>
      <c r="AA8115" s="103"/>
      <c r="AB8115" s="1"/>
    </row>
    <row r="8116" spans="15:28">
      <c r="O8116" s="1"/>
      <c r="P8116" s="1"/>
      <c r="Q8116" s="1"/>
      <c r="R8116" s="1"/>
      <c r="Z8116" s="103"/>
      <c r="AA8116" s="103"/>
      <c r="AB8116" s="1"/>
    </row>
    <row r="8117" spans="15:28">
      <c r="O8117" s="1"/>
      <c r="P8117" s="1"/>
      <c r="Q8117" s="1"/>
      <c r="R8117" s="1"/>
      <c r="Z8117" s="103"/>
      <c r="AA8117" s="103"/>
      <c r="AB8117" s="1"/>
    </row>
    <row r="8118" spans="15:28">
      <c r="O8118" s="1"/>
      <c r="P8118" s="1"/>
      <c r="Q8118" s="1"/>
      <c r="R8118" s="1"/>
      <c r="Z8118" s="103"/>
      <c r="AA8118" s="103"/>
      <c r="AB8118" s="1"/>
    </row>
    <row r="8119" spans="15:28">
      <c r="O8119" s="1"/>
      <c r="P8119" s="1"/>
      <c r="Q8119" s="1"/>
      <c r="R8119" s="1"/>
      <c r="Z8119" s="103"/>
      <c r="AA8119" s="103"/>
      <c r="AB8119" s="1"/>
    </row>
    <row r="8120" spans="15:28">
      <c r="O8120" s="1"/>
      <c r="P8120" s="1"/>
      <c r="Q8120" s="1"/>
      <c r="R8120" s="1"/>
      <c r="Z8120" s="103"/>
      <c r="AA8120" s="103"/>
      <c r="AB8120" s="1"/>
    </row>
    <row r="8121" spans="15:28">
      <c r="O8121" s="1"/>
      <c r="P8121" s="1"/>
      <c r="Q8121" s="1"/>
      <c r="R8121" s="1"/>
      <c r="Z8121" s="103"/>
      <c r="AA8121" s="103"/>
      <c r="AB8121" s="1"/>
    </row>
    <row r="8122" spans="15:28">
      <c r="O8122" s="1"/>
      <c r="P8122" s="1"/>
      <c r="Q8122" s="1"/>
      <c r="R8122" s="1"/>
      <c r="Z8122" s="103"/>
      <c r="AA8122" s="103"/>
      <c r="AB8122" s="1"/>
    </row>
    <row r="8123" spans="15:28">
      <c r="O8123" s="1"/>
      <c r="P8123" s="1"/>
      <c r="Q8123" s="1"/>
      <c r="R8123" s="1"/>
      <c r="Z8123" s="103"/>
      <c r="AA8123" s="103"/>
      <c r="AB8123" s="1"/>
    </row>
    <row r="8124" spans="15:28">
      <c r="O8124" s="1"/>
      <c r="P8124" s="1"/>
      <c r="Q8124" s="1"/>
      <c r="R8124" s="1"/>
      <c r="Z8124" s="103"/>
      <c r="AA8124" s="103"/>
      <c r="AB8124" s="1"/>
    </row>
    <row r="8125" spans="15:28">
      <c r="O8125" s="1"/>
      <c r="P8125" s="1"/>
      <c r="Q8125" s="1"/>
      <c r="R8125" s="1"/>
      <c r="Z8125" s="103"/>
      <c r="AA8125" s="103"/>
      <c r="AB8125" s="1"/>
    </row>
    <row r="8126" spans="15:28">
      <c r="O8126" s="1"/>
      <c r="P8126" s="1"/>
      <c r="Q8126" s="1"/>
      <c r="R8126" s="1"/>
      <c r="Z8126" s="103"/>
      <c r="AA8126" s="103"/>
      <c r="AB8126" s="1"/>
    </row>
    <row r="8127" spans="15:28">
      <c r="O8127" s="1"/>
      <c r="P8127" s="1"/>
      <c r="Q8127" s="1"/>
      <c r="R8127" s="1"/>
      <c r="Z8127" s="103"/>
      <c r="AA8127" s="103"/>
      <c r="AB8127" s="1"/>
    </row>
    <row r="8128" spans="15:28">
      <c r="O8128" s="1"/>
      <c r="P8128" s="1"/>
      <c r="Q8128" s="1"/>
      <c r="R8128" s="1"/>
      <c r="Z8128" s="103"/>
      <c r="AA8128" s="103"/>
      <c r="AB8128" s="1"/>
    </row>
    <row r="8129" spans="15:28">
      <c r="O8129" s="1"/>
      <c r="P8129" s="1"/>
      <c r="Q8129" s="1"/>
      <c r="R8129" s="1"/>
      <c r="Z8129" s="103"/>
      <c r="AA8129" s="103"/>
      <c r="AB8129" s="1"/>
    </row>
    <row r="8130" spans="15:28">
      <c r="O8130" s="1"/>
      <c r="P8130" s="1"/>
      <c r="Q8130" s="1"/>
      <c r="R8130" s="1"/>
      <c r="Z8130" s="103"/>
      <c r="AA8130" s="103"/>
      <c r="AB8130" s="1"/>
    </row>
    <row r="8131" spans="15:28">
      <c r="O8131" s="1"/>
      <c r="P8131" s="1"/>
      <c r="Q8131" s="1"/>
      <c r="R8131" s="1"/>
      <c r="Z8131" s="103"/>
      <c r="AA8131" s="103"/>
      <c r="AB8131" s="1"/>
    </row>
    <row r="8132" spans="15:28">
      <c r="O8132" s="1"/>
      <c r="P8132" s="1"/>
      <c r="Q8132" s="1"/>
      <c r="R8132" s="1"/>
      <c r="Z8132" s="103"/>
      <c r="AA8132" s="103"/>
      <c r="AB8132" s="1"/>
    </row>
    <row r="8133" spans="15:28">
      <c r="O8133" s="1"/>
      <c r="P8133" s="1"/>
      <c r="Q8133" s="1"/>
      <c r="R8133" s="1"/>
      <c r="Z8133" s="103"/>
      <c r="AA8133" s="103"/>
      <c r="AB8133" s="1"/>
    </row>
    <row r="8134" spans="15:28">
      <c r="O8134" s="1"/>
      <c r="P8134" s="1"/>
      <c r="Q8134" s="1"/>
      <c r="R8134" s="1"/>
      <c r="Z8134" s="103"/>
      <c r="AA8134" s="103"/>
      <c r="AB8134" s="1"/>
    </row>
    <row r="8135" spans="15:28">
      <c r="O8135" s="1"/>
      <c r="P8135" s="1"/>
      <c r="Q8135" s="1"/>
      <c r="R8135" s="1"/>
      <c r="Z8135" s="103"/>
      <c r="AA8135" s="103"/>
      <c r="AB8135" s="1"/>
    </row>
    <row r="8136" spans="15:28">
      <c r="O8136" s="1"/>
      <c r="P8136" s="1"/>
      <c r="Q8136" s="1"/>
      <c r="R8136" s="1"/>
      <c r="Z8136" s="103"/>
      <c r="AA8136" s="103"/>
      <c r="AB8136" s="1"/>
    </row>
    <row r="8137" spans="15:28">
      <c r="O8137" s="1"/>
      <c r="P8137" s="1"/>
      <c r="Q8137" s="1"/>
      <c r="R8137" s="1"/>
      <c r="Z8137" s="103"/>
      <c r="AA8137" s="103"/>
      <c r="AB8137" s="1"/>
    </row>
    <row r="8138" spans="15:28">
      <c r="O8138" s="1"/>
      <c r="P8138" s="1"/>
      <c r="Q8138" s="1"/>
      <c r="R8138" s="1"/>
      <c r="Z8138" s="103"/>
      <c r="AA8138" s="103"/>
      <c r="AB8138" s="1"/>
    </row>
    <row r="8139" spans="15:28">
      <c r="O8139" s="1"/>
      <c r="P8139" s="1"/>
      <c r="Q8139" s="1"/>
      <c r="R8139" s="1"/>
      <c r="Z8139" s="103"/>
      <c r="AA8139" s="103"/>
      <c r="AB8139" s="1"/>
    </row>
    <row r="8140" spans="15:28">
      <c r="O8140" s="1"/>
      <c r="P8140" s="1"/>
      <c r="Q8140" s="1"/>
      <c r="R8140" s="1"/>
      <c r="Z8140" s="103"/>
      <c r="AA8140" s="103"/>
      <c r="AB8140" s="1"/>
    </row>
    <row r="8141" spans="15:28">
      <c r="O8141" s="1"/>
      <c r="P8141" s="1"/>
      <c r="Q8141" s="1"/>
      <c r="R8141" s="1"/>
      <c r="Z8141" s="103"/>
      <c r="AA8141" s="103"/>
      <c r="AB8141" s="1"/>
    </row>
    <row r="8142" spans="15:28">
      <c r="O8142" s="1"/>
      <c r="P8142" s="1"/>
      <c r="Q8142" s="1"/>
      <c r="R8142" s="1"/>
      <c r="Z8142" s="103"/>
      <c r="AA8142" s="103"/>
      <c r="AB8142" s="1"/>
    </row>
    <row r="8143" spans="15:28">
      <c r="O8143" s="1"/>
      <c r="P8143" s="1"/>
      <c r="Q8143" s="1"/>
      <c r="R8143" s="1"/>
      <c r="Z8143" s="103"/>
      <c r="AA8143" s="103"/>
      <c r="AB8143" s="1"/>
    </row>
    <row r="8144" spans="15:28">
      <c r="O8144" s="1"/>
      <c r="P8144" s="1"/>
      <c r="Q8144" s="1"/>
      <c r="R8144" s="1"/>
      <c r="Z8144" s="103"/>
      <c r="AA8144" s="103"/>
      <c r="AB8144" s="1"/>
    </row>
    <row r="8145" spans="15:28">
      <c r="O8145" s="1"/>
      <c r="P8145" s="1"/>
      <c r="Q8145" s="1"/>
      <c r="R8145" s="1"/>
      <c r="Z8145" s="103"/>
      <c r="AA8145" s="103"/>
      <c r="AB8145" s="1"/>
    </row>
    <row r="8146" spans="15:28">
      <c r="O8146" s="1"/>
      <c r="P8146" s="1"/>
      <c r="Q8146" s="1"/>
      <c r="R8146" s="1"/>
      <c r="Z8146" s="103"/>
      <c r="AA8146" s="103"/>
      <c r="AB8146" s="1"/>
    </row>
    <row r="8147" spans="15:28">
      <c r="O8147" s="1"/>
      <c r="P8147" s="1"/>
      <c r="Q8147" s="1"/>
      <c r="R8147" s="1"/>
      <c r="Z8147" s="103"/>
      <c r="AA8147" s="103"/>
      <c r="AB8147" s="1"/>
    </row>
    <row r="8148" spans="15:28">
      <c r="O8148" s="1"/>
      <c r="P8148" s="1"/>
      <c r="Q8148" s="1"/>
      <c r="R8148" s="1"/>
      <c r="Z8148" s="103"/>
      <c r="AA8148" s="103"/>
      <c r="AB8148" s="1"/>
    </row>
    <row r="8149" spans="15:28">
      <c r="O8149" s="1"/>
      <c r="P8149" s="1"/>
      <c r="Q8149" s="1"/>
      <c r="R8149" s="1"/>
      <c r="Z8149" s="103"/>
      <c r="AA8149" s="103"/>
      <c r="AB8149" s="1"/>
    </row>
    <row r="8150" spans="15:28">
      <c r="O8150" s="1"/>
      <c r="P8150" s="1"/>
      <c r="Q8150" s="1"/>
      <c r="R8150" s="1"/>
      <c r="Z8150" s="103"/>
      <c r="AA8150" s="103"/>
      <c r="AB8150" s="1"/>
    </row>
    <row r="8151" spans="15:28">
      <c r="O8151" s="1"/>
      <c r="P8151" s="1"/>
      <c r="Q8151" s="1"/>
      <c r="R8151" s="1"/>
      <c r="Z8151" s="103"/>
      <c r="AA8151" s="103"/>
      <c r="AB8151" s="1"/>
    </row>
    <row r="8152" spans="15:28">
      <c r="O8152" s="1"/>
      <c r="P8152" s="1"/>
      <c r="Q8152" s="1"/>
      <c r="R8152" s="1"/>
      <c r="Z8152" s="103"/>
      <c r="AA8152" s="103"/>
      <c r="AB8152" s="1"/>
    </row>
    <row r="8153" spans="15:28">
      <c r="O8153" s="1"/>
      <c r="P8153" s="1"/>
      <c r="Q8153" s="1"/>
      <c r="R8153" s="1"/>
      <c r="Z8153" s="103"/>
      <c r="AA8153" s="103"/>
      <c r="AB8153" s="1"/>
    </row>
    <row r="8154" spans="15:28">
      <c r="O8154" s="1"/>
      <c r="P8154" s="1"/>
      <c r="Q8154" s="1"/>
      <c r="R8154" s="1"/>
      <c r="Z8154" s="103"/>
      <c r="AA8154" s="103"/>
      <c r="AB8154" s="1"/>
    </row>
    <row r="8155" spans="15:28">
      <c r="O8155" s="1"/>
      <c r="P8155" s="1"/>
      <c r="Q8155" s="1"/>
      <c r="R8155" s="1"/>
      <c r="Z8155" s="103"/>
      <c r="AA8155" s="103"/>
      <c r="AB8155" s="1"/>
    </row>
    <row r="8156" spans="15:28">
      <c r="O8156" s="1"/>
      <c r="P8156" s="1"/>
      <c r="Q8156" s="1"/>
      <c r="R8156" s="1"/>
      <c r="Z8156" s="103"/>
      <c r="AA8156" s="103"/>
      <c r="AB8156" s="1"/>
    </row>
    <row r="8157" spans="15:28">
      <c r="O8157" s="1"/>
      <c r="P8157" s="1"/>
      <c r="Q8157" s="1"/>
      <c r="R8157" s="1"/>
      <c r="Z8157" s="103"/>
      <c r="AA8157" s="103"/>
      <c r="AB8157" s="1"/>
    </row>
    <row r="8158" spans="15:28">
      <c r="O8158" s="1"/>
      <c r="P8158" s="1"/>
      <c r="Q8158" s="1"/>
      <c r="R8158" s="1"/>
      <c r="Z8158" s="103"/>
      <c r="AA8158" s="103"/>
      <c r="AB8158" s="1"/>
    </row>
    <row r="8159" spans="15:28">
      <c r="O8159" s="1"/>
      <c r="P8159" s="1"/>
      <c r="Q8159" s="1"/>
      <c r="R8159" s="1"/>
      <c r="Z8159" s="103"/>
      <c r="AA8159" s="103"/>
      <c r="AB8159" s="1"/>
    </row>
    <row r="8160" spans="15:28">
      <c r="O8160" s="1"/>
      <c r="P8160" s="1"/>
      <c r="Q8160" s="1"/>
      <c r="R8160" s="1"/>
      <c r="Z8160" s="103"/>
      <c r="AA8160" s="103"/>
      <c r="AB8160" s="1"/>
    </row>
    <row r="8161" spans="15:28">
      <c r="O8161" s="1"/>
      <c r="P8161" s="1"/>
      <c r="Q8161" s="1"/>
      <c r="R8161" s="1"/>
      <c r="Z8161" s="103"/>
      <c r="AA8161" s="103"/>
      <c r="AB8161" s="1"/>
    </row>
    <row r="8162" spans="15:28">
      <c r="O8162" s="1"/>
      <c r="P8162" s="1"/>
      <c r="Q8162" s="1"/>
      <c r="R8162" s="1"/>
      <c r="Z8162" s="103"/>
      <c r="AA8162" s="103"/>
      <c r="AB8162" s="1"/>
    </row>
    <row r="8163" spans="15:28">
      <c r="O8163" s="1"/>
      <c r="P8163" s="1"/>
      <c r="Q8163" s="1"/>
      <c r="R8163" s="1"/>
      <c r="Z8163" s="103"/>
      <c r="AA8163" s="103"/>
      <c r="AB8163" s="1"/>
    </row>
    <row r="8164" spans="15:28">
      <c r="O8164" s="1"/>
      <c r="P8164" s="1"/>
      <c r="Q8164" s="1"/>
      <c r="R8164" s="1"/>
      <c r="Z8164" s="103"/>
      <c r="AA8164" s="103"/>
      <c r="AB8164" s="1"/>
    </row>
    <row r="8165" spans="15:28">
      <c r="O8165" s="1"/>
      <c r="P8165" s="1"/>
      <c r="Q8165" s="1"/>
      <c r="R8165" s="1"/>
      <c r="Z8165" s="103"/>
      <c r="AA8165" s="103"/>
      <c r="AB8165" s="1"/>
    </row>
    <row r="8166" spans="15:28">
      <c r="O8166" s="1"/>
      <c r="P8166" s="1"/>
      <c r="Q8166" s="1"/>
      <c r="R8166" s="1"/>
      <c r="Z8166" s="103"/>
      <c r="AA8166" s="103"/>
      <c r="AB8166" s="1"/>
    </row>
    <row r="8167" spans="15:28">
      <c r="O8167" s="1"/>
      <c r="P8167" s="1"/>
      <c r="Q8167" s="1"/>
      <c r="R8167" s="1"/>
      <c r="Z8167" s="103"/>
      <c r="AA8167" s="103"/>
      <c r="AB8167" s="1"/>
    </row>
    <row r="8168" spans="15:28">
      <c r="O8168" s="1"/>
      <c r="P8168" s="1"/>
      <c r="Q8168" s="1"/>
      <c r="R8168" s="1"/>
      <c r="Z8168" s="103"/>
      <c r="AA8168" s="103"/>
      <c r="AB8168" s="1"/>
    </row>
    <row r="8169" spans="15:28">
      <c r="O8169" s="1"/>
      <c r="P8169" s="1"/>
      <c r="Q8169" s="1"/>
      <c r="R8169" s="1"/>
      <c r="Z8169" s="103"/>
      <c r="AA8169" s="103"/>
      <c r="AB8169" s="1"/>
    </row>
    <row r="8170" spans="15:28">
      <c r="O8170" s="1"/>
      <c r="P8170" s="1"/>
      <c r="Q8170" s="1"/>
      <c r="R8170" s="1"/>
      <c r="Z8170" s="103"/>
      <c r="AA8170" s="103"/>
      <c r="AB8170" s="1"/>
    </row>
    <row r="8171" spans="15:28">
      <c r="O8171" s="1"/>
      <c r="P8171" s="1"/>
      <c r="Q8171" s="1"/>
      <c r="R8171" s="1"/>
      <c r="Z8171" s="103"/>
      <c r="AA8171" s="103"/>
      <c r="AB8171" s="1"/>
    </row>
    <row r="8172" spans="15:28">
      <c r="O8172" s="1"/>
      <c r="P8172" s="1"/>
      <c r="Q8172" s="1"/>
      <c r="R8172" s="1"/>
      <c r="Z8172" s="103"/>
      <c r="AA8172" s="103"/>
      <c r="AB8172" s="1"/>
    </row>
    <row r="8173" spans="15:28">
      <c r="O8173" s="1"/>
      <c r="P8173" s="1"/>
      <c r="Q8173" s="1"/>
      <c r="R8173" s="1"/>
      <c r="Z8173" s="103"/>
      <c r="AA8173" s="103"/>
      <c r="AB8173" s="1"/>
    </row>
    <row r="8174" spans="15:28">
      <c r="O8174" s="1"/>
      <c r="P8174" s="1"/>
      <c r="Q8174" s="1"/>
      <c r="R8174" s="1"/>
      <c r="Z8174" s="103"/>
      <c r="AA8174" s="103"/>
      <c r="AB8174" s="1"/>
    </row>
    <row r="8175" spans="15:28">
      <c r="O8175" s="1"/>
      <c r="P8175" s="1"/>
      <c r="Q8175" s="1"/>
      <c r="R8175" s="1"/>
      <c r="Z8175" s="103"/>
      <c r="AA8175" s="103"/>
      <c r="AB8175" s="1"/>
    </row>
    <row r="8176" spans="15:28">
      <c r="O8176" s="1"/>
      <c r="P8176" s="1"/>
      <c r="Q8176" s="1"/>
      <c r="R8176" s="1"/>
      <c r="Z8176" s="103"/>
      <c r="AA8176" s="103"/>
      <c r="AB8176" s="1"/>
    </row>
    <row r="8177" spans="15:28">
      <c r="O8177" s="1"/>
      <c r="P8177" s="1"/>
      <c r="Q8177" s="1"/>
      <c r="R8177" s="1"/>
      <c r="Z8177" s="103"/>
      <c r="AA8177" s="103"/>
      <c r="AB8177" s="1"/>
    </row>
    <row r="8178" spans="15:28">
      <c r="O8178" s="1"/>
      <c r="P8178" s="1"/>
      <c r="Q8178" s="1"/>
      <c r="R8178" s="1"/>
      <c r="Z8178" s="103"/>
      <c r="AA8178" s="103"/>
      <c r="AB8178" s="1"/>
    </row>
    <row r="8179" spans="15:28">
      <c r="O8179" s="1"/>
      <c r="P8179" s="1"/>
      <c r="Q8179" s="1"/>
      <c r="R8179" s="1"/>
      <c r="Z8179" s="103"/>
      <c r="AA8179" s="103"/>
      <c r="AB8179" s="1"/>
    </row>
    <row r="8180" spans="15:28">
      <c r="O8180" s="1"/>
      <c r="P8180" s="1"/>
      <c r="Q8180" s="1"/>
      <c r="R8180" s="1"/>
      <c r="Z8180" s="103"/>
      <c r="AA8180" s="103"/>
      <c r="AB8180" s="1"/>
    </row>
    <row r="8181" spans="15:28">
      <c r="O8181" s="1"/>
      <c r="P8181" s="1"/>
      <c r="Q8181" s="1"/>
      <c r="R8181" s="1"/>
      <c r="Z8181" s="103"/>
      <c r="AA8181" s="103"/>
      <c r="AB8181" s="1"/>
    </row>
    <row r="8182" spans="15:28">
      <c r="O8182" s="1"/>
      <c r="P8182" s="1"/>
      <c r="Q8182" s="1"/>
      <c r="R8182" s="1"/>
      <c r="Z8182" s="103"/>
      <c r="AA8182" s="103"/>
      <c r="AB8182" s="1"/>
    </row>
    <row r="8183" spans="15:28">
      <c r="O8183" s="1"/>
      <c r="P8183" s="1"/>
      <c r="Q8183" s="1"/>
      <c r="R8183" s="1"/>
      <c r="Z8183" s="103"/>
      <c r="AA8183" s="103"/>
      <c r="AB8183" s="1"/>
    </row>
    <row r="8184" spans="15:28">
      <c r="O8184" s="1"/>
      <c r="P8184" s="1"/>
      <c r="Q8184" s="1"/>
      <c r="R8184" s="1"/>
      <c r="Z8184" s="103"/>
      <c r="AA8184" s="103"/>
      <c r="AB8184" s="1"/>
    </row>
    <row r="8185" spans="15:28">
      <c r="O8185" s="1"/>
      <c r="P8185" s="1"/>
      <c r="Q8185" s="1"/>
      <c r="R8185" s="1"/>
      <c r="Z8185" s="103"/>
      <c r="AA8185" s="103"/>
      <c r="AB8185" s="1"/>
    </row>
    <row r="8186" spans="15:28">
      <c r="O8186" s="1"/>
      <c r="P8186" s="1"/>
      <c r="Q8186" s="1"/>
      <c r="R8186" s="1"/>
      <c r="Z8186" s="103"/>
      <c r="AA8186" s="103"/>
      <c r="AB8186" s="1"/>
    </row>
    <row r="8187" spans="15:28">
      <c r="O8187" s="1"/>
      <c r="P8187" s="1"/>
      <c r="Q8187" s="1"/>
      <c r="R8187" s="1"/>
      <c r="Z8187" s="103"/>
      <c r="AA8187" s="103"/>
      <c r="AB8187" s="1"/>
    </row>
    <row r="8188" spans="15:28">
      <c r="O8188" s="1"/>
      <c r="P8188" s="1"/>
      <c r="Q8188" s="1"/>
      <c r="R8188" s="1"/>
      <c r="Z8188" s="103"/>
      <c r="AA8188" s="103"/>
      <c r="AB8188" s="1"/>
    </row>
    <row r="8189" spans="15:28">
      <c r="O8189" s="1"/>
      <c r="P8189" s="1"/>
      <c r="Q8189" s="1"/>
      <c r="R8189" s="1"/>
      <c r="Z8189" s="103"/>
      <c r="AA8189" s="103"/>
      <c r="AB8189" s="1"/>
    </row>
    <row r="8190" spans="15:28">
      <c r="O8190" s="1"/>
      <c r="P8190" s="1"/>
      <c r="Q8190" s="1"/>
      <c r="R8190" s="1"/>
      <c r="Z8190" s="103"/>
      <c r="AA8190" s="103"/>
      <c r="AB8190" s="1"/>
    </row>
    <row r="8191" spans="15:28">
      <c r="O8191" s="1"/>
      <c r="P8191" s="1"/>
      <c r="Q8191" s="1"/>
      <c r="R8191" s="1"/>
      <c r="Z8191" s="103"/>
      <c r="AA8191" s="103"/>
      <c r="AB8191" s="1"/>
    </row>
    <row r="8192" spans="15:28">
      <c r="O8192" s="1"/>
      <c r="P8192" s="1"/>
      <c r="Q8192" s="1"/>
      <c r="R8192" s="1"/>
      <c r="Z8192" s="103"/>
      <c r="AA8192" s="103"/>
      <c r="AB8192" s="1"/>
    </row>
    <row r="8193" spans="15:28">
      <c r="O8193" s="1"/>
      <c r="P8193" s="1"/>
      <c r="Q8193" s="1"/>
      <c r="R8193" s="1"/>
      <c r="Z8193" s="103"/>
      <c r="AA8193" s="103"/>
      <c r="AB8193" s="1"/>
    </row>
    <row r="8194" spans="15:28">
      <c r="O8194" s="1"/>
      <c r="P8194" s="1"/>
      <c r="Q8194" s="1"/>
      <c r="R8194" s="1"/>
      <c r="Z8194" s="103"/>
      <c r="AA8194" s="103"/>
      <c r="AB8194" s="1"/>
    </row>
    <row r="8195" spans="15:28">
      <c r="O8195" s="1"/>
      <c r="P8195" s="1"/>
      <c r="Q8195" s="1"/>
      <c r="R8195" s="1"/>
      <c r="Z8195" s="103"/>
      <c r="AA8195" s="103"/>
      <c r="AB8195" s="1"/>
    </row>
    <row r="8196" spans="15:28">
      <c r="O8196" s="1"/>
      <c r="P8196" s="1"/>
      <c r="Q8196" s="1"/>
      <c r="R8196" s="1"/>
      <c r="Z8196" s="103"/>
      <c r="AA8196" s="103"/>
      <c r="AB8196" s="1"/>
    </row>
    <row r="8197" spans="15:28">
      <c r="O8197" s="1"/>
      <c r="P8197" s="1"/>
      <c r="Q8197" s="1"/>
      <c r="R8197" s="1"/>
      <c r="Z8197" s="103"/>
      <c r="AA8197" s="103"/>
      <c r="AB8197" s="1"/>
    </row>
    <row r="8198" spans="15:28">
      <c r="O8198" s="1"/>
      <c r="P8198" s="1"/>
      <c r="Q8198" s="1"/>
      <c r="R8198" s="1"/>
      <c r="Z8198" s="103"/>
      <c r="AA8198" s="103"/>
      <c r="AB8198" s="1"/>
    </row>
    <row r="8199" spans="15:28">
      <c r="O8199" s="1"/>
      <c r="P8199" s="1"/>
      <c r="Q8199" s="1"/>
      <c r="R8199" s="1"/>
      <c r="Z8199" s="103"/>
      <c r="AA8199" s="103"/>
      <c r="AB8199" s="1"/>
    </row>
    <row r="8200" spans="15:28">
      <c r="O8200" s="1"/>
      <c r="P8200" s="1"/>
      <c r="Q8200" s="1"/>
      <c r="R8200" s="1"/>
      <c r="Z8200" s="103"/>
      <c r="AA8200" s="103"/>
      <c r="AB8200" s="1"/>
    </row>
    <row r="8201" spans="15:28">
      <c r="O8201" s="1"/>
      <c r="P8201" s="1"/>
      <c r="Q8201" s="1"/>
      <c r="R8201" s="1"/>
      <c r="Z8201" s="103"/>
      <c r="AA8201" s="103"/>
      <c r="AB8201" s="1"/>
    </row>
    <row r="8202" spans="15:28">
      <c r="O8202" s="1"/>
      <c r="P8202" s="1"/>
      <c r="Q8202" s="1"/>
      <c r="R8202" s="1"/>
      <c r="Z8202" s="103"/>
      <c r="AA8202" s="103"/>
      <c r="AB8202" s="1"/>
    </row>
    <row r="8203" spans="15:28">
      <c r="O8203" s="1"/>
      <c r="P8203" s="1"/>
      <c r="Q8203" s="1"/>
      <c r="R8203" s="1"/>
      <c r="Z8203" s="103"/>
      <c r="AA8203" s="103"/>
      <c r="AB8203" s="1"/>
    </row>
    <row r="8204" spans="15:28">
      <c r="O8204" s="1"/>
      <c r="P8204" s="1"/>
      <c r="Q8204" s="1"/>
      <c r="R8204" s="1"/>
      <c r="Z8204" s="103"/>
      <c r="AA8204" s="103"/>
      <c r="AB8204" s="1"/>
    </row>
    <row r="8205" spans="15:28">
      <c r="O8205" s="1"/>
      <c r="P8205" s="1"/>
      <c r="Q8205" s="1"/>
      <c r="R8205" s="1"/>
      <c r="Z8205" s="103"/>
      <c r="AA8205" s="103"/>
      <c r="AB8205" s="1"/>
    </row>
    <row r="8206" spans="15:28">
      <c r="O8206" s="1"/>
      <c r="P8206" s="1"/>
      <c r="Q8206" s="1"/>
      <c r="R8206" s="1"/>
      <c r="Z8206" s="103"/>
      <c r="AA8206" s="103"/>
      <c r="AB8206" s="1"/>
    </row>
    <row r="8207" spans="15:28">
      <c r="O8207" s="1"/>
      <c r="P8207" s="1"/>
      <c r="Q8207" s="1"/>
      <c r="R8207" s="1"/>
      <c r="Z8207" s="103"/>
      <c r="AA8207" s="103"/>
      <c r="AB8207" s="1"/>
    </row>
    <row r="8208" spans="15:28">
      <c r="O8208" s="1"/>
      <c r="P8208" s="1"/>
      <c r="Q8208" s="1"/>
      <c r="R8208" s="1"/>
      <c r="Z8208" s="103"/>
      <c r="AA8208" s="103"/>
      <c r="AB8208" s="1"/>
    </row>
    <row r="8209" spans="15:28">
      <c r="O8209" s="1"/>
      <c r="P8209" s="1"/>
      <c r="Q8209" s="1"/>
      <c r="R8209" s="1"/>
      <c r="Z8209" s="103"/>
      <c r="AA8209" s="103"/>
      <c r="AB8209" s="1"/>
    </row>
    <row r="8210" spans="15:28">
      <c r="O8210" s="1"/>
      <c r="P8210" s="1"/>
      <c r="Q8210" s="1"/>
      <c r="R8210" s="1"/>
      <c r="Z8210" s="103"/>
      <c r="AA8210" s="103"/>
      <c r="AB8210" s="1"/>
    </row>
    <row r="8211" spans="15:28">
      <c r="O8211" s="1"/>
      <c r="P8211" s="1"/>
      <c r="Q8211" s="1"/>
      <c r="R8211" s="1"/>
      <c r="Z8211" s="103"/>
      <c r="AA8211" s="103"/>
      <c r="AB8211" s="1"/>
    </row>
    <row r="8212" spans="15:28">
      <c r="O8212" s="1"/>
      <c r="P8212" s="1"/>
      <c r="Q8212" s="1"/>
      <c r="R8212" s="1"/>
      <c r="Z8212" s="103"/>
      <c r="AA8212" s="103"/>
      <c r="AB8212" s="1"/>
    </row>
    <row r="8213" spans="15:28">
      <c r="O8213" s="1"/>
      <c r="P8213" s="1"/>
      <c r="Q8213" s="1"/>
      <c r="R8213" s="1"/>
      <c r="Z8213" s="103"/>
      <c r="AA8213" s="103"/>
      <c r="AB8213" s="1"/>
    </row>
    <row r="8214" spans="15:28">
      <c r="O8214" s="1"/>
      <c r="P8214" s="1"/>
      <c r="Q8214" s="1"/>
      <c r="R8214" s="1"/>
      <c r="Z8214" s="103"/>
      <c r="AA8214" s="103"/>
      <c r="AB8214" s="1"/>
    </row>
    <row r="8215" spans="15:28">
      <c r="O8215" s="1"/>
      <c r="P8215" s="1"/>
      <c r="Q8215" s="1"/>
      <c r="R8215" s="1"/>
      <c r="Z8215" s="103"/>
      <c r="AA8215" s="103"/>
      <c r="AB8215" s="1"/>
    </row>
    <row r="8216" spans="15:28">
      <c r="O8216" s="1"/>
      <c r="P8216" s="1"/>
      <c r="Q8216" s="1"/>
      <c r="R8216" s="1"/>
      <c r="Z8216" s="103"/>
      <c r="AA8216" s="103"/>
      <c r="AB8216" s="1"/>
    </row>
    <row r="8217" spans="15:28">
      <c r="O8217" s="1"/>
      <c r="P8217" s="1"/>
      <c r="Q8217" s="1"/>
      <c r="R8217" s="1"/>
      <c r="Z8217" s="103"/>
      <c r="AA8217" s="103"/>
      <c r="AB8217" s="1"/>
    </row>
    <row r="8218" spans="15:28">
      <c r="O8218" s="1"/>
      <c r="P8218" s="1"/>
      <c r="Q8218" s="1"/>
      <c r="R8218" s="1"/>
      <c r="Z8218" s="103"/>
      <c r="AA8218" s="103"/>
      <c r="AB8218" s="1"/>
    </row>
    <row r="8219" spans="15:28">
      <c r="O8219" s="1"/>
      <c r="P8219" s="1"/>
      <c r="Q8219" s="1"/>
      <c r="R8219" s="1"/>
      <c r="Z8219" s="103"/>
      <c r="AA8219" s="103"/>
      <c r="AB8219" s="1"/>
    </row>
    <row r="8220" spans="15:28">
      <c r="O8220" s="1"/>
      <c r="P8220" s="1"/>
      <c r="Q8220" s="1"/>
      <c r="R8220" s="1"/>
      <c r="Z8220" s="103"/>
      <c r="AA8220" s="103"/>
      <c r="AB8220" s="1"/>
    </row>
    <row r="8221" spans="15:28">
      <c r="O8221" s="1"/>
      <c r="P8221" s="1"/>
      <c r="Q8221" s="1"/>
      <c r="R8221" s="1"/>
      <c r="Z8221" s="103"/>
      <c r="AA8221" s="103"/>
      <c r="AB8221" s="1"/>
    </row>
    <row r="8222" spans="15:28">
      <c r="O8222" s="1"/>
      <c r="P8222" s="1"/>
      <c r="Q8222" s="1"/>
      <c r="R8222" s="1"/>
      <c r="Z8222" s="103"/>
      <c r="AA8222" s="103"/>
      <c r="AB8222" s="1"/>
    </row>
    <row r="8223" spans="15:28">
      <c r="O8223" s="1"/>
      <c r="P8223" s="1"/>
      <c r="Q8223" s="1"/>
      <c r="R8223" s="1"/>
      <c r="Z8223" s="103"/>
      <c r="AA8223" s="103"/>
      <c r="AB8223" s="1"/>
    </row>
    <row r="8224" spans="15:28">
      <c r="O8224" s="1"/>
      <c r="P8224" s="1"/>
      <c r="Q8224" s="1"/>
      <c r="R8224" s="1"/>
      <c r="Z8224" s="103"/>
      <c r="AA8224" s="103"/>
      <c r="AB8224" s="1"/>
    </row>
    <row r="8225" spans="15:28">
      <c r="O8225" s="1"/>
      <c r="P8225" s="1"/>
      <c r="Q8225" s="1"/>
      <c r="R8225" s="1"/>
      <c r="Z8225" s="103"/>
      <c r="AA8225" s="103"/>
      <c r="AB8225" s="1"/>
    </row>
    <row r="8226" spans="15:28">
      <c r="O8226" s="1"/>
      <c r="P8226" s="1"/>
      <c r="Q8226" s="1"/>
      <c r="R8226" s="1"/>
      <c r="Z8226" s="103"/>
      <c r="AA8226" s="103"/>
      <c r="AB8226" s="1"/>
    </row>
    <row r="8227" spans="15:28">
      <c r="O8227" s="1"/>
      <c r="P8227" s="1"/>
      <c r="Q8227" s="1"/>
      <c r="R8227" s="1"/>
      <c r="Z8227" s="103"/>
      <c r="AA8227" s="103"/>
      <c r="AB8227" s="1"/>
    </row>
    <row r="8228" spans="15:28">
      <c r="O8228" s="1"/>
      <c r="P8228" s="1"/>
      <c r="Q8228" s="1"/>
      <c r="R8228" s="1"/>
      <c r="Z8228" s="103"/>
      <c r="AA8228" s="103"/>
      <c r="AB8228" s="1"/>
    </row>
    <row r="8229" spans="15:28">
      <c r="O8229" s="1"/>
      <c r="P8229" s="1"/>
      <c r="Q8229" s="1"/>
      <c r="R8229" s="1"/>
      <c r="Z8229" s="103"/>
      <c r="AA8229" s="103"/>
      <c r="AB8229" s="1"/>
    </row>
    <row r="8230" spans="15:28">
      <c r="O8230" s="1"/>
      <c r="P8230" s="1"/>
      <c r="Q8230" s="1"/>
      <c r="R8230" s="1"/>
      <c r="Z8230" s="103"/>
      <c r="AA8230" s="103"/>
      <c r="AB8230" s="1"/>
    </row>
    <row r="8231" spans="15:28">
      <c r="O8231" s="1"/>
      <c r="P8231" s="1"/>
      <c r="Q8231" s="1"/>
      <c r="R8231" s="1"/>
      <c r="Z8231" s="103"/>
      <c r="AA8231" s="103"/>
      <c r="AB8231" s="1"/>
    </row>
    <row r="8232" spans="15:28">
      <c r="O8232" s="1"/>
      <c r="P8232" s="1"/>
      <c r="Q8232" s="1"/>
      <c r="R8232" s="1"/>
      <c r="Z8232" s="103"/>
      <c r="AA8232" s="103"/>
      <c r="AB8232" s="1"/>
    </row>
    <row r="8233" spans="15:28">
      <c r="O8233" s="1"/>
      <c r="P8233" s="1"/>
      <c r="Q8233" s="1"/>
      <c r="R8233" s="1"/>
      <c r="Z8233" s="103"/>
      <c r="AA8233" s="103"/>
      <c r="AB8233" s="1"/>
    </row>
    <row r="8234" spans="15:28">
      <c r="O8234" s="1"/>
      <c r="P8234" s="1"/>
      <c r="Q8234" s="1"/>
      <c r="R8234" s="1"/>
      <c r="Z8234" s="103"/>
      <c r="AA8234" s="103"/>
      <c r="AB8234" s="1"/>
    </row>
    <row r="8235" spans="15:28">
      <c r="O8235" s="1"/>
      <c r="P8235" s="1"/>
      <c r="Q8235" s="1"/>
      <c r="R8235" s="1"/>
      <c r="Z8235" s="103"/>
      <c r="AA8235" s="103"/>
      <c r="AB8235" s="1"/>
    </row>
    <row r="8236" spans="15:28">
      <c r="O8236" s="1"/>
      <c r="P8236" s="1"/>
      <c r="Q8236" s="1"/>
      <c r="R8236" s="1"/>
      <c r="Z8236" s="103"/>
      <c r="AA8236" s="103"/>
      <c r="AB8236" s="1"/>
    </row>
    <row r="8237" spans="15:28">
      <c r="O8237" s="1"/>
      <c r="P8237" s="1"/>
      <c r="Q8237" s="1"/>
      <c r="R8237" s="1"/>
      <c r="Z8237" s="103"/>
      <c r="AA8237" s="103"/>
      <c r="AB8237" s="1"/>
    </row>
    <row r="8238" spans="15:28">
      <c r="O8238" s="1"/>
      <c r="P8238" s="1"/>
      <c r="Q8238" s="1"/>
      <c r="R8238" s="1"/>
      <c r="Z8238" s="103"/>
      <c r="AA8238" s="103"/>
      <c r="AB8238" s="1"/>
    </row>
    <row r="8239" spans="15:28">
      <c r="O8239" s="1"/>
      <c r="P8239" s="1"/>
      <c r="Q8239" s="1"/>
      <c r="R8239" s="1"/>
      <c r="Z8239" s="103"/>
      <c r="AA8239" s="103"/>
      <c r="AB8239" s="1"/>
    </row>
    <row r="8240" spans="15:28">
      <c r="O8240" s="1"/>
      <c r="P8240" s="1"/>
      <c r="Q8240" s="1"/>
      <c r="R8240" s="1"/>
      <c r="Z8240" s="103"/>
      <c r="AA8240" s="103"/>
      <c r="AB8240" s="1"/>
    </row>
    <row r="8241" spans="15:28">
      <c r="O8241" s="1"/>
      <c r="P8241" s="1"/>
      <c r="Q8241" s="1"/>
      <c r="R8241" s="1"/>
      <c r="Z8241" s="103"/>
      <c r="AA8241" s="103"/>
      <c r="AB8241" s="1"/>
    </row>
    <row r="8242" spans="15:28">
      <c r="O8242" s="1"/>
      <c r="P8242" s="1"/>
      <c r="Q8242" s="1"/>
      <c r="R8242" s="1"/>
      <c r="Z8242" s="103"/>
      <c r="AA8242" s="103"/>
      <c r="AB8242" s="1"/>
    </row>
    <row r="8243" spans="15:28">
      <c r="O8243" s="1"/>
      <c r="P8243" s="1"/>
      <c r="Q8243" s="1"/>
      <c r="R8243" s="1"/>
      <c r="Z8243" s="103"/>
      <c r="AA8243" s="103"/>
      <c r="AB8243" s="1"/>
    </row>
    <row r="8244" spans="15:28">
      <c r="O8244" s="1"/>
      <c r="P8244" s="1"/>
      <c r="Q8244" s="1"/>
      <c r="R8244" s="1"/>
      <c r="Z8244" s="103"/>
      <c r="AA8244" s="103"/>
      <c r="AB8244" s="1"/>
    </row>
    <row r="8245" spans="15:28">
      <c r="O8245" s="1"/>
      <c r="P8245" s="1"/>
      <c r="Q8245" s="1"/>
      <c r="R8245" s="1"/>
      <c r="Z8245" s="103"/>
      <c r="AA8245" s="103"/>
      <c r="AB8245" s="1"/>
    </row>
    <row r="8246" spans="15:28">
      <c r="O8246" s="1"/>
      <c r="P8246" s="1"/>
      <c r="Q8246" s="1"/>
      <c r="R8246" s="1"/>
      <c r="Z8246" s="103"/>
      <c r="AA8246" s="103"/>
      <c r="AB8246" s="1"/>
    </row>
    <row r="8247" spans="15:28">
      <c r="O8247" s="1"/>
      <c r="P8247" s="1"/>
      <c r="Q8247" s="1"/>
      <c r="R8247" s="1"/>
      <c r="Z8247" s="103"/>
      <c r="AA8247" s="103"/>
      <c r="AB8247" s="1"/>
    </row>
    <row r="8248" spans="15:28">
      <c r="O8248" s="1"/>
      <c r="P8248" s="1"/>
      <c r="Q8248" s="1"/>
      <c r="R8248" s="1"/>
      <c r="Z8248" s="103"/>
      <c r="AA8248" s="103"/>
      <c r="AB8248" s="1"/>
    </row>
    <row r="8249" spans="15:28">
      <c r="O8249" s="1"/>
      <c r="P8249" s="1"/>
      <c r="Q8249" s="1"/>
      <c r="R8249" s="1"/>
      <c r="Z8249" s="103"/>
      <c r="AA8249" s="103"/>
      <c r="AB8249" s="1"/>
    </row>
    <row r="8250" spans="15:28">
      <c r="O8250" s="1"/>
      <c r="P8250" s="1"/>
      <c r="Q8250" s="1"/>
      <c r="R8250" s="1"/>
      <c r="Z8250" s="103"/>
      <c r="AA8250" s="103"/>
      <c r="AB8250" s="1"/>
    </row>
    <row r="8251" spans="15:28">
      <c r="O8251" s="1"/>
      <c r="P8251" s="1"/>
      <c r="Q8251" s="1"/>
      <c r="R8251" s="1"/>
      <c r="Z8251" s="103"/>
      <c r="AA8251" s="103"/>
      <c r="AB8251" s="1"/>
    </row>
    <row r="8252" spans="15:28">
      <c r="O8252" s="1"/>
      <c r="P8252" s="1"/>
      <c r="Q8252" s="1"/>
      <c r="R8252" s="1"/>
      <c r="Z8252" s="103"/>
      <c r="AA8252" s="103"/>
      <c r="AB8252" s="1"/>
    </row>
    <row r="8253" spans="15:28">
      <c r="O8253" s="1"/>
      <c r="P8253" s="1"/>
      <c r="Q8253" s="1"/>
      <c r="R8253" s="1"/>
      <c r="Z8253" s="103"/>
      <c r="AA8253" s="103"/>
      <c r="AB8253" s="1"/>
    </row>
    <row r="8254" spans="15:28">
      <c r="O8254" s="1"/>
      <c r="P8254" s="1"/>
      <c r="Q8254" s="1"/>
      <c r="R8254" s="1"/>
      <c r="Z8254" s="103"/>
      <c r="AA8254" s="103"/>
      <c r="AB8254" s="1"/>
    </row>
    <row r="8255" spans="15:28">
      <c r="O8255" s="1"/>
      <c r="P8255" s="1"/>
      <c r="Q8255" s="1"/>
      <c r="R8255" s="1"/>
      <c r="Z8255" s="103"/>
      <c r="AA8255" s="103"/>
      <c r="AB8255" s="1"/>
    </row>
    <row r="8256" spans="15:28">
      <c r="O8256" s="1"/>
      <c r="P8256" s="1"/>
      <c r="Q8256" s="1"/>
      <c r="R8256" s="1"/>
      <c r="Z8256" s="103"/>
      <c r="AA8256" s="103"/>
      <c r="AB8256" s="1"/>
    </row>
    <row r="8257" spans="15:28">
      <c r="O8257" s="1"/>
      <c r="P8257" s="1"/>
      <c r="Q8257" s="1"/>
      <c r="R8257" s="1"/>
      <c r="Z8257" s="103"/>
      <c r="AA8257" s="103"/>
      <c r="AB8257" s="1"/>
    </row>
    <row r="8258" spans="15:28">
      <c r="O8258" s="1"/>
      <c r="P8258" s="1"/>
      <c r="Q8258" s="1"/>
      <c r="R8258" s="1"/>
      <c r="Z8258" s="103"/>
      <c r="AA8258" s="103"/>
      <c r="AB8258" s="1"/>
    </row>
    <row r="8259" spans="15:28">
      <c r="O8259" s="1"/>
      <c r="P8259" s="1"/>
      <c r="Q8259" s="1"/>
      <c r="R8259" s="1"/>
      <c r="Z8259" s="103"/>
      <c r="AA8259" s="103"/>
      <c r="AB8259" s="1"/>
    </row>
    <row r="8260" spans="15:28">
      <c r="O8260" s="1"/>
      <c r="P8260" s="1"/>
      <c r="Q8260" s="1"/>
      <c r="R8260" s="1"/>
      <c r="Z8260" s="103"/>
      <c r="AA8260" s="103"/>
      <c r="AB8260" s="1"/>
    </row>
    <row r="8261" spans="15:28">
      <c r="O8261" s="1"/>
      <c r="P8261" s="1"/>
      <c r="Q8261" s="1"/>
      <c r="R8261" s="1"/>
      <c r="Z8261" s="103"/>
      <c r="AA8261" s="103"/>
      <c r="AB8261" s="1"/>
    </row>
    <row r="8262" spans="15:28">
      <c r="O8262" s="1"/>
      <c r="P8262" s="1"/>
      <c r="Q8262" s="1"/>
      <c r="R8262" s="1"/>
      <c r="Z8262" s="103"/>
      <c r="AA8262" s="103"/>
      <c r="AB8262" s="1"/>
    </row>
    <row r="8263" spans="15:28">
      <c r="O8263" s="1"/>
      <c r="P8263" s="1"/>
      <c r="Q8263" s="1"/>
      <c r="R8263" s="1"/>
      <c r="Z8263" s="103"/>
      <c r="AA8263" s="103"/>
      <c r="AB8263" s="1"/>
    </row>
    <row r="8264" spans="15:28">
      <c r="O8264" s="1"/>
      <c r="P8264" s="1"/>
      <c r="Q8264" s="1"/>
      <c r="R8264" s="1"/>
      <c r="Z8264" s="103"/>
      <c r="AA8264" s="103"/>
      <c r="AB8264" s="1"/>
    </row>
    <row r="8265" spans="15:28">
      <c r="O8265" s="1"/>
      <c r="P8265" s="1"/>
      <c r="Q8265" s="1"/>
      <c r="R8265" s="1"/>
      <c r="Z8265" s="103"/>
      <c r="AA8265" s="103"/>
      <c r="AB8265" s="1"/>
    </row>
    <row r="8266" spans="15:28">
      <c r="O8266" s="1"/>
      <c r="P8266" s="1"/>
      <c r="Q8266" s="1"/>
      <c r="R8266" s="1"/>
      <c r="Z8266" s="103"/>
      <c r="AA8266" s="103"/>
      <c r="AB8266" s="1"/>
    </row>
    <row r="8267" spans="15:28">
      <c r="O8267" s="1"/>
      <c r="P8267" s="1"/>
      <c r="Q8267" s="1"/>
      <c r="R8267" s="1"/>
      <c r="Z8267" s="103"/>
      <c r="AA8267" s="103"/>
      <c r="AB8267" s="1"/>
    </row>
    <row r="8268" spans="15:28">
      <c r="O8268" s="1"/>
      <c r="P8268" s="1"/>
      <c r="Q8268" s="1"/>
      <c r="R8268" s="1"/>
      <c r="Z8268" s="103"/>
      <c r="AA8268" s="103"/>
      <c r="AB8268" s="1"/>
    </row>
    <row r="8269" spans="15:28">
      <c r="O8269" s="1"/>
      <c r="P8269" s="1"/>
      <c r="Q8269" s="1"/>
      <c r="R8269" s="1"/>
      <c r="Z8269" s="103"/>
      <c r="AA8269" s="103"/>
      <c r="AB8269" s="1"/>
    </row>
    <row r="8270" spans="15:28">
      <c r="O8270" s="1"/>
      <c r="P8270" s="1"/>
      <c r="Q8270" s="1"/>
      <c r="R8270" s="1"/>
      <c r="Z8270" s="103"/>
      <c r="AA8270" s="103"/>
      <c r="AB8270" s="1"/>
    </row>
    <row r="8271" spans="15:28">
      <c r="O8271" s="1"/>
      <c r="P8271" s="1"/>
      <c r="Q8271" s="1"/>
      <c r="R8271" s="1"/>
      <c r="Z8271" s="103"/>
      <c r="AA8271" s="103"/>
      <c r="AB8271" s="1"/>
    </row>
    <row r="8272" spans="15:28">
      <c r="O8272" s="1"/>
      <c r="P8272" s="1"/>
      <c r="Q8272" s="1"/>
      <c r="R8272" s="1"/>
      <c r="Z8272" s="103"/>
      <c r="AA8272" s="103"/>
      <c r="AB8272" s="1"/>
    </row>
    <row r="8273" spans="15:28">
      <c r="O8273" s="1"/>
      <c r="P8273" s="1"/>
      <c r="Q8273" s="1"/>
      <c r="R8273" s="1"/>
      <c r="Z8273" s="103"/>
      <c r="AA8273" s="103"/>
      <c r="AB8273" s="1"/>
    </row>
    <row r="8274" spans="15:28">
      <c r="O8274" s="1"/>
      <c r="P8274" s="1"/>
      <c r="Q8274" s="1"/>
      <c r="R8274" s="1"/>
      <c r="Z8274" s="103"/>
      <c r="AA8274" s="103"/>
      <c r="AB8274" s="1"/>
    </row>
    <row r="8275" spans="15:28">
      <c r="O8275" s="1"/>
      <c r="P8275" s="1"/>
      <c r="Q8275" s="1"/>
      <c r="R8275" s="1"/>
      <c r="Z8275" s="103"/>
      <c r="AA8275" s="103"/>
      <c r="AB8275" s="1"/>
    </row>
    <row r="8276" spans="15:28">
      <c r="O8276" s="1"/>
      <c r="P8276" s="1"/>
      <c r="Q8276" s="1"/>
      <c r="R8276" s="1"/>
      <c r="Z8276" s="103"/>
      <c r="AA8276" s="103"/>
      <c r="AB8276" s="1"/>
    </row>
    <row r="8277" spans="15:28">
      <c r="O8277" s="1"/>
      <c r="P8277" s="1"/>
      <c r="Q8277" s="1"/>
      <c r="R8277" s="1"/>
      <c r="Z8277" s="103"/>
      <c r="AA8277" s="103"/>
      <c r="AB8277" s="1"/>
    </row>
    <row r="8278" spans="15:28">
      <c r="O8278" s="1"/>
      <c r="P8278" s="1"/>
      <c r="Q8278" s="1"/>
      <c r="R8278" s="1"/>
      <c r="Z8278" s="103"/>
      <c r="AA8278" s="103"/>
      <c r="AB8278" s="1"/>
    </row>
    <row r="8279" spans="15:28">
      <c r="O8279" s="1"/>
      <c r="P8279" s="1"/>
      <c r="Q8279" s="1"/>
      <c r="R8279" s="1"/>
      <c r="Z8279" s="103"/>
      <c r="AA8279" s="103"/>
      <c r="AB8279" s="1"/>
    </row>
    <row r="8280" spans="15:28">
      <c r="O8280" s="1"/>
      <c r="P8280" s="1"/>
      <c r="Q8280" s="1"/>
      <c r="R8280" s="1"/>
      <c r="Z8280" s="103"/>
      <c r="AA8280" s="103"/>
      <c r="AB8280" s="1"/>
    </row>
    <row r="8281" spans="15:28">
      <c r="O8281" s="1"/>
      <c r="P8281" s="1"/>
      <c r="Q8281" s="1"/>
      <c r="R8281" s="1"/>
      <c r="Z8281" s="103"/>
      <c r="AA8281" s="103"/>
      <c r="AB8281" s="1"/>
    </row>
    <row r="8282" spans="15:28">
      <c r="O8282" s="1"/>
      <c r="P8282" s="1"/>
      <c r="Q8282" s="1"/>
      <c r="R8282" s="1"/>
      <c r="Z8282" s="103"/>
      <c r="AA8282" s="103"/>
      <c r="AB8282" s="1"/>
    </row>
    <row r="8283" spans="15:28">
      <c r="O8283" s="1"/>
      <c r="P8283" s="1"/>
      <c r="Q8283" s="1"/>
      <c r="R8283" s="1"/>
      <c r="Z8283" s="103"/>
      <c r="AA8283" s="103"/>
      <c r="AB8283" s="1"/>
    </row>
    <row r="8284" spans="15:28">
      <c r="O8284" s="1"/>
      <c r="P8284" s="1"/>
      <c r="Q8284" s="1"/>
      <c r="R8284" s="1"/>
      <c r="Z8284" s="103"/>
      <c r="AA8284" s="103"/>
      <c r="AB8284" s="1"/>
    </row>
    <row r="8285" spans="15:28">
      <c r="O8285" s="1"/>
      <c r="P8285" s="1"/>
      <c r="Q8285" s="1"/>
      <c r="R8285" s="1"/>
      <c r="Z8285" s="103"/>
      <c r="AA8285" s="103"/>
      <c r="AB8285" s="1"/>
    </row>
    <row r="8286" spans="15:28">
      <c r="O8286" s="1"/>
      <c r="P8286" s="1"/>
      <c r="Q8286" s="1"/>
      <c r="R8286" s="1"/>
      <c r="Z8286" s="103"/>
      <c r="AA8286" s="103"/>
      <c r="AB8286" s="1"/>
    </row>
    <row r="8287" spans="15:28">
      <c r="O8287" s="1"/>
      <c r="P8287" s="1"/>
      <c r="Q8287" s="1"/>
      <c r="R8287" s="1"/>
      <c r="Z8287" s="103"/>
      <c r="AA8287" s="103"/>
      <c r="AB8287" s="1"/>
    </row>
    <row r="8288" spans="15:28">
      <c r="O8288" s="1"/>
      <c r="P8288" s="1"/>
      <c r="Q8288" s="1"/>
      <c r="R8288" s="1"/>
      <c r="Z8288" s="103"/>
      <c r="AA8288" s="103"/>
      <c r="AB8288" s="1"/>
    </row>
    <row r="8289" spans="15:28">
      <c r="O8289" s="1"/>
      <c r="P8289" s="1"/>
      <c r="Q8289" s="1"/>
      <c r="R8289" s="1"/>
      <c r="Z8289" s="103"/>
      <c r="AA8289" s="103"/>
      <c r="AB8289" s="1"/>
    </row>
    <row r="8290" spans="15:28">
      <c r="O8290" s="1"/>
      <c r="P8290" s="1"/>
      <c r="Q8290" s="1"/>
      <c r="R8290" s="1"/>
      <c r="Z8290" s="103"/>
      <c r="AA8290" s="103"/>
      <c r="AB8290" s="1"/>
    </row>
    <row r="8291" spans="15:28">
      <c r="O8291" s="1"/>
      <c r="P8291" s="1"/>
      <c r="Q8291" s="1"/>
      <c r="R8291" s="1"/>
      <c r="Z8291" s="103"/>
      <c r="AA8291" s="103"/>
      <c r="AB8291" s="1"/>
    </row>
    <row r="8292" spans="15:28">
      <c r="O8292" s="1"/>
      <c r="P8292" s="1"/>
      <c r="Q8292" s="1"/>
      <c r="R8292" s="1"/>
      <c r="Z8292" s="103"/>
      <c r="AA8292" s="103"/>
      <c r="AB8292" s="1"/>
    </row>
    <row r="8293" spans="15:28">
      <c r="O8293" s="1"/>
      <c r="P8293" s="1"/>
      <c r="Q8293" s="1"/>
      <c r="R8293" s="1"/>
      <c r="Z8293" s="103"/>
      <c r="AA8293" s="103"/>
      <c r="AB8293" s="1"/>
    </row>
    <row r="8294" spans="15:28">
      <c r="O8294" s="1"/>
      <c r="P8294" s="1"/>
      <c r="Q8294" s="1"/>
      <c r="R8294" s="1"/>
      <c r="Z8294" s="103"/>
      <c r="AA8294" s="103"/>
      <c r="AB8294" s="1"/>
    </row>
    <row r="8295" spans="15:28">
      <c r="O8295" s="1"/>
      <c r="P8295" s="1"/>
      <c r="Q8295" s="1"/>
      <c r="R8295" s="1"/>
      <c r="Z8295" s="103"/>
      <c r="AA8295" s="103"/>
      <c r="AB8295" s="1"/>
    </row>
    <row r="8296" spans="15:28">
      <c r="O8296" s="1"/>
      <c r="P8296" s="1"/>
      <c r="Q8296" s="1"/>
      <c r="R8296" s="1"/>
      <c r="Z8296" s="103"/>
      <c r="AA8296" s="103"/>
      <c r="AB8296" s="1"/>
    </row>
    <row r="8297" spans="15:28">
      <c r="O8297" s="1"/>
      <c r="P8297" s="1"/>
      <c r="Q8297" s="1"/>
      <c r="R8297" s="1"/>
      <c r="Z8297" s="103"/>
      <c r="AA8297" s="103"/>
      <c r="AB8297" s="1"/>
    </row>
    <row r="8298" spans="15:28">
      <c r="O8298" s="1"/>
      <c r="P8298" s="1"/>
      <c r="Q8298" s="1"/>
      <c r="R8298" s="1"/>
      <c r="Z8298" s="103"/>
      <c r="AA8298" s="103"/>
      <c r="AB8298" s="1"/>
    </row>
    <row r="8299" spans="15:28">
      <c r="O8299" s="1"/>
      <c r="P8299" s="1"/>
      <c r="Q8299" s="1"/>
      <c r="R8299" s="1"/>
      <c r="Z8299" s="103"/>
      <c r="AA8299" s="103"/>
      <c r="AB8299" s="1"/>
    </row>
    <row r="8300" spans="15:28">
      <c r="O8300" s="1"/>
      <c r="P8300" s="1"/>
      <c r="Q8300" s="1"/>
      <c r="R8300" s="1"/>
      <c r="Z8300" s="103"/>
      <c r="AA8300" s="103"/>
      <c r="AB8300" s="1"/>
    </row>
    <row r="8301" spans="15:28">
      <c r="O8301" s="1"/>
      <c r="P8301" s="1"/>
      <c r="Q8301" s="1"/>
      <c r="R8301" s="1"/>
      <c r="Z8301" s="103"/>
      <c r="AA8301" s="103"/>
      <c r="AB8301" s="1"/>
    </row>
    <row r="8302" spans="15:28">
      <c r="O8302" s="1"/>
      <c r="P8302" s="1"/>
      <c r="Q8302" s="1"/>
      <c r="R8302" s="1"/>
      <c r="Z8302" s="103"/>
      <c r="AA8302" s="103"/>
      <c r="AB8302" s="1"/>
    </row>
    <row r="8303" spans="15:28">
      <c r="O8303" s="1"/>
      <c r="P8303" s="1"/>
      <c r="Q8303" s="1"/>
      <c r="R8303" s="1"/>
      <c r="Z8303" s="103"/>
      <c r="AA8303" s="103"/>
      <c r="AB8303" s="1"/>
    </row>
    <row r="8304" spans="15:28">
      <c r="O8304" s="1"/>
      <c r="P8304" s="1"/>
      <c r="Q8304" s="1"/>
      <c r="R8304" s="1"/>
      <c r="Z8304" s="103"/>
      <c r="AA8304" s="103"/>
      <c r="AB8304" s="1"/>
    </row>
    <row r="8305" spans="15:28">
      <c r="O8305" s="1"/>
      <c r="P8305" s="1"/>
      <c r="Q8305" s="1"/>
      <c r="R8305" s="1"/>
      <c r="Z8305" s="103"/>
      <c r="AA8305" s="103"/>
      <c r="AB8305" s="1"/>
    </row>
    <row r="8306" spans="15:28">
      <c r="O8306" s="1"/>
      <c r="P8306" s="1"/>
      <c r="Q8306" s="1"/>
      <c r="R8306" s="1"/>
      <c r="Z8306" s="103"/>
      <c r="AA8306" s="103"/>
      <c r="AB8306" s="1"/>
    </row>
    <row r="8307" spans="15:28">
      <c r="O8307" s="1"/>
      <c r="P8307" s="1"/>
      <c r="Q8307" s="1"/>
      <c r="R8307" s="1"/>
      <c r="Z8307" s="103"/>
      <c r="AA8307" s="103"/>
      <c r="AB8307" s="1"/>
    </row>
    <row r="8308" spans="15:28">
      <c r="O8308" s="1"/>
      <c r="P8308" s="1"/>
      <c r="Q8308" s="1"/>
      <c r="R8308" s="1"/>
      <c r="Z8308" s="103"/>
      <c r="AA8308" s="103"/>
      <c r="AB8308" s="1"/>
    </row>
    <row r="8309" spans="15:28">
      <c r="O8309" s="1"/>
      <c r="P8309" s="1"/>
      <c r="Q8309" s="1"/>
      <c r="R8309" s="1"/>
      <c r="Z8309" s="103"/>
      <c r="AA8309" s="103"/>
      <c r="AB8309" s="1"/>
    </row>
    <row r="8310" spans="15:28">
      <c r="O8310" s="1"/>
      <c r="P8310" s="1"/>
      <c r="Q8310" s="1"/>
      <c r="R8310" s="1"/>
      <c r="Z8310" s="103"/>
      <c r="AA8310" s="103"/>
      <c r="AB8310" s="1"/>
    </row>
    <row r="8311" spans="15:28">
      <c r="O8311" s="1"/>
      <c r="P8311" s="1"/>
      <c r="Q8311" s="1"/>
      <c r="R8311" s="1"/>
      <c r="Z8311" s="103"/>
      <c r="AA8311" s="103"/>
      <c r="AB8311" s="1"/>
    </row>
    <row r="8312" spans="15:28">
      <c r="O8312" s="1"/>
      <c r="P8312" s="1"/>
      <c r="Q8312" s="1"/>
      <c r="R8312" s="1"/>
      <c r="Z8312" s="103"/>
      <c r="AA8312" s="103"/>
      <c r="AB8312" s="1"/>
    </row>
    <row r="8313" spans="15:28">
      <c r="O8313" s="1"/>
      <c r="P8313" s="1"/>
      <c r="Q8313" s="1"/>
      <c r="R8313" s="1"/>
      <c r="Z8313" s="103"/>
      <c r="AA8313" s="103"/>
      <c r="AB8313" s="1"/>
    </row>
    <row r="8314" spans="15:28">
      <c r="O8314" s="1"/>
      <c r="P8314" s="1"/>
      <c r="Q8314" s="1"/>
      <c r="R8314" s="1"/>
      <c r="Z8314" s="103"/>
      <c r="AA8314" s="103"/>
      <c r="AB8314" s="1"/>
    </row>
    <row r="8315" spans="15:28">
      <c r="O8315" s="1"/>
      <c r="P8315" s="1"/>
      <c r="Q8315" s="1"/>
      <c r="R8315" s="1"/>
      <c r="Z8315" s="103"/>
      <c r="AA8315" s="103"/>
      <c r="AB8315" s="1"/>
    </row>
    <row r="8316" spans="15:28">
      <c r="O8316" s="1"/>
      <c r="P8316" s="1"/>
      <c r="Q8316" s="1"/>
      <c r="R8316" s="1"/>
      <c r="Z8316" s="103"/>
      <c r="AA8316" s="103"/>
      <c r="AB8316" s="1"/>
    </row>
    <row r="8317" spans="15:28">
      <c r="O8317" s="1"/>
      <c r="P8317" s="1"/>
      <c r="Q8317" s="1"/>
      <c r="R8317" s="1"/>
      <c r="Z8317" s="103"/>
      <c r="AA8317" s="103"/>
      <c r="AB8317" s="1"/>
    </row>
    <row r="8318" spans="15:28">
      <c r="O8318" s="1"/>
      <c r="P8318" s="1"/>
      <c r="Q8318" s="1"/>
      <c r="R8318" s="1"/>
      <c r="Z8318" s="103"/>
      <c r="AA8318" s="103"/>
      <c r="AB8318" s="1"/>
    </row>
    <row r="8319" spans="15:28">
      <c r="O8319" s="1"/>
      <c r="P8319" s="1"/>
      <c r="Q8319" s="1"/>
      <c r="R8319" s="1"/>
      <c r="Z8319" s="103"/>
      <c r="AA8319" s="103"/>
      <c r="AB8319" s="1"/>
    </row>
    <row r="8320" spans="15:28">
      <c r="O8320" s="1"/>
      <c r="P8320" s="1"/>
      <c r="Q8320" s="1"/>
      <c r="R8320" s="1"/>
      <c r="Z8320" s="103"/>
      <c r="AA8320" s="103"/>
      <c r="AB8320" s="1"/>
    </row>
    <row r="8321" spans="15:28">
      <c r="O8321" s="1"/>
      <c r="P8321" s="1"/>
      <c r="Q8321" s="1"/>
      <c r="R8321" s="1"/>
      <c r="Z8321" s="103"/>
      <c r="AA8321" s="103"/>
      <c r="AB8321" s="1"/>
    </row>
    <row r="8322" spans="15:28">
      <c r="O8322" s="1"/>
      <c r="P8322" s="1"/>
      <c r="Q8322" s="1"/>
      <c r="R8322" s="1"/>
      <c r="Z8322" s="103"/>
      <c r="AA8322" s="103"/>
      <c r="AB8322" s="1"/>
    </row>
    <row r="8323" spans="15:28">
      <c r="O8323" s="1"/>
      <c r="P8323" s="1"/>
      <c r="Q8323" s="1"/>
      <c r="R8323" s="1"/>
      <c r="Z8323" s="103"/>
      <c r="AA8323" s="103"/>
      <c r="AB8323" s="1"/>
    </row>
    <row r="8324" spans="15:28">
      <c r="O8324" s="1"/>
      <c r="P8324" s="1"/>
      <c r="Q8324" s="1"/>
      <c r="R8324" s="1"/>
      <c r="Z8324" s="103"/>
      <c r="AA8324" s="103"/>
      <c r="AB8324" s="1"/>
    </row>
    <row r="8325" spans="15:28">
      <c r="O8325" s="1"/>
      <c r="P8325" s="1"/>
      <c r="Q8325" s="1"/>
      <c r="R8325" s="1"/>
      <c r="Z8325" s="103"/>
      <c r="AA8325" s="103"/>
      <c r="AB8325" s="1"/>
    </row>
    <row r="8326" spans="15:28">
      <c r="O8326" s="1"/>
      <c r="P8326" s="1"/>
      <c r="Q8326" s="1"/>
      <c r="R8326" s="1"/>
      <c r="Z8326" s="103"/>
      <c r="AA8326" s="103"/>
      <c r="AB8326" s="1"/>
    </row>
    <row r="8327" spans="15:28">
      <c r="O8327" s="1"/>
      <c r="P8327" s="1"/>
      <c r="Q8327" s="1"/>
      <c r="R8327" s="1"/>
      <c r="Z8327" s="103"/>
      <c r="AA8327" s="103"/>
      <c r="AB8327" s="1"/>
    </row>
    <row r="8328" spans="15:28">
      <c r="O8328" s="1"/>
      <c r="P8328" s="1"/>
      <c r="Q8328" s="1"/>
      <c r="R8328" s="1"/>
      <c r="Z8328" s="103"/>
      <c r="AA8328" s="103"/>
      <c r="AB8328" s="1"/>
    </row>
    <row r="8329" spans="15:28">
      <c r="O8329" s="1"/>
      <c r="P8329" s="1"/>
      <c r="Q8329" s="1"/>
      <c r="R8329" s="1"/>
      <c r="Z8329" s="103"/>
      <c r="AA8329" s="103"/>
      <c r="AB8329" s="1"/>
    </row>
    <row r="8330" spans="15:28">
      <c r="O8330" s="1"/>
      <c r="P8330" s="1"/>
      <c r="Q8330" s="1"/>
      <c r="R8330" s="1"/>
      <c r="Z8330" s="103"/>
      <c r="AA8330" s="103"/>
      <c r="AB8330" s="1"/>
    </row>
    <row r="8331" spans="15:28">
      <c r="O8331" s="1"/>
      <c r="P8331" s="1"/>
      <c r="Q8331" s="1"/>
      <c r="R8331" s="1"/>
      <c r="Z8331" s="103"/>
      <c r="AA8331" s="103"/>
      <c r="AB8331" s="1"/>
    </row>
    <row r="8332" spans="15:28">
      <c r="O8332" s="1"/>
      <c r="P8332" s="1"/>
      <c r="Q8332" s="1"/>
      <c r="R8332" s="1"/>
      <c r="Z8332" s="103"/>
      <c r="AA8332" s="103"/>
      <c r="AB8332" s="1"/>
    </row>
    <row r="8333" spans="15:28">
      <c r="O8333" s="1"/>
      <c r="P8333" s="1"/>
      <c r="Q8333" s="1"/>
      <c r="R8333" s="1"/>
      <c r="Z8333" s="103"/>
      <c r="AA8333" s="103"/>
      <c r="AB8333" s="1"/>
    </row>
    <row r="8334" spans="15:28">
      <c r="O8334" s="1"/>
      <c r="P8334" s="1"/>
      <c r="Q8334" s="1"/>
      <c r="R8334" s="1"/>
      <c r="Z8334" s="103"/>
      <c r="AA8334" s="103"/>
      <c r="AB8334" s="1"/>
    </row>
    <row r="8335" spans="15:28">
      <c r="O8335" s="1"/>
      <c r="P8335" s="1"/>
      <c r="Q8335" s="1"/>
      <c r="R8335" s="1"/>
      <c r="Z8335" s="103"/>
      <c r="AA8335" s="103"/>
      <c r="AB8335" s="1"/>
    </row>
    <row r="8336" spans="15:28">
      <c r="O8336" s="1"/>
      <c r="P8336" s="1"/>
      <c r="Q8336" s="1"/>
      <c r="R8336" s="1"/>
      <c r="Z8336" s="103"/>
      <c r="AA8336" s="103"/>
      <c r="AB8336" s="1"/>
    </row>
    <row r="8337" spans="15:28">
      <c r="O8337" s="1"/>
      <c r="P8337" s="1"/>
      <c r="Q8337" s="1"/>
      <c r="R8337" s="1"/>
      <c r="Z8337" s="103"/>
      <c r="AA8337" s="103"/>
      <c r="AB8337" s="1"/>
    </row>
    <row r="8338" spans="15:28">
      <c r="O8338" s="1"/>
      <c r="P8338" s="1"/>
      <c r="Q8338" s="1"/>
      <c r="R8338" s="1"/>
      <c r="Z8338" s="103"/>
      <c r="AA8338" s="103"/>
      <c r="AB8338" s="1"/>
    </row>
    <row r="8339" spans="15:28">
      <c r="O8339" s="1"/>
      <c r="P8339" s="1"/>
      <c r="Q8339" s="1"/>
      <c r="R8339" s="1"/>
      <c r="Z8339" s="103"/>
      <c r="AA8339" s="103"/>
      <c r="AB8339" s="1"/>
    </row>
    <row r="8340" spans="15:28">
      <c r="O8340" s="1"/>
      <c r="P8340" s="1"/>
      <c r="Q8340" s="1"/>
      <c r="R8340" s="1"/>
      <c r="Z8340" s="103"/>
      <c r="AA8340" s="103"/>
      <c r="AB8340" s="1"/>
    </row>
    <row r="8341" spans="15:28">
      <c r="O8341" s="1"/>
      <c r="P8341" s="1"/>
      <c r="Q8341" s="1"/>
      <c r="R8341" s="1"/>
      <c r="Z8341" s="103"/>
      <c r="AA8341" s="103"/>
      <c r="AB8341" s="1"/>
    </row>
    <row r="8342" spans="15:28">
      <c r="O8342" s="1"/>
      <c r="P8342" s="1"/>
      <c r="Q8342" s="1"/>
      <c r="R8342" s="1"/>
      <c r="Z8342" s="103"/>
      <c r="AA8342" s="103"/>
      <c r="AB8342" s="1"/>
    </row>
    <row r="8343" spans="15:28">
      <c r="O8343" s="1"/>
      <c r="P8343" s="1"/>
      <c r="Q8343" s="1"/>
      <c r="R8343" s="1"/>
      <c r="Z8343" s="103"/>
      <c r="AA8343" s="103"/>
      <c r="AB8343" s="1"/>
    </row>
    <row r="8344" spans="15:28">
      <c r="O8344" s="1"/>
      <c r="P8344" s="1"/>
      <c r="Q8344" s="1"/>
      <c r="R8344" s="1"/>
      <c r="Z8344" s="103"/>
      <c r="AA8344" s="103"/>
      <c r="AB8344" s="1"/>
    </row>
    <row r="8345" spans="15:28">
      <c r="O8345" s="1"/>
      <c r="P8345" s="1"/>
      <c r="Q8345" s="1"/>
      <c r="R8345" s="1"/>
      <c r="Z8345" s="103"/>
      <c r="AA8345" s="103"/>
      <c r="AB8345" s="1"/>
    </row>
    <row r="8346" spans="15:28">
      <c r="O8346" s="1"/>
      <c r="P8346" s="1"/>
      <c r="Q8346" s="1"/>
      <c r="R8346" s="1"/>
      <c r="Z8346" s="103"/>
      <c r="AA8346" s="103"/>
      <c r="AB8346" s="1"/>
    </row>
    <row r="8347" spans="15:28">
      <c r="O8347" s="1"/>
      <c r="P8347" s="1"/>
      <c r="Q8347" s="1"/>
      <c r="R8347" s="1"/>
      <c r="Z8347" s="103"/>
      <c r="AA8347" s="103"/>
      <c r="AB8347" s="1"/>
    </row>
    <row r="8348" spans="15:28">
      <c r="O8348" s="1"/>
      <c r="P8348" s="1"/>
      <c r="Q8348" s="1"/>
      <c r="R8348" s="1"/>
      <c r="Z8348" s="103"/>
      <c r="AA8348" s="103"/>
      <c r="AB8348" s="1"/>
    </row>
    <row r="8349" spans="15:28">
      <c r="O8349" s="1"/>
      <c r="P8349" s="1"/>
      <c r="Q8349" s="1"/>
      <c r="R8349" s="1"/>
      <c r="Z8349" s="103"/>
      <c r="AA8349" s="103"/>
      <c r="AB8349" s="1"/>
    </row>
    <row r="8350" spans="15:28">
      <c r="O8350" s="1"/>
      <c r="P8350" s="1"/>
      <c r="Q8350" s="1"/>
      <c r="R8350" s="1"/>
      <c r="Z8350" s="103"/>
      <c r="AA8350" s="103"/>
      <c r="AB8350" s="1"/>
    </row>
    <row r="8351" spans="15:28">
      <c r="O8351" s="1"/>
      <c r="P8351" s="1"/>
      <c r="Q8351" s="1"/>
      <c r="R8351" s="1"/>
      <c r="Z8351" s="103"/>
      <c r="AA8351" s="103"/>
      <c r="AB8351" s="1"/>
    </row>
    <row r="8352" spans="15:28">
      <c r="O8352" s="1"/>
      <c r="P8352" s="1"/>
      <c r="Q8352" s="1"/>
      <c r="R8352" s="1"/>
      <c r="Z8352" s="103"/>
      <c r="AA8352" s="103"/>
      <c r="AB8352" s="1"/>
    </row>
    <row r="8353" spans="15:28">
      <c r="O8353" s="1"/>
      <c r="P8353" s="1"/>
      <c r="Q8353" s="1"/>
      <c r="R8353" s="1"/>
      <c r="Z8353" s="103"/>
      <c r="AA8353" s="103"/>
      <c r="AB8353" s="1"/>
    </row>
    <row r="8354" spans="15:28">
      <c r="O8354" s="1"/>
      <c r="P8354" s="1"/>
      <c r="Q8354" s="1"/>
      <c r="R8354" s="1"/>
      <c r="Z8354" s="103"/>
      <c r="AA8354" s="103"/>
      <c r="AB8354" s="1"/>
    </row>
    <row r="8355" spans="15:28">
      <c r="O8355" s="1"/>
      <c r="P8355" s="1"/>
      <c r="Q8355" s="1"/>
      <c r="R8355" s="1"/>
      <c r="Z8355" s="103"/>
      <c r="AA8355" s="103"/>
      <c r="AB8355" s="1"/>
    </row>
    <row r="8356" spans="15:28">
      <c r="O8356" s="1"/>
      <c r="P8356" s="1"/>
      <c r="Q8356" s="1"/>
      <c r="R8356" s="1"/>
      <c r="Z8356" s="103"/>
      <c r="AA8356" s="103"/>
      <c r="AB8356" s="1"/>
    </row>
    <row r="8357" spans="15:28">
      <c r="O8357" s="1"/>
      <c r="P8357" s="1"/>
      <c r="Q8357" s="1"/>
      <c r="R8357" s="1"/>
      <c r="Z8357" s="103"/>
      <c r="AA8357" s="103"/>
      <c r="AB8357" s="1"/>
    </row>
    <row r="8358" spans="15:28">
      <c r="O8358" s="1"/>
      <c r="P8358" s="1"/>
      <c r="Q8358" s="1"/>
      <c r="R8358" s="1"/>
      <c r="Z8358" s="103"/>
      <c r="AA8358" s="103"/>
      <c r="AB8358" s="1"/>
    </row>
    <row r="8359" spans="15:28">
      <c r="O8359" s="1"/>
      <c r="P8359" s="1"/>
      <c r="Q8359" s="1"/>
      <c r="R8359" s="1"/>
      <c r="Z8359" s="103"/>
      <c r="AA8359" s="103"/>
      <c r="AB8359" s="1"/>
    </row>
    <row r="8360" spans="15:28">
      <c r="O8360" s="1"/>
      <c r="P8360" s="1"/>
      <c r="Q8360" s="1"/>
      <c r="R8360" s="1"/>
      <c r="Z8360" s="103"/>
      <c r="AA8360" s="103"/>
      <c r="AB8360" s="1"/>
    </row>
    <row r="8361" spans="15:28">
      <c r="O8361" s="1"/>
      <c r="P8361" s="1"/>
      <c r="Q8361" s="1"/>
      <c r="R8361" s="1"/>
      <c r="Z8361" s="103"/>
      <c r="AA8361" s="103"/>
      <c r="AB8361" s="1"/>
    </row>
    <row r="8362" spans="15:28">
      <c r="O8362" s="1"/>
      <c r="P8362" s="1"/>
      <c r="Q8362" s="1"/>
      <c r="R8362" s="1"/>
      <c r="Z8362" s="103"/>
      <c r="AA8362" s="103"/>
      <c r="AB8362" s="1"/>
    </row>
    <row r="8363" spans="15:28">
      <c r="O8363" s="1"/>
      <c r="P8363" s="1"/>
      <c r="Q8363" s="1"/>
      <c r="R8363" s="1"/>
      <c r="Z8363" s="103"/>
      <c r="AA8363" s="103"/>
      <c r="AB8363" s="1"/>
    </row>
    <row r="8364" spans="15:28">
      <c r="O8364" s="1"/>
      <c r="P8364" s="1"/>
      <c r="Q8364" s="1"/>
      <c r="R8364" s="1"/>
      <c r="Z8364" s="103"/>
      <c r="AA8364" s="103"/>
      <c r="AB8364" s="1"/>
    </row>
    <row r="8365" spans="15:28">
      <c r="O8365" s="1"/>
      <c r="P8365" s="1"/>
      <c r="Q8365" s="1"/>
      <c r="R8365" s="1"/>
      <c r="Z8365" s="103"/>
      <c r="AA8365" s="103"/>
      <c r="AB8365" s="1"/>
    </row>
    <row r="8366" spans="15:28">
      <c r="O8366" s="1"/>
      <c r="P8366" s="1"/>
      <c r="Q8366" s="1"/>
      <c r="R8366" s="1"/>
      <c r="Z8366" s="103"/>
      <c r="AA8366" s="103"/>
      <c r="AB8366" s="1"/>
    </row>
    <row r="8367" spans="15:28">
      <c r="O8367" s="1"/>
      <c r="P8367" s="1"/>
      <c r="Q8367" s="1"/>
      <c r="R8367" s="1"/>
      <c r="Z8367" s="103"/>
      <c r="AA8367" s="103"/>
      <c r="AB8367" s="1"/>
    </row>
    <row r="8368" spans="15:28">
      <c r="O8368" s="1"/>
      <c r="P8368" s="1"/>
      <c r="Q8368" s="1"/>
      <c r="R8368" s="1"/>
      <c r="Z8368" s="103"/>
      <c r="AA8368" s="103"/>
      <c r="AB8368" s="1"/>
    </row>
    <row r="8369" spans="15:28">
      <c r="O8369" s="1"/>
      <c r="P8369" s="1"/>
      <c r="Q8369" s="1"/>
      <c r="R8369" s="1"/>
      <c r="Z8369" s="103"/>
      <c r="AA8369" s="103"/>
      <c r="AB8369" s="1"/>
    </row>
    <row r="8370" spans="15:28">
      <c r="O8370" s="1"/>
      <c r="P8370" s="1"/>
      <c r="Q8370" s="1"/>
      <c r="R8370" s="1"/>
      <c r="Z8370" s="103"/>
      <c r="AA8370" s="103"/>
      <c r="AB8370" s="1"/>
    </row>
    <row r="8371" spans="15:28">
      <c r="O8371" s="1"/>
      <c r="P8371" s="1"/>
      <c r="Q8371" s="1"/>
      <c r="R8371" s="1"/>
      <c r="Z8371" s="103"/>
      <c r="AA8371" s="103"/>
      <c r="AB8371" s="1"/>
    </row>
    <row r="8372" spans="15:28">
      <c r="O8372" s="1"/>
      <c r="P8372" s="1"/>
      <c r="Q8372" s="1"/>
      <c r="R8372" s="1"/>
      <c r="Z8372" s="103"/>
      <c r="AA8372" s="103"/>
      <c r="AB8372" s="1"/>
    </row>
    <row r="8373" spans="15:28">
      <c r="O8373" s="1"/>
      <c r="P8373" s="1"/>
      <c r="Q8373" s="1"/>
      <c r="R8373" s="1"/>
      <c r="Z8373" s="103"/>
      <c r="AA8373" s="103"/>
      <c r="AB8373" s="1"/>
    </row>
    <row r="8374" spans="15:28">
      <c r="O8374" s="1"/>
      <c r="P8374" s="1"/>
      <c r="Q8374" s="1"/>
      <c r="R8374" s="1"/>
      <c r="Z8374" s="103"/>
      <c r="AA8374" s="103"/>
      <c r="AB8374" s="1"/>
    </row>
    <row r="8375" spans="15:28">
      <c r="O8375" s="1"/>
      <c r="P8375" s="1"/>
      <c r="Q8375" s="1"/>
      <c r="R8375" s="1"/>
      <c r="Z8375" s="103"/>
      <c r="AA8375" s="103"/>
      <c r="AB8375" s="1"/>
    </row>
    <row r="8376" spans="15:28">
      <c r="O8376" s="1"/>
      <c r="P8376" s="1"/>
      <c r="Q8376" s="1"/>
      <c r="R8376" s="1"/>
      <c r="Z8376" s="103"/>
      <c r="AA8376" s="103"/>
      <c r="AB8376" s="1"/>
    </row>
    <row r="8377" spans="15:28">
      <c r="O8377" s="1"/>
      <c r="P8377" s="1"/>
      <c r="Q8377" s="1"/>
      <c r="R8377" s="1"/>
      <c r="Z8377" s="103"/>
      <c r="AA8377" s="103"/>
      <c r="AB8377" s="1"/>
    </row>
    <row r="8378" spans="15:28">
      <c r="O8378" s="1"/>
      <c r="P8378" s="1"/>
      <c r="Q8378" s="1"/>
      <c r="R8378" s="1"/>
      <c r="Z8378" s="103"/>
      <c r="AA8378" s="103"/>
      <c r="AB8378" s="1"/>
    </row>
    <row r="8379" spans="15:28">
      <c r="O8379" s="1"/>
      <c r="P8379" s="1"/>
      <c r="Q8379" s="1"/>
      <c r="R8379" s="1"/>
      <c r="Z8379" s="103"/>
      <c r="AA8379" s="103"/>
      <c r="AB8379" s="1"/>
    </row>
    <row r="8380" spans="15:28">
      <c r="O8380" s="1"/>
      <c r="P8380" s="1"/>
      <c r="Q8380" s="1"/>
      <c r="R8380" s="1"/>
      <c r="Z8380" s="103"/>
      <c r="AA8380" s="103"/>
      <c r="AB8380" s="1"/>
    </row>
    <row r="8381" spans="15:28">
      <c r="O8381" s="1"/>
      <c r="P8381" s="1"/>
      <c r="Q8381" s="1"/>
      <c r="R8381" s="1"/>
      <c r="Z8381" s="103"/>
      <c r="AA8381" s="103"/>
      <c r="AB8381" s="1"/>
    </row>
    <row r="8382" spans="15:28">
      <c r="O8382" s="1"/>
      <c r="P8382" s="1"/>
      <c r="Q8382" s="1"/>
      <c r="R8382" s="1"/>
      <c r="Z8382" s="103"/>
      <c r="AA8382" s="103"/>
      <c r="AB8382" s="1"/>
    </row>
    <row r="8383" spans="15:28">
      <c r="O8383" s="1"/>
      <c r="P8383" s="1"/>
      <c r="Q8383" s="1"/>
      <c r="R8383" s="1"/>
      <c r="Z8383" s="103"/>
      <c r="AA8383" s="103"/>
      <c r="AB8383" s="1"/>
    </row>
    <row r="8384" spans="15:28">
      <c r="O8384" s="1"/>
      <c r="P8384" s="1"/>
      <c r="Q8384" s="1"/>
      <c r="R8384" s="1"/>
      <c r="Z8384" s="103"/>
      <c r="AA8384" s="103"/>
      <c r="AB8384" s="1"/>
    </row>
    <row r="8385" spans="15:28">
      <c r="O8385" s="1"/>
      <c r="P8385" s="1"/>
      <c r="Q8385" s="1"/>
      <c r="R8385" s="1"/>
      <c r="Z8385" s="103"/>
      <c r="AA8385" s="103"/>
      <c r="AB8385" s="1"/>
    </row>
    <row r="8386" spans="15:28">
      <c r="O8386" s="1"/>
      <c r="P8386" s="1"/>
      <c r="Q8386" s="1"/>
      <c r="R8386" s="1"/>
      <c r="Z8386" s="103"/>
      <c r="AA8386" s="103"/>
      <c r="AB8386" s="1"/>
    </row>
    <row r="8387" spans="15:28">
      <c r="O8387" s="1"/>
      <c r="P8387" s="1"/>
      <c r="Q8387" s="1"/>
      <c r="R8387" s="1"/>
      <c r="Z8387" s="103"/>
      <c r="AA8387" s="103"/>
      <c r="AB8387" s="1"/>
    </row>
    <row r="8388" spans="15:28">
      <c r="O8388" s="1"/>
      <c r="P8388" s="1"/>
      <c r="Q8388" s="1"/>
      <c r="R8388" s="1"/>
      <c r="Z8388" s="103"/>
      <c r="AA8388" s="103"/>
      <c r="AB8388" s="1"/>
    </row>
    <row r="8389" spans="15:28">
      <c r="O8389" s="1"/>
      <c r="P8389" s="1"/>
      <c r="Q8389" s="1"/>
      <c r="R8389" s="1"/>
      <c r="Z8389" s="103"/>
      <c r="AA8389" s="103"/>
      <c r="AB8389" s="1"/>
    </row>
    <row r="8390" spans="15:28">
      <c r="O8390" s="1"/>
      <c r="P8390" s="1"/>
      <c r="Q8390" s="1"/>
      <c r="R8390" s="1"/>
      <c r="Z8390" s="103"/>
      <c r="AA8390" s="103"/>
      <c r="AB8390" s="1"/>
    </row>
    <row r="8391" spans="15:28">
      <c r="O8391" s="1"/>
      <c r="P8391" s="1"/>
      <c r="Q8391" s="1"/>
      <c r="R8391" s="1"/>
      <c r="Z8391" s="103"/>
      <c r="AA8391" s="103"/>
      <c r="AB8391" s="1"/>
    </row>
    <row r="8392" spans="15:28">
      <c r="O8392" s="1"/>
      <c r="P8392" s="1"/>
      <c r="Q8392" s="1"/>
      <c r="R8392" s="1"/>
      <c r="Z8392" s="103"/>
      <c r="AA8392" s="103"/>
      <c r="AB8392" s="1"/>
    </row>
    <row r="8393" spans="15:28">
      <c r="O8393" s="1"/>
      <c r="P8393" s="1"/>
      <c r="Q8393" s="1"/>
      <c r="R8393" s="1"/>
      <c r="Z8393" s="103"/>
      <c r="AA8393" s="103"/>
      <c r="AB8393" s="1"/>
    </row>
    <row r="8394" spans="15:28">
      <c r="O8394" s="1"/>
      <c r="P8394" s="1"/>
      <c r="Q8394" s="1"/>
      <c r="R8394" s="1"/>
      <c r="Z8394" s="103"/>
      <c r="AA8394" s="103"/>
      <c r="AB8394" s="1"/>
    </row>
    <row r="8395" spans="15:28">
      <c r="O8395" s="1"/>
      <c r="P8395" s="1"/>
      <c r="Q8395" s="1"/>
      <c r="R8395" s="1"/>
      <c r="Z8395" s="103"/>
      <c r="AA8395" s="103"/>
      <c r="AB8395" s="1"/>
    </row>
    <row r="8396" spans="15:28">
      <c r="O8396" s="1"/>
      <c r="P8396" s="1"/>
      <c r="Q8396" s="1"/>
      <c r="R8396" s="1"/>
      <c r="Z8396" s="103"/>
      <c r="AA8396" s="103"/>
      <c r="AB8396" s="1"/>
    </row>
    <row r="8397" spans="15:28">
      <c r="O8397" s="1"/>
      <c r="P8397" s="1"/>
      <c r="Q8397" s="1"/>
      <c r="R8397" s="1"/>
      <c r="Z8397" s="103"/>
      <c r="AA8397" s="103"/>
      <c r="AB8397" s="1"/>
    </row>
    <row r="8398" spans="15:28">
      <c r="O8398" s="1"/>
      <c r="P8398" s="1"/>
      <c r="Q8398" s="1"/>
      <c r="R8398" s="1"/>
      <c r="Z8398" s="103"/>
      <c r="AA8398" s="103"/>
      <c r="AB8398" s="1"/>
    </row>
    <row r="8399" spans="15:28">
      <c r="O8399" s="1"/>
      <c r="P8399" s="1"/>
      <c r="Q8399" s="1"/>
      <c r="R8399" s="1"/>
      <c r="Z8399" s="103"/>
      <c r="AA8399" s="103"/>
      <c r="AB8399" s="1"/>
    </row>
    <row r="8400" spans="15:28">
      <c r="O8400" s="1"/>
      <c r="P8400" s="1"/>
      <c r="Q8400" s="1"/>
      <c r="R8400" s="1"/>
      <c r="Z8400" s="103"/>
      <c r="AA8400" s="103"/>
      <c r="AB8400" s="1"/>
    </row>
    <row r="8401" spans="15:28">
      <c r="O8401" s="1"/>
      <c r="P8401" s="1"/>
      <c r="Q8401" s="1"/>
      <c r="R8401" s="1"/>
      <c r="Z8401" s="103"/>
      <c r="AA8401" s="103"/>
      <c r="AB8401" s="1"/>
    </row>
    <row r="8402" spans="15:28">
      <c r="O8402" s="1"/>
      <c r="P8402" s="1"/>
      <c r="Q8402" s="1"/>
      <c r="R8402" s="1"/>
      <c r="Z8402" s="103"/>
      <c r="AA8402" s="103"/>
      <c r="AB8402" s="1"/>
    </row>
    <row r="8403" spans="15:28">
      <c r="O8403" s="1"/>
      <c r="P8403" s="1"/>
      <c r="Q8403" s="1"/>
      <c r="R8403" s="1"/>
      <c r="Z8403" s="103"/>
      <c r="AA8403" s="103"/>
      <c r="AB8403" s="1"/>
    </row>
    <row r="8404" spans="15:28">
      <c r="O8404" s="1"/>
      <c r="P8404" s="1"/>
      <c r="Q8404" s="1"/>
      <c r="R8404" s="1"/>
      <c r="Z8404" s="103"/>
      <c r="AA8404" s="103"/>
      <c r="AB8404" s="1"/>
    </row>
    <row r="8405" spans="15:28">
      <c r="O8405" s="1"/>
      <c r="P8405" s="1"/>
      <c r="Q8405" s="1"/>
      <c r="R8405" s="1"/>
      <c r="Z8405" s="103"/>
      <c r="AA8405" s="103"/>
      <c r="AB8405" s="1"/>
    </row>
    <row r="8406" spans="15:28">
      <c r="O8406" s="1"/>
      <c r="P8406" s="1"/>
      <c r="Q8406" s="1"/>
      <c r="R8406" s="1"/>
      <c r="Z8406" s="103"/>
      <c r="AA8406" s="103"/>
      <c r="AB8406" s="1"/>
    </row>
    <row r="8407" spans="15:28">
      <c r="O8407" s="1"/>
      <c r="P8407" s="1"/>
      <c r="Q8407" s="1"/>
      <c r="R8407" s="1"/>
      <c r="Z8407" s="103"/>
      <c r="AA8407" s="103"/>
      <c r="AB8407" s="1"/>
    </row>
    <row r="8408" spans="15:28">
      <c r="O8408" s="1"/>
      <c r="P8408" s="1"/>
      <c r="Q8408" s="1"/>
      <c r="R8408" s="1"/>
      <c r="Z8408" s="103"/>
      <c r="AA8408" s="103"/>
      <c r="AB8408" s="1"/>
    </row>
    <row r="8409" spans="15:28">
      <c r="O8409" s="1"/>
      <c r="P8409" s="1"/>
      <c r="Q8409" s="1"/>
      <c r="R8409" s="1"/>
      <c r="Z8409" s="103"/>
      <c r="AA8409" s="103"/>
      <c r="AB8409" s="1"/>
    </row>
    <row r="8410" spans="15:28">
      <c r="O8410" s="1"/>
      <c r="P8410" s="1"/>
      <c r="Q8410" s="1"/>
      <c r="R8410" s="1"/>
      <c r="Z8410" s="103"/>
      <c r="AA8410" s="103"/>
      <c r="AB8410" s="1"/>
    </row>
    <row r="8411" spans="15:28">
      <c r="O8411" s="1"/>
      <c r="P8411" s="1"/>
      <c r="Q8411" s="1"/>
      <c r="R8411" s="1"/>
      <c r="Z8411" s="103"/>
      <c r="AA8411" s="103"/>
      <c r="AB8411" s="1"/>
    </row>
    <row r="8412" spans="15:28">
      <c r="O8412" s="1"/>
      <c r="P8412" s="1"/>
      <c r="Q8412" s="1"/>
      <c r="R8412" s="1"/>
      <c r="Z8412" s="103"/>
      <c r="AA8412" s="103"/>
      <c r="AB8412" s="1"/>
    </row>
    <row r="8413" spans="15:28">
      <c r="O8413" s="1"/>
      <c r="P8413" s="1"/>
      <c r="Q8413" s="1"/>
      <c r="R8413" s="1"/>
      <c r="Z8413" s="103"/>
      <c r="AA8413" s="103"/>
      <c r="AB8413" s="1"/>
    </row>
    <row r="8414" spans="15:28">
      <c r="O8414" s="1"/>
      <c r="P8414" s="1"/>
      <c r="Q8414" s="1"/>
      <c r="R8414" s="1"/>
      <c r="Z8414" s="103"/>
      <c r="AA8414" s="103"/>
      <c r="AB8414" s="1"/>
    </row>
    <row r="8415" spans="15:28">
      <c r="O8415" s="1"/>
      <c r="P8415" s="1"/>
      <c r="Q8415" s="1"/>
      <c r="R8415" s="1"/>
      <c r="Z8415" s="103"/>
      <c r="AA8415" s="103"/>
      <c r="AB8415" s="1"/>
    </row>
    <row r="8416" spans="15:28">
      <c r="O8416" s="1"/>
      <c r="P8416" s="1"/>
      <c r="Q8416" s="1"/>
      <c r="R8416" s="1"/>
      <c r="Z8416" s="103"/>
      <c r="AA8416" s="103"/>
      <c r="AB8416" s="1"/>
    </row>
    <row r="8417" spans="15:28">
      <c r="O8417" s="1"/>
      <c r="P8417" s="1"/>
      <c r="Q8417" s="1"/>
      <c r="R8417" s="1"/>
      <c r="Z8417" s="103"/>
      <c r="AA8417" s="103"/>
      <c r="AB8417" s="1"/>
    </row>
    <row r="8418" spans="15:28">
      <c r="O8418" s="1"/>
      <c r="P8418" s="1"/>
      <c r="Q8418" s="1"/>
      <c r="R8418" s="1"/>
      <c r="Z8418" s="103"/>
      <c r="AA8418" s="103"/>
      <c r="AB8418" s="1"/>
    </row>
    <row r="8419" spans="15:28">
      <c r="O8419" s="1"/>
      <c r="P8419" s="1"/>
      <c r="Q8419" s="1"/>
      <c r="R8419" s="1"/>
      <c r="Z8419" s="103"/>
      <c r="AA8419" s="103"/>
      <c r="AB8419" s="1"/>
    </row>
    <row r="8420" spans="15:28">
      <c r="O8420" s="1"/>
      <c r="P8420" s="1"/>
      <c r="Q8420" s="1"/>
      <c r="R8420" s="1"/>
      <c r="Z8420" s="103"/>
      <c r="AA8420" s="103"/>
      <c r="AB8420" s="1"/>
    </row>
    <row r="8421" spans="15:28">
      <c r="O8421" s="1"/>
      <c r="P8421" s="1"/>
      <c r="Q8421" s="1"/>
      <c r="R8421" s="1"/>
      <c r="Z8421" s="103"/>
      <c r="AA8421" s="103"/>
      <c r="AB8421" s="1"/>
    </row>
    <row r="8422" spans="15:28">
      <c r="O8422" s="1"/>
      <c r="P8422" s="1"/>
      <c r="Q8422" s="1"/>
      <c r="R8422" s="1"/>
      <c r="Z8422" s="103"/>
      <c r="AA8422" s="103"/>
      <c r="AB8422" s="1"/>
    </row>
    <row r="8423" spans="15:28">
      <c r="O8423" s="1"/>
      <c r="P8423" s="1"/>
      <c r="Q8423" s="1"/>
      <c r="R8423" s="1"/>
      <c r="Z8423" s="103"/>
      <c r="AA8423" s="103"/>
      <c r="AB8423" s="1"/>
    </row>
    <row r="8424" spans="15:28">
      <c r="O8424" s="1"/>
      <c r="P8424" s="1"/>
      <c r="Q8424" s="1"/>
      <c r="R8424" s="1"/>
      <c r="Z8424" s="103"/>
      <c r="AA8424" s="103"/>
      <c r="AB8424" s="1"/>
    </row>
    <row r="8425" spans="15:28">
      <c r="O8425" s="1"/>
      <c r="P8425" s="1"/>
      <c r="Q8425" s="1"/>
      <c r="R8425" s="1"/>
      <c r="Z8425" s="103"/>
      <c r="AA8425" s="103"/>
      <c r="AB8425" s="1"/>
    </row>
    <row r="8426" spans="15:28">
      <c r="O8426" s="1"/>
      <c r="P8426" s="1"/>
      <c r="Q8426" s="1"/>
      <c r="R8426" s="1"/>
      <c r="Z8426" s="103"/>
      <c r="AA8426" s="103"/>
      <c r="AB8426" s="1"/>
    </row>
    <row r="8427" spans="15:28">
      <c r="O8427" s="1"/>
      <c r="P8427" s="1"/>
      <c r="Q8427" s="1"/>
      <c r="R8427" s="1"/>
      <c r="Z8427" s="103"/>
      <c r="AA8427" s="103"/>
      <c r="AB8427" s="1"/>
    </row>
    <row r="8428" spans="15:28">
      <c r="O8428" s="1"/>
      <c r="P8428" s="1"/>
      <c r="Q8428" s="1"/>
      <c r="R8428" s="1"/>
      <c r="Z8428" s="103"/>
      <c r="AA8428" s="103"/>
      <c r="AB8428" s="1"/>
    </row>
    <row r="8429" spans="15:28">
      <c r="O8429" s="1"/>
      <c r="P8429" s="1"/>
      <c r="Q8429" s="1"/>
      <c r="R8429" s="1"/>
      <c r="Z8429" s="103"/>
      <c r="AA8429" s="103"/>
      <c r="AB8429" s="1"/>
    </row>
    <row r="8430" spans="15:28">
      <c r="O8430" s="1"/>
      <c r="P8430" s="1"/>
      <c r="Q8430" s="1"/>
      <c r="R8430" s="1"/>
      <c r="Z8430" s="103"/>
      <c r="AA8430" s="103"/>
      <c r="AB8430" s="1"/>
    </row>
    <row r="8431" spans="15:28">
      <c r="O8431" s="1"/>
      <c r="P8431" s="1"/>
      <c r="Q8431" s="1"/>
      <c r="R8431" s="1"/>
      <c r="Z8431" s="103"/>
      <c r="AA8431" s="103"/>
      <c r="AB8431" s="1"/>
    </row>
    <row r="8432" spans="15:28">
      <c r="O8432" s="1"/>
      <c r="P8432" s="1"/>
      <c r="Q8432" s="1"/>
      <c r="R8432" s="1"/>
      <c r="Z8432" s="103"/>
      <c r="AA8432" s="103"/>
      <c r="AB8432" s="1"/>
    </row>
    <row r="8433" spans="15:28">
      <c r="O8433" s="1"/>
      <c r="P8433" s="1"/>
      <c r="Q8433" s="1"/>
      <c r="R8433" s="1"/>
      <c r="Z8433" s="103"/>
      <c r="AA8433" s="103"/>
      <c r="AB8433" s="1"/>
    </row>
    <row r="8434" spans="15:28">
      <c r="O8434" s="1"/>
      <c r="P8434" s="1"/>
      <c r="Q8434" s="1"/>
      <c r="R8434" s="1"/>
      <c r="Z8434" s="103"/>
      <c r="AA8434" s="103"/>
      <c r="AB8434" s="1"/>
    </row>
    <row r="8435" spans="15:28">
      <c r="O8435" s="1"/>
      <c r="P8435" s="1"/>
      <c r="Q8435" s="1"/>
      <c r="R8435" s="1"/>
      <c r="Z8435" s="103"/>
      <c r="AA8435" s="103"/>
      <c r="AB8435" s="1"/>
    </row>
    <row r="8436" spans="15:28">
      <c r="O8436" s="1"/>
      <c r="P8436" s="1"/>
      <c r="Q8436" s="1"/>
      <c r="R8436" s="1"/>
      <c r="Z8436" s="103"/>
      <c r="AA8436" s="103"/>
      <c r="AB8436" s="1"/>
    </row>
    <row r="8437" spans="15:28">
      <c r="O8437" s="1"/>
      <c r="P8437" s="1"/>
      <c r="Q8437" s="1"/>
      <c r="R8437" s="1"/>
      <c r="Z8437" s="103"/>
      <c r="AA8437" s="103"/>
      <c r="AB8437" s="1"/>
    </row>
    <row r="8438" spans="15:28">
      <c r="O8438" s="1"/>
      <c r="P8438" s="1"/>
      <c r="Q8438" s="1"/>
      <c r="R8438" s="1"/>
      <c r="Z8438" s="103"/>
      <c r="AA8438" s="103"/>
      <c r="AB8438" s="1"/>
    </row>
    <row r="8439" spans="15:28">
      <c r="O8439" s="1"/>
      <c r="P8439" s="1"/>
      <c r="Q8439" s="1"/>
      <c r="R8439" s="1"/>
      <c r="Z8439" s="103"/>
      <c r="AA8439" s="103"/>
      <c r="AB8439" s="1"/>
    </row>
    <row r="8440" spans="15:28">
      <c r="O8440" s="1"/>
      <c r="P8440" s="1"/>
      <c r="Q8440" s="1"/>
      <c r="R8440" s="1"/>
      <c r="Z8440" s="103"/>
      <c r="AA8440" s="103"/>
      <c r="AB8440" s="1"/>
    </row>
    <row r="8441" spans="15:28">
      <c r="O8441" s="1"/>
      <c r="P8441" s="1"/>
      <c r="Q8441" s="1"/>
      <c r="R8441" s="1"/>
      <c r="Z8441" s="103"/>
      <c r="AA8441" s="103"/>
      <c r="AB8441" s="1"/>
    </row>
    <row r="8442" spans="15:28">
      <c r="O8442" s="1"/>
      <c r="P8442" s="1"/>
      <c r="Q8442" s="1"/>
      <c r="R8442" s="1"/>
      <c r="Z8442" s="103"/>
      <c r="AA8442" s="103"/>
      <c r="AB8442" s="1"/>
    </row>
    <row r="8443" spans="15:28">
      <c r="O8443" s="1"/>
      <c r="P8443" s="1"/>
      <c r="Q8443" s="1"/>
      <c r="R8443" s="1"/>
      <c r="Z8443" s="103"/>
      <c r="AA8443" s="103"/>
      <c r="AB8443" s="1"/>
    </row>
    <row r="8444" spans="15:28">
      <c r="O8444" s="1"/>
      <c r="P8444" s="1"/>
      <c r="Q8444" s="1"/>
      <c r="R8444" s="1"/>
      <c r="Z8444" s="103"/>
      <c r="AA8444" s="103"/>
      <c r="AB8444" s="1"/>
    </row>
    <row r="8445" spans="15:28">
      <c r="O8445" s="1"/>
      <c r="P8445" s="1"/>
      <c r="Q8445" s="1"/>
      <c r="R8445" s="1"/>
      <c r="Z8445" s="103"/>
      <c r="AA8445" s="103"/>
      <c r="AB8445" s="1"/>
    </row>
    <row r="8446" spans="15:28">
      <c r="O8446" s="1"/>
      <c r="P8446" s="1"/>
      <c r="Q8446" s="1"/>
      <c r="R8446" s="1"/>
      <c r="Z8446" s="103"/>
      <c r="AA8446" s="103"/>
      <c r="AB8446" s="1"/>
    </row>
    <row r="8447" spans="15:28">
      <c r="O8447" s="1"/>
      <c r="P8447" s="1"/>
      <c r="Q8447" s="1"/>
      <c r="R8447" s="1"/>
      <c r="Z8447" s="103"/>
      <c r="AA8447" s="103"/>
      <c r="AB8447" s="1"/>
    </row>
    <row r="8448" spans="15:28">
      <c r="O8448" s="1"/>
      <c r="P8448" s="1"/>
      <c r="Q8448" s="1"/>
      <c r="R8448" s="1"/>
      <c r="Z8448" s="103"/>
      <c r="AA8448" s="103"/>
      <c r="AB8448" s="1"/>
    </row>
    <row r="8449" spans="15:28">
      <c r="O8449" s="1"/>
      <c r="P8449" s="1"/>
      <c r="Q8449" s="1"/>
      <c r="R8449" s="1"/>
      <c r="Z8449" s="103"/>
      <c r="AA8449" s="103"/>
      <c r="AB8449" s="1"/>
    </row>
    <row r="8450" spans="15:28">
      <c r="O8450" s="1"/>
      <c r="P8450" s="1"/>
      <c r="Q8450" s="1"/>
      <c r="R8450" s="1"/>
      <c r="Z8450" s="103"/>
      <c r="AA8450" s="103"/>
      <c r="AB8450" s="1"/>
    </row>
    <row r="8451" spans="15:28">
      <c r="O8451" s="1"/>
      <c r="P8451" s="1"/>
      <c r="Q8451" s="1"/>
      <c r="R8451" s="1"/>
      <c r="Z8451" s="103"/>
      <c r="AA8451" s="103"/>
      <c r="AB8451" s="1"/>
    </row>
    <row r="8452" spans="15:28">
      <c r="O8452" s="1"/>
      <c r="P8452" s="1"/>
      <c r="Q8452" s="1"/>
      <c r="R8452" s="1"/>
      <c r="Z8452" s="103"/>
      <c r="AA8452" s="103"/>
      <c r="AB8452" s="1"/>
    </row>
    <row r="8453" spans="15:28">
      <c r="O8453" s="1"/>
      <c r="P8453" s="1"/>
      <c r="Q8453" s="1"/>
      <c r="R8453" s="1"/>
      <c r="Z8453" s="103"/>
      <c r="AA8453" s="103"/>
      <c r="AB8453" s="1"/>
    </row>
    <row r="8454" spans="15:28">
      <c r="O8454" s="1"/>
      <c r="P8454" s="1"/>
      <c r="Q8454" s="1"/>
      <c r="R8454" s="1"/>
      <c r="Z8454" s="103"/>
      <c r="AA8454" s="103"/>
      <c r="AB8454" s="1"/>
    </row>
    <row r="8455" spans="15:28">
      <c r="O8455" s="1"/>
      <c r="P8455" s="1"/>
      <c r="Q8455" s="1"/>
      <c r="R8455" s="1"/>
      <c r="Z8455" s="103"/>
      <c r="AA8455" s="103"/>
      <c r="AB8455" s="1"/>
    </row>
    <row r="8456" spans="15:28">
      <c r="O8456" s="1"/>
      <c r="P8456" s="1"/>
      <c r="Q8456" s="1"/>
      <c r="R8456" s="1"/>
      <c r="Z8456" s="103"/>
      <c r="AA8456" s="103"/>
      <c r="AB8456" s="1"/>
    </row>
    <row r="8457" spans="15:28">
      <c r="O8457" s="1"/>
      <c r="P8457" s="1"/>
      <c r="Q8457" s="1"/>
      <c r="R8457" s="1"/>
      <c r="Z8457" s="103"/>
      <c r="AA8457" s="103"/>
      <c r="AB8457" s="1"/>
    </row>
    <row r="8458" spans="15:28">
      <c r="O8458" s="1"/>
      <c r="P8458" s="1"/>
      <c r="Q8458" s="1"/>
      <c r="R8458" s="1"/>
      <c r="Z8458" s="103"/>
      <c r="AA8458" s="103"/>
      <c r="AB8458" s="1"/>
    </row>
    <row r="8459" spans="15:28">
      <c r="O8459" s="1"/>
      <c r="P8459" s="1"/>
      <c r="Q8459" s="1"/>
      <c r="R8459" s="1"/>
      <c r="Z8459" s="103"/>
      <c r="AA8459" s="103"/>
      <c r="AB8459" s="1"/>
    </row>
    <row r="8460" spans="15:28">
      <c r="O8460" s="1"/>
      <c r="P8460" s="1"/>
      <c r="Q8460" s="1"/>
      <c r="R8460" s="1"/>
      <c r="Z8460" s="103"/>
      <c r="AA8460" s="103"/>
      <c r="AB8460" s="1"/>
    </row>
    <row r="8461" spans="15:28">
      <c r="O8461" s="1"/>
      <c r="P8461" s="1"/>
      <c r="Q8461" s="1"/>
      <c r="R8461" s="1"/>
      <c r="Z8461" s="103"/>
      <c r="AA8461" s="103"/>
      <c r="AB8461" s="1"/>
    </row>
    <row r="8462" spans="15:28">
      <c r="O8462" s="1"/>
      <c r="P8462" s="1"/>
      <c r="Q8462" s="1"/>
      <c r="R8462" s="1"/>
      <c r="Z8462" s="103"/>
      <c r="AA8462" s="103"/>
      <c r="AB8462" s="1"/>
    </row>
    <row r="8463" spans="15:28">
      <c r="O8463" s="1"/>
      <c r="P8463" s="1"/>
      <c r="Q8463" s="1"/>
      <c r="R8463" s="1"/>
      <c r="Z8463" s="103"/>
      <c r="AA8463" s="103"/>
      <c r="AB8463" s="1"/>
    </row>
    <row r="8464" spans="15:28">
      <c r="O8464" s="1"/>
      <c r="P8464" s="1"/>
      <c r="Q8464" s="1"/>
      <c r="R8464" s="1"/>
      <c r="Z8464" s="103"/>
      <c r="AA8464" s="103"/>
      <c r="AB8464" s="1"/>
    </row>
    <row r="8465" spans="15:28">
      <c r="O8465" s="1"/>
      <c r="P8465" s="1"/>
      <c r="Q8465" s="1"/>
      <c r="R8465" s="1"/>
      <c r="Z8465" s="103"/>
      <c r="AA8465" s="103"/>
      <c r="AB8465" s="1"/>
    </row>
    <row r="8466" spans="15:28">
      <c r="O8466" s="1"/>
      <c r="P8466" s="1"/>
      <c r="Q8466" s="1"/>
      <c r="R8466" s="1"/>
      <c r="Z8466" s="103"/>
      <c r="AA8466" s="103"/>
      <c r="AB8466" s="1"/>
    </row>
    <row r="8467" spans="15:28">
      <c r="O8467" s="1"/>
      <c r="P8467" s="1"/>
      <c r="Q8467" s="1"/>
      <c r="R8467" s="1"/>
      <c r="Z8467" s="103"/>
      <c r="AA8467" s="103"/>
      <c r="AB8467" s="1"/>
    </row>
    <row r="8468" spans="15:28">
      <c r="O8468" s="1"/>
      <c r="P8468" s="1"/>
      <c r="Q8468" s="1"/>
      <c r="R8468" s="1"/>
      <c r="Z8468" s="103"/>
      <c r="AA8468" s="103"/>
      <c r="AB8468" s="1"/>
    </row>
    <row r="8469" spans="15:28">
      <c r="O8469" s="1"/>
      <c r="P8469" s="1"/>
      <c r="Q8469" s="1"/>
      <c r="R8469" s="1"/>
      <c r="Z8469" s="103"/>
      <c r="AA8469" s="103"/>
      <c r="AB8469" s="1"/>
    </row>
    <row r="8470" spans="15:28">
      <c r="O8470" s="1"/>
      <c r="P8470" s="1"/>
      <c r="Q8470" s="1"/>
      <c r="R8470" s="1"/>
      <c r="Z8470" s="103"/>
      <c r="AA8470" s="103"/>
      <c r="AB8470" s="1"/>
    </row>
    <row r="8471" spans="15:28">
      <c r="O8471" s="1"/>
      <c r="P8471" s="1"/>
      <c r="Q8471" s="1"/>
      <c r="R8471" s="1"/>
      <c r="Z8471" s="103"/>
      <c r="AA8471" s="103"/>
      <c r="AB8471" s="1"/>
    </row>
    <row r="8472" spans="15:28">
      <c r="O8472" s="1"/>
      <c r="P8472" s="1"/>
      <c r="Q8472" s="1"/>
      <c r="R8472" s="1"/>
      <c r="Z8472" s="103"/>
      <c r="AA8472" s="103"/>
      <c r="AB8472" s="1"/>
    </row>
    <row r="8473" spans="15:28">
      <c r="O8473" s="1"/>
      <c r="P8473" s="1"/>
      <c r="Q8473" s="1"/>
      <c r="R8473" s="1"/>
      <c r="Z8473" s="103"/>
      <c r="AA8473" s="103"/>
      <c r="AB8473" s="1"/>
    </row>
    <row r="8474" spans="15:28">
      <c r="O8474" s="1"/>
      <c r="P8474" s="1"/>
      <c r="Q8474" s="1"/>
      <c r="R8474" s="1"/>
      <c r="Z8474" s="103"/>
      <c r="AA8474" s="103"/>
      <c r="AB8474" s="1"/>
    </row>
    <row r="8475" spans="15:28">
      <c r="O8475" s="1"/>
      <c r="P8475" s="1"/>
      <c r="Q8475" s="1"/>
      <c r="R8475" s="1"/>
      <c r="Z8475" s="103"/>
      <c r="AA8475" s="103"/>
      <c r="AB8475" s="1"/>
    </row>
    <row r="8476" spans="15:28">
      <c r="O8476" s="1"/>
      <c r="P8476" s="1"/>
      <c r="Q8476" s="1"/>
      <c r="R8476" s="1"/>
      <c r="Z8476" s="103"/>
      <c r="AA8476" s="103"/>
      <c r="AB8476" s="1"/>
    </row>
    <row r="8477" spans="15:28">
      <c r="O8477" s="1"/>
      <c r="P8477" s="1"/>
      <c r="Q8477" s="1"/>
      <c r="R8477" s="1"/>
      <c r="Z8477" s="103"/>
      <c r="AA8477" s="103"/>
      <c r="AB8477" s="1"/>
    </row>
    <row r="8478" spans="15:28">
      <c r="O8478" s="1"/>
      <c r="P8478" s="1"/>
      <c r="Q8478" s="1"/>
      <c r="R8478" s="1"/>
      <c r="Z8478" s="103"/>
      <c r="AA8478" s="103"/>
      <c r="AB8478" s="1"/>
    </row>
    <row r="8479" spans="15:28">
      <c r="O8479" s="1"/>
      <c r="P8479" s="1"/>
      <c r="Q8479" s="1"/>
      <c r="R8479" s="1"/>
      <c r="Z8479" s="103"/>
      <c r="AA8479" s="103"/>
      <c r="AB8479" s="1"/>
    </row>
    <row r="8480" spans="15:28">
      <c r="O8480" s="1"/>
      <c r="P8480" s="1"/>
      <c r="Q8480" s="1"/>
      <c r="R8480" s="1"/>
      <c r="Z8480" s="103"/>
      <c r="AA8480" s="103"/>
      <c r="AB8480" s="1"/>
    </row>
    <row r="8481" spans="15:28">
      <c r="O8481" s="1"/>
      <c r="P8481" s="1"/>
      <c r="Q8481" s="1"/>
      <c r="R8481" s="1"/>
      <c r="Z8481" s="103"/>
      <c r="AA8481" s="103"/>
      <c r="AB8481" s="1"/>
    </row>
    <row r="8482" spans="15:28">
      <c r="O8482" s="1"/>
      <c r="P8482" s="1"/>
      <c r="Q8482" s="1"/>
      <c r="R8482" s="1"/>
      <c r="Z8482" s="103"/>
      <c r="AA8482" s="103"/>
      <c r="AB8482" s="1"/>
    </row>
    <row r="8483" spans="15:28">
      <c r="O8483" s="1"/>
      <c r="P8483" s="1"/>
      <c r="Q8483" s="1"/>
      <c r="R8483" s="1"/>
      <c r="Z8483" s="103"/>
      <c r="AA8483" s="103"/>
      <c r="AB8483" s="1"/>
    </row>
    <row r="8484" spans="15:28">
      <c r="O8484" s="1"/>
      <c r="P8484" s="1"/>
      <c r="Q8484" s="1"/>
      <c r="R8484" s="1"/>
      <c r="Z8484" s="103"/>
      <c r="AA8484" s="103"/>
      <c r="AB8484" s="1"/>
    </row>
    <row r="8485" spans="15:28">
      <c r="O8485" s="1"/>
      <c r="P8485" s="1"/>
      <c r="Q8485" s="1"/>
      <c r="R8485" s="1"/>
      <c r="Z8485" s="103"/>
      <c r="AA8485" s="103"/>
      <c r="AB8485" s="1"/>
    </row>
    <row r="8486" spans="15:28">
      <c r="O8486" s="1"/>
      <c r="P8486" s="1"/>
      <c r="Q8486" s="1"/>
      <c r="R8486" s="1"/>
      <c r="Z8486" s="103"/>
      <c r="AA8486" s="103"/>
      <c r="AB8486" s="1"/>
    </row>
    <row r="8487" spans="15:28">
      <c r="O8487" s="1"/>
      <c r="P8487" s="1"/>
      <c r="Q8487" s="1"/>
      <c r="R8487" s="1"/>
      <c r="Z8487" s="103"/>
      <c r="AA8487" s="103"/>
      <c r="AB8487" s="1"/>
    </row>
    <row r="8488" spans="15:28">
      <c r="O8488" s="1"/>
      <c r="P8488" s="1"/>
      <c r="Q8488" s="1"/>
      <c r="R8488" s="1"/>
      <c r="Z8488" s="103"/>
      <c r="AA8488" s="103"/>
      <c r="AB8488" s="1"/>
    </row>
    <row r="8489" spans="15:28">
      <c r="O8489" s="1"/>
      <c r="P8489" s="1"/>
      <c r="Q8489" s="1"/>
      <c r="R8489" s="1"/>
      <c r="Z8489" s="103"/>
      <c r="AA8489" s="103"/>
      <c r="AB8489" s="1"/>
    </row>
    <row r="8490" spans="15:28">
      <c r="O8490" s="1"/>
      <c r="P8490" s="1"/>
      <c r="Q8490" s="1"/>
      <c r="R8490" s="1"/>
      <c r="Z8490" s="103"/>
      <c r="AA8490" s="103"/>
      <c r="AB8490" s="1"/>
    </row>
    <row r="8491" spans="15:28">
      <c r="O8491" s="1"/>
      <c r="P8491" s="1"/>
      <c r="Q8491" s="1"/>
      <c r="R8491" s="1"/>
      <c r="Z8491" s="103"/>
      <c r="AA8491" s="103"/>
      <c r="AB8491" s="1"/>
    </row>
    <row r="8492" spans="15:28">
      <c r="O8492" s="1"/>
      <c r="P8492" s="1"/>
      <c r="Q8492" s="1"/>
      <c r="R8492" s="1"/>
      <c r="Z8492" s="103"/>
      <c r="AA8492" s="103"/>
      <c r="AB8492" s="1"/>
    </row>
    <row r="8493" spans="15:28">
      <c r="O8493" s="1"/>
      <c r="P8493" s="1"/>
      <c r="Q8493" s="1"/>
      <c r="R8493" s="1"/>
      <c r="Z8493" s="103"/>
      <c r="AA8493" s="103"/>
      <c r="AB8493" s="1"/>
    </row>
    <row r="8494" spans="15:28">
      <c r="O8494" s="1"/>
      <c r="P8494" s="1"/>
      <c r="Q8494" s="1"/>
      <c r="R8494" s="1"/>
      <c r="Z8494" s="103"/>
      <c r="AA8494" s="103"/>
      <c r="AB8494" s="1"/>
    </row>
    <row r="8495" spans="15:28">
      <c r="O8495" s="1"/>
      <c r="P8495" s="1"/>
      <c r="Q8495" s="1"/>
      <c r="R8495" s="1"/>
      <c r="Z8495" s="103"/>
      <c r="AA8495" s="103"/>
      <c r="AB8495" s="1"/>
    </row>
    <row r="8496" spans="15:28">
      <c r="O8496" s="1"/>
      <c r="P8496" s="1"/>
      <c r="Q8496" s="1"/>
      <c r="R8496" s="1"/>
      <c r="Z8496" s="103"/>
      <c r="AA8496" s="103"/>
      <c r="AB8496" s="1"/>
    </row>
    <row r="8497" spans="15:28">
      <c r="O8497" s="1"/>
      <c r="P8497" s="1"/>
      <c r="Q8497" s="1"/>
      <c r="R8497" s="1"/>
      <c r="Z8497" s="103"/>
      <c r="AA8497" s="103"/>
      <c r="AB8497" s="1"/>
    </row>
    <row r="8498" spans="15:28">
      <c r="O8498" s="1"/>
      <c r="P8498" s="1"/>
      <c r="Q8498" s="1"/>
      <c r="R8498" s="1"/>
      <c r="Z8498" s="103"/>
      <c r="AA8498" s="103"/>
      <c r="AB8498" s="1"/>
    </row>
    <row r="8499" spans="15:28">
      <c r="O8499" s="1"/>
      <c r="P8499" s="1"/>
      <c r="Q8499" s="1"/>
      <c r="R8499" s="1"/>
      <c r="Z8499" s="103"/>
      <c r="AA8499" s="103"/>
      <c r="AB8499" s="1"/>
    </row>
    <row r="8500" spans="15:28">
      <c r="O8500" s="1"/>
      <c r="P8500" s="1"/>
      <c r="Q8500" s="1"/>
      <c r="R8500" s="1"/>
      <c r="Z8500" s="103"/>
      <c r="AA8500" s="103"/>
      <c r="AB8500" s="1"/>
    </row>
    <row r="8501" spans="15:28">
      <c r="O8501" s="1"/>
      <c r="P8501" s="1"/>
      <c r="Q8501" s="1"/>
      <c r="R8501" s="1"/>
      <c r="Z8501" s="103"/>
      <c r="AA8501" s="103"/>
      <c r="AB8501" s="1"/>
    </row>
    <row r="8502" spans="15:28">
      <c r="O8502" s="1"/>
      <c r="P8502" s="1"/>
      <c r="Q8502" s="1"/>
      <c r="R8502" s="1"/>
      <c r="Z8502" s="103"/>
      <c r="AA8502" s="103"/>
      <c r="AB8502" s="1"/>
    </row>
    <row r="8503" spans="15:28">
      <c r="O8503" s="1"/>
      <c r="P8503" s="1"/>
      <c r="Q8503" s="1"/>
      <c r="R8503" s="1"/>
      <c r="Z8503" s="103"/>
      <c r="AA8503" s="103"/>
      <c r="AB8503" s="1"/>
    </row>
    <row r="8504" spans="15:28">
      <c r="O8504" s="1"/>
      <c r="P8504" s="1"/>
      <c r="Q8504" s="1"/>
      <c r="R8504" s="1"/>
      <c r="Z8504" s="103"/>
      <c r="AA8504" s="103"/>
      <c r="AB8504" s="1"/>
    </row>
    <row r="8505" spans="15:28">
      <c r="O8505" s="1"/>
      <c r="P8505" s="1"/>
      <c r="Q8505" s="1"/>
      <c r="R8505" s="1"/>
      <c r="Z8505" s="103"/>
      <c r="AA8505" s="103"/>
      <c r="AB8505" s="1"/>
    </row>
    <row r="8506" spans="15:28">
      <c r="O8506" s="1"/>
      <c r="P8506" s="1"/>
      <c r="Q8506" s="1"/>
      <c r="R8506" s="1"/>
      <c r="Z8506" s="103"/>
      <c r="AA8506" s="103"/>
      <c r="AB8506" s="1"/>
    </row>
    <row r="8507" spans="15:28">
      <c r="O8507" s="1"/>
      <c r="P8507" s="1"/>
      <c r="Q8507" s="1"/>
      <c r="R8507" s="1"/>
      <c r="Z8507" s="103"/>
      <c r="AA8507" s="103"/>
      <c r="AB8507" s="1"/>
    </row>
    <row r="8508" spans="15:28">
      <c r="O8508" s="1"/>
      <c r="P8508" s="1"/>
      <c r="Q8508" s="1"/>
      <c r="R8508" s="1"/>
      <c r="Z8508" s="103"/>
      <c r="AA8508" s="103"/>
      <c r="AB8508" s="1"/>
    </row>
    <row r="8509" spans="15:28">
      <c r="O8509" s="1"/>
      <c r="P8509" s="1"/>
      <c r="Q8509" s="1"/>
      <c r="R8509" s="1"/>
      <c r="Z8509" s="103"/>
      <c r="AA8509" s="103"/>
      <c r="AB8509" s="1"/>
    </row>
    <row r="8510" spans="15:28">
      <c r="O8510" s="1"/>
      <c r="P8510" s="1"/>
      <c r="Q8510" s="1"/>
      <c r="R8510" s="1"/>
      <c r="Z8510" s="103"/>
      <c r="AA8510" s="103"/>
      <c r="AB8510" s="1"/>
    </row>
    <row r="8511" spans="15:28">
      <c r="O8511" s="1"/>
      <c r="P8511" s="1"/>
      <c r="Q8511" s="1"/>
      <c r="R8511" s="1"/>
      <c r="Z8511" s="103"/>
      <c r="AA8511" s="103"/>
      <c r="AB8511" s="1"/>
    </row>
    <row r="8512" spans="15:28">
      <c r="O8512" s="1"/>
      <c r="P8512" s="1"/>
      <c r="Q8512" s="1"/>
      <c r="R8512" s="1"/>
      <c r="Z8512" s="103"/>
      <c r="AA8512" s="103"/>
      <c r="AB8512" s="1"/>
    </row>
    <row r="8513" spans="15:28">
      <c r="O8513" s="1"/>
      <c r="P8513" s="1"/>
      <c r="Q8513" s="1"/>
      <c r="R8513" s="1"/>
      <c r="Z8513" s="103"/>
      <c r="AA8513" s="103"/>
      <c r="AB8513" s="1"/>
    </row>
    <row r="8514" spans="15:28">
      <c r="O8514" s="1"/>
      <c r="P8514" s="1"/>
      <c r="Q8514" s="1"/>
      <c r="R8514" s="1"/>
      <c r="Z8514" s="103"/>
      <c r="AA8514" s="103"/>
      <c r="AB8514" s="1"/>
    </row>
    <row r="8515" spans="15:28">
      <c r="O8515" s="1"/>
      <c r="P8515" s="1"/>
      <c r="Q8515" s="1"/>
      <c r="R8515" s="1"/>
      <c r="Z8515" s="103"/>
      <c r="AA8515" s="103"/>
      <c r="AB8515" s="1"/>
    </row>
    <row r="8516" spans="15:28">
      <c r="O8516" s="1"/>
      <c r="P8516" s="1"/>
      <c r="Q8516" s="1"/>
      <c r="R8516" s="1"/>
      <c r="Z8516" s="103"/>
      <c r="AA8516" s="103"/>
      <c r="AB8516" s="1"/>
    </row>
    <row r="8517" spans="15:28">
      <c r="O8517" s="1"/>
      <c r="P8517" s="1"/>
      <c r="Q8517" s="1"/>
      <c r="R8517" s="1"/>
      <c r="Z8517" s="103"/>
      <c r="AA8517" s="103"/>
      <c r="AB8517" s="1"/>
    </row>
    <row r="8518" spans="15:28">
      <c r="O8518" s="1"/>
      <c r="P8518" s="1"/>
      <c r="Q8518" s="1"/>
      <c r="R8518" s="1"/>
      <c r="Z8518" s="103"/>
      <c r="AA8518" s="103"/>
      <c r="AB8518" s="1"/>
    </row>
    <row r="8519" spans="15:28">
      <c r="O8519" s="1"/>
      <c r="P8519" s="1"/>
      <c r="Q8519" s="1"/>
      <c r="R8519" s="1"/>
      <c r="Z8519" s="103"/>
      <c r="AA8519" s="103"/>
      <c r="AB8519" s="1"/>
    </row>
    <row r="8520" spans="15:28">
      <c r="O8520" s="1"/>
      <c r="P8520" s="1"/>
      <c r="Q8520" s="1"/>
      <c r="R8520" s="1"/>
      <c r="Z8520" s="103"/>
      <c r="AA8520" s="103"/>
      <c r="AB8520" s="1"/>
    </row>
    <row r="8521" spans="15:28">
      <c r="O8521" s="1"/>
      <c r="P8521" s="1"/>
      <c r="Q8521" s="1"/>
      <c r="R8521" s="1"/>
      <c r="Z8521" s="103"/>
      <c r="AA8521" s="103"/>
      <c r="AB8521" s="1"/>
    </row>
    <row r="8522" spans="15:28">
      <c r="O8522" s="1"/>
      <c r="P8522" s="1"/>
      <c r="Q8522" s="1"/>
      <c r="R8522" s="1"/>
      <c r="Z8522" s="103"/>
      <c r="AA8522" s="103"/>
      <c r="AB8522" s="1"/>
    </row>
    <row r="8523" spans="15:28">
      <c r="O8523" s="1"/>
      <c r="P8523" s="1"/>
      <c r="Q8523" s="1"/>
      <c r="R8523" s="1"/>
      <c r="Z8523" s="103"/>
      <c r="AA8523" s="103"/>
      <c r="AB8523" s="1"/>
    </row>
    <row r="8524" spans="15:28">
      <c r="O8524" s="1"/>
      <c r="P8524" s="1"/>
      <c r="Q8524" s="1"/>
      <c r="R8524" s="1"/>
      <c r="Z8524" s="103"/>
      <c r="AA8524" s="103"/>
      <c r="AB8524" s="1"/>
    </row>
    <row r="8525" spans="15:28">
      <c r="O8525" s="1"/>
      <c r="P8525" s="1"/>
      <c r="Q8525" s="1"/>
      <c r="R8525" s="1"/>
      <c r="Z8525" s="103"/>
      <c r="AA8525" s="103"/>
      <c r="AB8525" s="1"/>
    </row>
    <row r="8526" spans="15:28">
      <c r="O8526" s="1"/>
      <c r="P8526" s="1"/>
      <c r="Q8526" s="1"/>
      <c r="R8526" s="1"/>
      <c r="Z8526" s="103"/>
      <c r="AA8526" s="103"/>
      <c r="AB8526" s="1"/>
    </row>
    <row r="8527" spans="15:28">
      <c r="O8527" s="1"/>
      <c r="P8527" s="1"/>
      <c r="Q8527" s="1"/>
      <c r="R8527" s="1"/>
      <c r="Z8527" s="103"/>
      <c r="AA8527" s="103"/>
      <c r="AB8527" s="1"/>
    </row>
    <row r="8528" spans="15:28">
      <c r="O8528" s="1"/>
      <c r="P8528" s="1"/>
      <c r="Q8528" s="1"/>
      <c r="R8528" s="1"/>
      <c r="Z8528" s="103"/>
      <c r="AA8528" s="103"/>
      <c r="AB8528" s="1"/>
    </row>
    <row r="8529" spans="15:28">
      <c r="O8529" s="1"/>
      <c r="P8529" s="1"/>
      <c r="Q8529" s="1"/>
      <c r="R8529" s="1"/>
      <c r="Z8529" s="103"/>
      <c r="AA8529" s="103"/>
      <c r="AB8529" s="1"/>
    </row>
    <row r="8530" spans="15:28">
      <c r="O8530" s="1"/>
      <c r="P8530" s="1"/>
      <c r="Q8530" s="1"/>
      <c r="R8530" s="1"/>
      <c r="Z8530" s="103"/>
      <c r="AA8530" s="103"/>
      <c r="AB8530" s="1"/>
    </row>
    <row r="8531" spans="15:28">
      <c r="O8531" s="1"/>
      <c r="P8531" s="1"/>
      <c r="Q8531" s="1"/>
      <c r="R8531" s="1"/>
      <c r="Z8531" s="103"/>
      <c r="AA8531" s="103"/>
      <c r="AB8531" s="1"/>
    </row>
    <row r="8532" spans="15:28">
      <c r="O8532" s="1"/>
      <c r="P8532" s="1"/>
      <c r="Q8532" s="1"/>
      <c r="R8532" s="1"/>
      <c r="Z8532" s="103"/>
      <c r="AA8532" s="103"/>
      <c r="AB8532" s="1"/>
    </row>
    <row r="8533" spans="15:28">
      <c r="O8533" s="1"/>
      <c r="P8533" s="1"/>
      <c r="Q8533" s="1"/>
      <c r="R8533" s="1"/>
      <c r="Z8533" s="103"/>
      <c r="AA8533" s="103"/>
      <c r="AB8533" s="1"/>
    </row>
    <row r="8534" spans="15:28">
      <c r="O8534" s="1"/>
      <c r="P8534" s="1"/>
      <c r="Q8534" s="1"/>
      <c r="R8534" s="1"/>
      <c r="Z8534" s="103"/>
      <c r="AA8534" s="103"/>
      <c r="AB8534" s="1"/>
    </row>
    <row r="8535" spans="15:28">
      <c r="O8535" s="1"/>
      <c r="P8535" s="1"/>
      <c r="Q8535" s="1"/>
      <c r="R8535" s="1"/>
      <c r="Z8535" s="103"/>
      <c r="AA8535" s="103"/>
      <c r="AB8535" s="1"/>
    </row>
    <row r="8536" spans="15:28">
      <c r="O8536" s="1"/>
      <c r="P8536" s="1"/>
      <c r="Q8536" s="1"/>
      <c r="R8536" s="1"/>
      <c r="Z8536" s="103"/>
      <c r="AA8536" s="103"/>
      <c r="AB8536" s="1"/>
    </row>
    <row r="8537" spans="15:28">
      <c r="O8537" s="1"/>
      <c r="P8537" s="1"/>
      <c r="Q8537" s="1"/>
      <c r="R8537" s="1"/>
      <c r="Z8537" s="103"/>
      <c r="AA8537" s="103"/>
      <c r="AB8537" s="1"/>
    </row>
    <row r="8538" spans="15:28">
      <c r="O8538" s="1"/>
      <c r="P8538" s="1"/>
      <c r="Q8538" s="1"/>
      <c r="R8538" s="1"/>
      <c r="Z8538" s="103"/>
      <c r="AA8538" s="103"/>
      <c r="AB8538" s="1"/>
    </row>
    <row r="8539" spans="15:28">
      <c r="O8539" s="1"/>
      <c r="P8539" s="1"/>
      <c r="Q8539" s="1"/>
      <c r="R8539" s="1"/>
      <c r="Z8539" s="103"/>
      <c r="AA8539" s="103"/>
      <c r="AB8539" s="1"/>
    </row>
    <row r="8540" spans="15:28">
      <c r="O8540" s="1"/>
      <c r="P8540" s="1"/>
      <c r="Q8540" s="1"/>
      <c r="R8540" s="1"/>
      <c r="Z8540" s="103"/>
      <c r="AA8540" s="103"/>
      <c r="AB8540" s="1"/>
    </row>
    <row r="8541" spans="15:28">
      <c r="O8541" s="1"/>
      <c r="P8541" s="1"/>
      <c r="Q8541" s="1"/>
      <c r="R8541" s="1"/>
      <c r="Z8541" s="103"/>
      <c r="AA8541" s="103"/>
      <c r="AB8541" s="1"/>
    </row>
    <row r="8542" spans="15:28">
      <c r="O8542" s="1"/>
      <c r="P8542" s="1"/>
      <c r="Q8542" s="1"/>
      <c r="R8542" s="1"/>
      <c r="Z8542" s="103"/>
      <c r="AA8542" s="103"/>
      <c r="AB8542" s="1"/>
    </row>
    <row r="8543" spans="15:28">
      <c r="O8543" s="1"/>
      <c r="P8543" s="1"/>
      <c r="Q8543" s="1"/>
      <c r="R8543" s="1"/>
      <c r="Z8543" s="103"/>
      <c r="AA8543" s="103"/>
      <c r="AB8543" s="1"/>
    </row>
    <row r="8544" spans="15:28">
      <c r="O8544" s="1"/>
      <c r="P8544" s="1"/>
      <c r="Q8544" s="1"/>
      <c r="R8544" s="1"/>
      <c r="Z8544" s="103"/>
      <c r="AA8544" s="103"/>
      <c r="AB8544" s="1"/>
    </row>
    <row r="8545" spans="15:28">
      <c r="O8545" s="1"/>
      <c r="P8545" s="1"/>
      <c r="Q8545" s="1"/>
      <c r="R8545" s="1"/>
      <c r="Z8545" s="103"/>
      <c r="AA8545" s="103"/>
      <c r="AB8545" s="1"/>
    </row>
    <row r="8546" spans="15:28">
      <c r="O8546" s="1"/>
      <c r="P8546" s="1"/>
      <c r="Q8546" s="1"/>
      <c r="R8546" s="1"/>
      <c r="Z8546" s="103"/>
      <c r="AA8546" s="103"/>
      <c r="AB8546" s="1"/>
    </row>
    <row r="8547" spans="15:28">
      <c r="O8547" s="1"/>
      <c r="P8547" s="1"/>
      <c r="Q8547" s="1"/>
      <c r="R8547" s="1"/>
      <c r="Z8547" s="103"/>
      <c r="AA8547" s="103"/>
      <c r="AB8547" s="1"/>
    </row>
    <row r="8548" spans="15:28">
      <c r="O8548" s="1"/>
      <c r="P8548" s="1"/>
      <c r="Q8548" s="1"/>
      <c r="R8548" s="1"/>
      <c r="Z8548" s="103"/>
      <c r="AA8548" s="103"/>
      <c r="AB8548" s="1"/>
    </row>
    <row r="8549" spans="15:28">
      <c r="O8549" s="1"/>
      <c r="P8549" s="1"/>
      <c r="Q8549" s="1"/>
      <c r="R8549" s="1"/>
      <c r="Z8549" s="103"/>
      <c r="AA8549" s="103"/>
      <c r="AB8549" s="1"/>
    </row>
    <row r="8550" spans="15:28">
      <c r="O8550" s="1"/>
      <c r="P8550" s="1"/>
      <c r="Q8550" s="1"/>
      <c r="R8550" s="1"/>
      <c r="Z8550" s="103"/>
      <c r="AA8550" s="103"/>
      <c r="AB8550" s="1"/>
    </row>
    <row r="8551" spans="15:28">
      <c r="O8551" s="1"/>
      <c r="P8551" s="1"/>
      <c r="Q8551" s="1"/>
      <c r="R8551" s="1"/>
      <c r="Z8551" s="103"/>
      <c r="AA8551" s="103"/>
      <c r="AB8551" s="1"/>
    </row>
    <row r="8552" spans="15:28">
      <c r="O8552" s="1"/>
      <c r="P8552" s="1"/>
      <c r="Q8552" s="1"/>
      <c r="R8552" s="1"/>
      <c r="Z8552" s="103"/>
      <c r="AA8552" s="103"/>
      <c r="AB8552" s="1"/>
    </row>
    <row r="8553" spans="15:28">
      <c r="O8553" s="1"/>
      <c r="P8553" s="1"/>
      <c r="Q8553" s="1"/>
      <c r="R8553" s="1"/>
      <c r="Z8553" s="103"/>
      <c r="AA8553" s="103"/>
      <c r="AB8553" s="1"/>
    </row>
    <row r="8554" spans="15:28">
      <c r="O8554" s="1"/>
      <c r="P8554" s="1"/>
      <c r="Q8554" s="1"/>
      <c r="R8554" s="1"/>
      <c r="Z8554" s="103"/>
      <c r="AA8554" s="103"/>
      <c r="AB8554" s="1"/>
    </row>
    <row r="8555" spans="15:28">
      <c r="O8555" s="1"/>
      <c r="P8555" s="1"/>
      <c r="Q8555" s="1"/>
      <c r="R8555" s="1"/>
      <c r="Z8555" s="103"/>
      <c r="AA8555" s="103"/>
      <c r="AB8555" s="1"/>
    </row>
    <row r="8556" spans="15:28">
      <c r="O8556" s="1"/>
      <c r="P8556" s="1"/>
      <c r="Q8556" s="1"/>
      <c r="R8556" s="1"/>
      <c r="Z8556" s="103"/>
      <c r="AA8556" s="103"/>
      <c r="AB8556" s="1"/>
    </row>
    <row r="8557" spans="15:28">
      <c r="O8557" s="1"/>
      <c r="P8557" s="1"/>
      <c r="Q8557" s="1"/>
      <c r="R8557" s="1"/>
      <c r="Z8557" s="103"/>
      <c r="AA8557" s="103"/>
      <c r="AB8557" s="1"/>
    </row>
    <row r="8558" spans="15:28">
      <c r="O8558" s="1"/>
      <c r="P8558" s="1"/>
      <c r="Q8558" s="1"/>
      <c r="R8558" s="1"/>
      <c r="Z8558" s="103"/>
      <c r="AA8558" s="103"/>
      <c r="AB8558" s="1"/>
    </row>
    <row r="8559" spans="15:28">
      <c r="O8559" s="1"/>
      <c r="P8559" s="1"/>
      <c r="Q8559" s="1"/>
      <c r="R8559" s="1"/>
      <c r="Z8559" s="103"/>
      <c r="AA8559" s="103"/>
      <c r="AB8559" s="1"/>
    </row>
    <row r="8560" spans="15:28">
      <c r="O8560" s="1"/>
      <c r="P8560" s="1"/>
      <c r="Q8560" s="1"/>
      <c r="R8560" s="1"/>
      <c r="Z8560" s="103"/>
      <c r="AA8560" s="103"/>
      <c r="AB8560" s="1"/>
    </row>
    <row r="8561" spans="15:28">
      <c r="O8561" s="1"/>
      <c r="P8561" s="1"/>
      <c r="Q8561" s="1"/>
      <c r="R8561" s="1"/>
      <c r="Z8561" s="103"/>
      <c r="AA8561" s="103"/>
      <c r="AB8561" s="1"/>
    </row>
    <row r="8562" spans="15:28">
      <c r="O8562" s="1"/>
      <c r="P8562" s="1"/>
      <c r="Q8562" s="1"/>
      <c r="R8562" s="1"/>
      <c r="Z8562" s="103"/>
      <c r="AA8562" s="103"/>
      <c r="AB8562" s="1"/>
    </row>
    <row r="8563" spans="15:28">
      <c r="O8563" s="1"/>
      <c r="P8563" s="1"/>
      <c r="Q8563" s="1"/>
      <c r="R8563" s="1"/>
      <c r="Z8563" s="103"/>
      <c r="AA8563" s="103"/>
      <c r="AB8563" s="1"/>
    </row>
    <row r="8564" spans="15:28">
      <c r="O8564" s="1"/>
      <c r="P8564" s="1"/>
      <c r="Q8564" s="1"/>
      <c r="R8564" s="1"/>
      <c r="Z8564" s="103"/>
      <c r="AA8564" s="103"/>
      <c r="AB8564" s="1"/>
    </row>
    <row r="8565" spans="15:28">
      <c r="O8565" s="1"/>
      <c r="P8565" s="1"/>
      <c r="Q8565" s="1"/>
      <c r="R8565" s="1"/>
      <c r="Z8565" s="103"/>
      <c r="AA8565" s="103"/>
      <c r="AB8565" s="1"/>
    </row>
    <row r="8566" spans="15:28">
      <c r="O8566" s="1"/>
      <c r="P8566" s="1"/>
      <c r="Q8566" s="1"/>
      <c r="R8566" s="1"/>
      <c r="Z8566" s="103"/>
      <c r="AA8566" s="103"/>
      <c r="AB8566" s="1"/>
    </row>
    <row r="8567" spans="15:28">
      <c r="O8567" s="1"/>
      <c r="P8567" s="1"/>
      <c r="Q8567" s="1"/>
      <c r="R8567" s="1"/>
      <c r="Z8567" s="103"/>
      <c r="AA8567" s="103"/>
      <c r="AB8567" s="1"/>
    </row>
    <row r="8568" spans="15:28">
      <c r="O8568" s="1"/>
      <c r="P8568" s="1"/>
      <c r="Q8568" s="1"/>
      <c r="R8568" s="1"/>
      <c r="Z8568" s="103"/>
      <c r="AA8568" s="103"/>
      <c r="AB8568" s="1"/>
    </row>
    <row r="8569" spans="15:28">
      <c r="O8569" s="1"/>
      <c r="P8569" s="1"/>
      <c r="Q8569" s="1"/>
      <c r="R8569" s="1"/>
      <c r="Z8569" s="103"/>
      <c r="AA8569" s="103"/>
      <c r="AB8569" s="1"/>
    </row>
    <row r="8570" spans="15:28">
      <c r="O8570" s="1"/>
      <c r="P8570" s="1"/>
      <c r="Q8570" s="1"/>
      <c r="R8570" s="1"/>
      <c r="Z8570" s="103"/>
      <c r="AA8570" s="103"/>
      <c r="AB8570" s="1"/>
    </row>
    <row r="8571" spans="15:28">
      <c r="O8571" s="1"/>
      <c r="P8571" s="1"/>
      <c r="Q8571" s="1"/>
      <c r="R8571" s="1"/>
      <c r="Z8571" s="103"/>
      <c r="AA8571" s="103"/>
      <c r="AB8571" s="1"/>
    </row>
    <row r="8572" spans="15:28">
      <c r="O8572" s="1"/>
      <c r="P8572" s="1"/>
      <c r="Q8572" s="1"/>
      <c r="R8572" s="1"/>
      <c r="Z8572" s="103"/>
      <c r="AA8572" s="103"/>
      <c r="AB8572" s="1"/>
    </row>
    <row r="8573" spans="15:28">
      <c r="O8573" s="1"/>
      <c r="P8573" s="1"/>
      <c r="Q8573" s="1"/>
      <c r="R8573" s="1"/>
      <c r="Z8573" s="103"/>
      <c r="AA8573" s="103"/>
      <c r="AB8573" s="1"/>
    </row>
    <row r="8574" spans="15:28">
      <c r="O8574" s="1"/>
      <c r="P8574" s="1"/>
      <c r="Q8574" s="1"/>
      <c r="R8574" s="1"/>
      <c r="Z8574" s="103"/>
      <c r="AA8574" s="103"/>
      <c r="AB8574" s="1"/>
    </row>
    <row r="8575" spans="15:28">
      <c r="O8575" s="1"/>
      <c r="P8575" s="1"/>
      <c r="Q8575" s="1"/>
      <c r="R8575" s="1"/>
      <c r="Z8575" s="103"/>
      <c r="AA8575" s="103"/>
      <c r="AB8575" s="1"/>
    </row>
    <row r="8576" spans="15:28">
      <c r="O8576" s="1"/>
      <c r="P8576" s="1"/>
      <c r="Q8576" s="1"/>
      <c r="R8576" s="1"/>
      <c r="Z8576" s="103"/>
      <c r="AA8576" s="103"/>
      <c r="AB8576" s="1"/>
    </row>
    <row r="8577" spans="15:28">
      <c r="O8577" s="1"/>
      <c r="P8577" s="1"/>
      <c r="Q8577" s="1"/>
      <c r="R8577" s="1"/>
      <c r="Z8577" s="103"/>
      <c r="AA8577" s="103"/>
      <c r="AB8577" s="1"/>
    </row>
    <row r="8578" spans="15:28">
      <c r="O8578" s="1"/>
      <c r="P8578" s="1"/>
      <c r="Q8578" s="1"/>
      <c r="R8578" s="1"/>
      <c r="Z8578" s="103"/>
      <c r="AA8578" s="103"/>
      <c r="AB8578" s="1"/>
    </row>
    <row r="8579" spans="15:28">
      <c r="O8579" s="1"/>
      <c r="P8579" s="1"/>
      <c r="Q8579" s="1"/>
      <c r="R8579" s="1"/>
      <c r="Z8579" s="103"/>
      <c r="AA8579" s="103"/>
      <c r="AB8579" s="1"/>
    </row>
    <row r="8580" spans="15:28">
      <c r="O8580" s="1"/>
      <c r="P8580" s="1"/>
      <c r="Q8580" s="1"/>
      <c r="R8580" s="1"/>
      <c r="Z8580" s="103"/>
      <c r="AA8580" s="103"/>
      <c r="AB8580" s="1"/>
    </row>
    <row r="8581" spans="15:28">
      <c r="O8581" s="1"/>
      <c r="P8581" s="1"/>
      <c r="Q8581" s="1"/>
      <c r="R8581" s="1"/>
      <c r="Z8581" s="103"/>
      <c r="AA8581" s="103"/>
      <c r="AB8581" s="1"/>
    </row>
    <row r="8582" spans="15:28">
      <c r="O8582" s="1"/>
      <c r="P8582" s="1"/>
      <c r="Q8582" s="1"/>
      <c r="R8582" s="1"/>
      <c r="Z8582" s="103"/>
      <c r="AA8582" s="103"/>
      <c r="AB8582" s="1"/>
    </row>
    <row r="8583" spans="15:28">
      <c r="O8583" s="1"/>
      <c r="P8583" s="1"/>
      <c r="Q8583" s="1"/>
      <c r="R8583" s="1"/>
      <c r="Z8583" s="103"/>
      <c r="AA8583" s="103"/>
      <c r="AB8583" s="1"/>
    </row>
    <row r="8584" spans="15:28">
      <c r="O8584" s="1"/>
      <c r="P8584" s="1"/>
      <c r="Q8584" s="1"/>
      <c r="R8584" s="1"/>
      <c r="Z8584" s="103"/>
      <c r="AA8584" s="103"/>
      <c r="AB8584" s="1"/>
    </row>
    <row r="8585" spans="15:28">
      <c r="O8585" s="1"/>
      <c r="P8585" s="1"/>
      <c r="Q8585" s="1"/>
      <c r="R8585" s="1"/>
      <c r="Z8585" s="103"/>
      <c r="AA8585" s="103"/>
      <c r="AB8585" s="1"/>
    </row>
    <row r="8586" spans="15:28">
      <c r="O8586" s="1"/>
      <c r="P8586" s="1"/>
      <c r="Q8586" s="1"/>
      <c r="R8586" s="1"/>
      <c r="Z8586" s="103"/>
      <c r="AA8586" s="103"/>
      <c r="AB8586" s="1"/>
    </row>
    <row r="8587" spans="15:28">
      <c r="O8587" s="1"/>
      <c r="P8587" s="1"/>
      <c r="Q8587" s="1"/>
      <c r="R8587" s="1"/>
      <c r="Z8587" s="103"/>
      <c r="AA8587" s="103"/>
      <c r="AB8587" s="1"/>
    </row>
    <row r="8588" spans="15:28">
      <c r="O8588" s="1"/>
      <c r="P8588" s="1"/>
      <c r="Q8588" s="1"/>
      <c r="R8588" s="1"/>
      <c r="Z8588" s="103"/>
      <c r="AA8588" s="103"/>
      <c r="AB8588" s="1"/>
    </row>
    <row r="8589" spans="15:28">
      <c r="O8589" s="1"/>
      <c r="P8589" s="1"/>
      <c r="Q8589" s="1"/>
      <c r="R8589" s="1"/>
      <c r="Z8589" s="103"/>
      <c r="AA8589" s="103"/>
      <c r="AB8589" s="1"/>
    </row>
    <row r="8590" spans="15:28">
      <c r="O8590" s="1"/>
      <c r="P8590" s="1"/>
      <c r="Q8590" s="1"/>
      <c r="R8590" s="1"/>
      <c r="Z8590" s="103"/>
      <c r="AA8590" s="103"/>
      <c r="AB8590" s="1"/>
    </row>
    <row r="8591" spans="15:28">
      <c r="O8591" s="1"/>
      <c r="P8591" s="1"/>
      <c r="Q8591" s="1"/>
      <c r="R8591" s="1"/>
      <c r="Z8591" s="103"/>
      <c r="AA8591" s="103"/>
      <c r="AB8591" s="1"/>
    </row>
    <row r="8592" spans="15:28">
      <c r="O8592" s="1"/>
      <c r="P8592" s="1"/>
      <c r="Q8592" s="1"/>
      <c r="R8592" s="1"/>
      <c r="Z8592" s="103"/>
      <c r="AA8592" s="103"/>
      <c r="AB8592" s="1"/>
    </row>
    <row r="8593" spans="15:28">
      <c r="O8593" s="1"/>
      <c r="P8593" s="1"/>
      <c r="Q8593" s="1"/>
      <c r="R8593" s="1"/>
      <c r="Z8593" s="103"/>
      <c r="AA8593" s="103"/>
      <c r="AB8593" s="1"/>
    </row>
    <row r="8594" spans="15:28">
      <c r="O8594" s="1"/>
      <c r="P8594" s="1"/>
      <c r="Q8594" s="1"/>
      <c r="R8594" s="1"/>
      <c r="Z8594" s="103"/>
      <c r="AA8594" s="103"/>
      <c r="AB8594" s="1"/>
    </row>
    <row r="8595" spans="15:28">
      <c r="O8595" s="1"/>
      <c r="P8595" s="1"/>
      <c r="Q8595" s="1"/>
      <c r="R8595" s="1"/>
      <c r="Z8595" s="103"/>
      <c r="AA8595" s="103"/>
      <c r="AB8595" s="1"/>
    </row>
    <row r="8596" spans="15:28">
      <c r="O8596" s="1"/>
      <c r="P8596" s="1"/>
      <c r="Q8596" s="1"/>
      <c r="R8596" s="1"/>
      <c r="Z8596" s="103"/>
      <c r="AA8596" s="103"/>
      <c r="AB8596" s="1"/>
    </row>
    <row r="8597" spans="15:28">
      <c r="O8597" s="1"/>
      <c r="P8597" s="1"/>
      <c r="Q8597" s="1"/>
      <c r="R8597" s="1"/>
      <c r="Z8597" s="103"/>
      <c r="AA8597" s="103"/>
      <c r="AB8597" s="1"/>
    </row>
    <row r="8598" spans="15:28">
      <c r="O8598" s="1"/>
      <c r="P8598" s="1"/>
      <c r="Q8598" s="1"/>
      <c r="R8598" s="1"/>
      <c r="Z8598" s="103"/>
      <c r="AA8598" s="103"/>
      <c r="AB8598" s="1"/>
    </row>
    <row r="8599" spans="15:28">
      <c r="O8599" s="1"/>
      <c r="P8599" s="1"/>
      <c r="Q8599" s="1"/>
      <c r="R8599" s="1"/>
      <c r="Z8599" s="103"/>
      <c r="AA8599" s="103"/>
      <c r="AB8599" s="1"/>
    </row>
    <row r="8600" spans="15:28">
      <c r="O8600" s="1"/>
      <c r="P8600" s="1"/>
      <c r="Q8600" s="1"/>
      <c r="R8600" s="1"/>
      <c r="Z8600" s="103"/>
      <c r="AA8600" s="103"/>
      <c r="AB8600" s="1"/>
    </row>
    <row r="8601" spans="15:28">
      <c r="O8601" s="1"/>
      <c r="P8601" s="1"/>
      <c r="Q8601" s="1"/>
      <c r="R8601" s="1"/>
      <c r="Z8601" s="103"/>
      <c r="AA8601" s="103"/>
      <c r="AB8601" s="1"/>
    </row>
    <row r="8602" spans="15:28">
      <c r="O8602" s="1"/>
      <c r="P8602" s="1"/>
      <c r="Q8602" s="1"/>
      <c r="R8602" s="1"/>
      <c r="Z8602" s="103"/>
      <c r="AA8602" s="103"/>
      <c r="AB8602" s="1"/>
    </row>
    <row r="8603" spans="15:28">
      <c r="O8603" s="1"/>
      <c r="P8603" s="1"/>
      <c r="Q8603" s="1"/>
      <c r="R8603" s="1"/>
      <c r="Z8603" s="103"/>
      <c r="AA8603" s="103"/>
      <c r="AB8603" s="1"/>
    </row>
    <row r="8604" spans="15:28">
      <c r="O8604" s="1"/>
      <c r="P8604" s="1"/>
      <c r="Q8604" s="1"/>
      <c r="R8604" s="1"/>
      <c r="Z8604" s="103"/>
      <c r="AA8604" s="103"/>
      <c r="AB8604" s="1"/>
    </row>
    <row r="8605" spans="15:28">
      <c r="O8605" s="1"/>
      <c r="P8605" s="1"/>
      <c r="Q8605" s="1"/>
      <c r="R8605" s="1"/>
      <c r="Z8605" s="103"/>
      <c r="AA8605" s="103"/>
      <c r="AB8605" s="1"/>
    </row>
    <row r="8606" spans="15:28">
      <c r="O8606" s="1"/>
      <c r="P8606" s="1"/>
      <c r="Q8606" s="1"/>
      <c r="R8606" s="1"/>
      <c r="Z8606" s="103"/>
      <c r="AA8606" s="103"/>
      <c r="AB8606" s="1"/>
    </row>
    <row r="8607" spans="15:28">
      <c r="O8607" s="1"/>
      <c r="P8607" s="1"/>
      <c r="Q8607" s="1"/>
      <c r="R8607" s="1"/>
      <c r="Z8607" s="103"/>
      <c r="AA8607" s="103"/>
      <c r="AB8607" s="1"/>
    </row>
    <row r="8608" spans="15:28">
      <c r="O8608" s="1"/>
      <c r="P8608" s="1"/>
      <c r="Q8608" s="1"/>
      <c r="R8608" s="1"/>
      <c r="Z8608" s="103"/>
      <c r="AA8608" s="103"/>
      <c r="AB8608" s="1"/>
    </row>
    <row r="8609" spans="15:28">
      <c r="O8609" s="1"/>
      <c r="P8609" s="1"/>
      <c r="Q8609" s="1"/>
      <c r="R8609" s="1"/>
      <c r="Z8609" s="103"/>
      <c r="AA8609" s="103"/>
      <c r="AB8609" s="1"/>
    </row>
    <row r="8610" spans="15:28">
      <c r="O8610" s="1"/>
      <c r="P8610" s="1"/>
      <c r="Q8610" s="1"/>
      <c r="R8610" s="1"/>
      <c r="Z8610" s="103"/>
      <c r="AA8610" s="103"/>
      <c r="AB8610" s="1"/>
    </row>
    <row r="8611" spans="15:28">
      <c r="O8611" s="1"/>
      <c r="P8611" s="1"/>
      <c r="Q8611" s="1"/>
      <c r="R8611" s="1"/>
      <c r="Z8611" s="103"/>
      <c r="AA8611" s="103"/>
      <c r="AB8611" s="1"/>
    </row>
    <row r="8612" spans="15:28">
      <c r="O8612" s="1"/>
      <c r="P8612" s="1"/>
      <c r="Q8612" s="1"/>
      <c r="R8612" s="1"/>
      <c r="Z8612" s="103"/>
      <c r="AA8612" s="103"/>
      <c r="AB8612" s="1"/>
    </row>
    <row r="8613" spans="15:28">
      <c r="O8613" s="1"/>
      <c r="P8613" s="1"/>
      <c r="Q8613" s="1"/>
      <c r="R8613" s="1"/>
      <c r="Z8613" s="103"/>
      <c r="AA8613" s="103"/>
      <c r="AB8613" s="1"/>
    </row>
    <row r="8614" spans="15:28">
      <c r="O8614" s="1"/>
      <c r="P8614" s="1"/>
      <c r="Q8614" s="1"/>
      <c r="R8614" s="1"/>
      <c r="Z8614" s="103"/>
      <c r="AA8614" s="103"/>
      <c r="AB8614" s="1"/>
    </row>
    <row r="8615" spans="15:28">
      <c r="O8615" s="1"/>
      <c r="P8615" s="1"/>
      <c r="Q8615" s="1"/>
      <c r="R8615" s="1"/>
      <c r="Z8615" s="103"/>
      <c r="AA8615" s="103"/>
      <c r="AB8615" s="1"/>
    </row>
    <row r="8616" spans="15:28">
      <c r="O8616" s="1"/>
      <c r="P8616" s="1"/>
      <c r="Q8616" s="1"/>
      <c r="R8616" s="1"/>
      <c r="Z8616" s="103"/>
      <c r="AA8616" s="103"/>
      <c r="AB8616" s="1"/>
    </row>
    <row r="8617" spans="15:28">
      <c r="O8617" s="1"/>
      <c r="P8617" s="1"/>
      <c r="Q8617" s="1"/>
      <c r="R8617" s="1"/>
      <c r="Z8617" s="103"/>
      <c r="AA8617" s="103"/>
      <c r="AB8617" s="1"/>
    </row>
    <row r="8618" spans="15:28">
      <c r="O8618" s="1"/>
      <c r="P8618" s="1"/>
      <c r="Q8618" s="1"/>
      <c r="R8618" s="1"/>
      <c r="Z8618" s="103"/>
      <c r="AA8618" s="103"/>
      <c r="AB8618" s="1"/>
    </row>
    <row r="8619" spans="15:28">
      <c r="O8619" s="1"/>
      <c r="P8619" s="1"/>
      <c r="Q8619" s="1"/>
      <c r="R8619" s="1"/>
      <c r="Z8619" s="103"/>
      <c r="AA8619" s="103"/>
      <c r="AB8619" s="1"/>
    </row>
    <row r="8620" spans="15:28">
      <c r="O8620" s="1"/>
      <c r="P8620" s="1"/>
      <c r="Q8620" s="1"/>
      <c r="R8620" s="1"/>
      <c r="Z8620" s="103"/>
      <c r="AA8620" s="103"/>
      <c r="AB8620" s="1"/>
    </row>
    <row r="8621" spans="15:28">
      <c r="O8621" s="1"/>
      <c r="P8621" s="1"/>
      <c r="Q8621" s="1"/>
      <c r="R8621" s="1"/>
      <c r="Z8621" s="103"/>
      <c r="AA8621" s="103"/>
      <c r="AB8621" s="1"/>
    </row>
    <row r="8622" spans="15:28">
      <c r="O8622" s="1"/>
      <c r="P8622" s="1"/>
      <c r="Q8622" s="1"/>
      <c r="R8622" s="1"/>
      <c r="Z8622" s="103"/>
      <c r="AA8622" s="103"/>
      <c r="AB8622" s="1"/>
    </row>
    <row r="8623" spans="15:28">
      <c r="O8623" s="1"/>
      <c r="P8623" s="1"/>
      <c r="Q8623" s="1"/>
      <c r="R8623" s="1"/>
      <c r="Z8623" s="103"/>
      <c r="AA8623" s="103"/>
      <c r="AB8623" s="1"/>
    </row>
    <row r="8624" spans="15:28">
      <c r="O8624" s="1"/>
      <c r="P8624" s="1"/>
      <c r="Q8624" s="1"/>
      <c r="R8624" s="1"/>
      <c r="Z8624" s="103"/>
      <c r="AA8624" s="103"/>
      <c r="AB8624" s="1"/>
    </row>
    <row r="8625" spans="15:28">
      <c r="O8625" s="1"/>
      <c r="P8625" s="1"/>
      <c r="Q8625" s="1"/>
      <c r="R8625" s="1"/>
      <c r="Z8625" s="103"/>
      <c r="AA8625" s="103"/>
      <c r="AB8625" s="1"/>
    </row>
    <row r="8626" spans="15:28">
      <c r="O8626" s="1"/>
      <c r="P8626" s="1"/>
      <c r="Q8626" s="1"/>
      <c r="R8626" s="1"/>
      <c r="Z8626" s="103"/>
      <c r="AA8626" s="103"/>
      <c r="AB8626" s="1"/>
    </row>
    <row r="8627" spans="15:28">
      <c r="O8627" s="1"/>
      <c r="P8627" s="1"/>
      <c r="Q8627" s="1"/>
      <c r="R8627" s="1"/>
      <c r="Z8627" s="103"/>
      <c r="AA8627" s="103"/>
      <c r="AB8627" s="1"/>
    </row>
    <row r="8628" spans="15:28">
      <c r="O8628" s="1"/>
      <c r="P8628" s="1"/>
      <c r="Q8628" s="1"/>
      <c r="R8628" s="1"/>
      <c r="Z8628" s="103"/>
      <c r="AA8628" s="103"/>
      <c r="AB8628" s="1"/>
    </row>
    <row r="8629" spans="15:28">
      <c r="O8629" s="1"/>
      <c r="P8629" s="1"/>
      <c r="Q8629" s="1"/>
      <c r="R8629" s="1"/>
      <c r="Z8629" s="103"/>
      <c r="AA8629" s="103"/>
      <c r="AB8629" s="1"/>
    </row>
    <row r="8630" spans="15:28">
      <c r="O8630" s="1"/>
      <c r="P8630" s="1"/>
      <c r="Q8630" s="1"/>
      <c r="R8630" s="1"/>
      <c r="Z8630" s="103"/>
      <c r="AA8630" s="103"/>
      <c r="AB8630" s="1"/>
    </row>
    <row r="8631" spans="15:28">
      <c r="O8631" s="1"/>
      <c r="P8631" s="1"/>
      <c r="Q8631" s="1"/>
      <c r="R8631" s="1"/>
      <c r="Z8631" s="103"/>
      <c r="AA8631" s="103"/>
      <c r="AB8631" s="1"/>
    </row>
    <row r="8632" spans="15:28">
      <c r="O8632" s="1"/>
      <c r="P8632" s="1"/>
      <c r="Q8632" s="1"/>
      <c r="R8632" s="1"/>
      <c r="Z8632" s="103"/>
      <c r="AA8632" s="103"/>
      <c r="AB8632" s="1"/>
    </row>
    <row r="8633" spans="15:28">
      <c r="O8633" s="1"/>
      <c r="P8633" s="1"/>
      <c r="Q8633" s="1"/>
      <c r="R8633" s="1"/>
      <c r="Z8633" s="103"/>
      <c r="AA8633" s="103"/>
      <c r="AB8633" s="1"/>
    </row>
    <row r="8634" spans="15:28">
      <c r="O8634" s="1"/>
      <c r="P8634" s="1"/>
      <c r="Q8634" s="1"/>
      <c r="R8634" s="1"/>
      <c r="Z8634" s="103"/>
      <c r="AA8634" s="103"/>
      <c r="AB8634" s="1"/>
    </row>
    <row r="8635" spans="15:28">
      <c r="O8635" s="1"/>
      <c r="P8635" s="1"/>
      <c r="Q8635" s="1"/>
      <c r="R8635" s="1"/>
      <c r="Z8635" s="103"/>
      <c r="AA8635" s="103"/>
      <c r="AB8635" s="1"/>
    </row>
    <row r="8636" spans="15:28">
      <c r="O8636" s="1"/>
      <c r="P8636" s="1"/>
      <c r="Q8636" s="1"/>
      <c r="R8636" s="1"/>
      <c r="Z8636" s="103"/>
      <c r="AA8636" s="103"/>
      <c r="AB8636" s="1"/>
    </row>
    <row r="8637" spans="15:28">
      <c r="O8637" s="1"/>
      <c r="P8637" s="1"/>
      <c r="Q8637" s="1"/>
      <c r="R8637" s="1"/>
      <c r="Z8637" s="103"/>
      <c r="AA8637" s="103"/>
      <c r="AB8637" s="1"/>
    </row>
    <row r="8638" spans="15:28">
      <c r="O8638" s="1"/>
      <c r="P8638" s="1"/>
      <c r="Q8638" s="1"/>
      <c r="R8638" s="1"/>
      <c r="Z8638" s="103"/>
      <c r="AA8638" s="103"/>
      <c r="AB8638" s="1"/>
    </row>
    <row r="8639" spans="15:28">
      <c r="O8639" s="1"/>
      <c r="P8639" s="1"/>
      <c r="Q8639" s="1"/>
      <c r="R8639" s="1"/>
      <c r="Z8639" s="103"/>
      <c r="AA8639" s="103"/>
      <c r="AB8639" s="1"/>
    </row>
    <row r="8640" spans="15:28">
      <c r="O8640" s="1"/>
      <c r="P8640" s="1"/>
      <c r="Q8640" s="1"/>
      <c r="R8640" s="1"/>
      <c r="Z8640" s="103"/>
      <c r="AA8640" s="103"/>
      <c r="AB8640" s="1"/>
    </row>
    <row r="8641" spans="15:28">
      <c r="O8641" s="1"/>
      <c r="P8641" s="1"/>
      <c r="Q8641" s="1"/>
      <c r="R8641" s="1"/>
      <c r="Z8641" s="103"/>
      <c r="AA8641" s="103"/>
      <c r="AB8641" s="1"/>
    </row>
    <row r="8642" spans="15:28">
      <c r="O8642" s="1"/>
      <c r="P8642" s="1"/>
      <c r="Q8642" s="1"/>
      <c r="R8642" s="1"/>
      <c r="Z8642" s="103"/>
      <c r="AA8642" s="103"/>
      <c r="AB8642" s="1"/>
    </row>
    <row r="8643" spans="15:28">
      <c r="O8643" s="1"/>
      <c r="P8643" s="1"/>
      <c r="Q8643" s="1"/>
      <c r="R8643" s="1"/>
      <c r="Z8643" s="103"/>
      <c r="AA8643" s="103"/>
      <c r="AB8643" s="1"/>
    </row>
    <row r="8644" spans="15:28">
      <c r="O8644" s="1"/>
      <c r="P8644" s="1"/>
      <c r="Q8644" s="1"/>
      <c r="R8644" s="1"/>
      <c r="Z8644" s="103"/>
      <c r="AA8644" s="103"/>
      <c r="AB8644" s="1"/>
    </row>
    <row r="8645" spans="15:28">
      <c r="O8645" s="1"/>
      <c r="P8645" s="1"/>
      <c r="Q8645" s="1"/>
      <c r="R8645" s="1"/>
      <c r="Z8645" s="103"/>
      <c r="AA8645" s="103"/>
      <c r="AB8645" s="1"/>
    </row>
    <row r="8646" spans="15:28">
      <c r="O8646" s="1"/>
      <c r="P8646" s="1"/>
      <c r="Q8646" s="1"/>
      <c r="R8646" s="1"/>
      <c r="Z8646" s="103"/>
      <c r="AA8646" s="103"/>
      <c r="AB8646" s="1"/>
    </row>
    <row r="8647" spans="15:28">
      <c r="O8647" s="1"/>
      <c r="P8647" s="1"/>
      <c r="Q8647" s="1"/>
      <c r="R8647" s="1"/>
      <c r="Z8647" s="103"/>
      <c r="AA8647" s="103"/>
      <c r="AB8647" s="1"/>
    </row>
    <row r="8648" spans="15:28">
      <c r="O8648" s="1"/>
      <c r="P8648" s="1"/>
      <c r="Q8648" s="1"/>
      <c r="R8648" s="1"/>
      <c r="Z8648" s="103"/>
      <c r="AA8648" s="103"/>
      <c r="AB8648" s="1"/>
    </row>
    <row r="8649" spans="15:28">
      <c r="O8649" s="1"/>
      <c r="P8649" s="1"/>
      <c r="Q8649" s="1"/>
      <c r="R8649" s="1"/>
      <c r="Z8649" s="103"/>
      <c r="AA8649" s="103"/>
      <c r="AB8649" s="1"/>
    </row>
    <row r="8650" spans="15:28">
      <c r="O8650" s="1"/>
      <c r="P8650" s="1"/>
      <c r="Q8650" s="1"/>
      <c r="R8650" s="1"/>
      <c r="Z8650" s="103"/>
      <c r="AA8650" s="103"/>
      <c r="AB8650" s="1"/>
    </row>
    <row r="8651" spans="15:28">
      <c r="O8651" s="1"/>
      <c r="P8651" s="1"/>
      <c r="Q8651" s="1"/>
      <c r="R8651" s="1"/>
      <c r="Z8651" s="103"/>
      <c r="AA8651" s="103"/>
      <c r="AB8651" s="1"/>
    </row>
    <row r="8652" spans="15:28">
      <c r="O8652" s="1"/>
      <c r="P8652" s="1"/>
      <c r="Q8652" s="1"/>
      <c r="R8652" s="1"/>
      <c r="Z8652" s="103"/>
      <c r="AA8652" s="103"/>
      <c r="AB8652" s="1"/>
    </row>
    <row r="8653" spans="15:28">
      <c r="O8653" s="1"/>
      <c r="P8653" s="1"/>
      <c r="Q8653" s="1"/>
      <c r="R8653" s="1"/>
      <c r="Z8653" s="103"/>
      <c r="AA8653" s="103"/>
      <c r="AB8653" s="1"/>
    </row>
    <row r="8654" spans="15:28">
      <c r="O8654" s="1"/>
      <c r="P8654" s="1"/>
      <c r="Q8654" s="1"/>
      <c r="R8654" s="1"/>
      <c r="Z8654" s="103"/>
      <c r="AA8654" s="103"/>
      <c r="AB8654" s="1"/>
    </row>
    <row r="8655" spans="15:28">
      <c r="O8655" s="1"/>
      <c r="P8655" s="1"/>
      <c r="Q8655" s="1"/>
      <c r="R8655" s="1"/>
      <c r="Z8655" s="103"/>
      <c r="AA8655" s="103"/>
      <c r="AB8655" s="1"/>
    </row>
    <row r="8656" spans="15:28">
      <c r="O8656" s="1"/>
      <c r="P8656" s="1"/>
      <c r="Q8656" s="1"/>
      <c r="R8656" s="1"/>
      <c r="Z8656" s="103"/>
      <c r="AA8656" s="103"/>
      <c r="AB8656" s="1"/>
    </row>
    <row r="8657" spans="15:28">
      <c r="O8657" s="1"/>
      <c r="P8657" s="1"/>
      <c r="Q8657" s="1"/>
      <c r="R8657" s="1"/>
      <c r="Z8657" s="103"/>
      <c r="AA8657" s="103"/>
      <c r="AB8657" s="1"/>
    </row>
    <row r="8658" spans="15:28">
      <c r="O8658" s="1"/>
      <c r="P8658" s="1"/>
      <c r="Q8658" s="1"/>
      <c r="R8658" s="1"/>
      <c r="Z8658" s="103"/>
      <c r="AA8658" s="103"/>
      <c r="AB8658" s="1"/>
    </row>
    <row r="8659" spans="15:28">
      <c r="O8659" s="1"/>
      <c r="P8659" s="1"/>
      <c r="Q8659" s="1"/>
      <c r="R8659" s="1"/>
      <c r="Z8659" s="103"/>
      <c r="AA8659" s="103"/>
      <c r="AB8659" s="1"/>
    </row>
    <row r="8660" spans="15:28">
      <c r="O8660" s="1"/>
      <c r="P8660" s="1"/>
      <c r="Q8660" s="1"/>
      <c r="R8660" s="1"/>
      <c r="Z8660" s="103"/>
      <c r="AA8660" s="103"/>
      <c r="AB8660" s="1"/>
    </row>
    <row r="8661" spans="15:28">
      <c r="O8661" s="1"/>
      <c r="P8661" s="1"/>
      <c r="Q8661" s="1"/>
      <c r="R8661" s="1"/>
      <c r="Z8661" s="103"/>
      <c r="AA8661" s="103"/>
      <c r="AB8661" s="1"/>
    </row>
    <row r="8662" spans="15:28">
      <c r="O8662" s="1"/>
      <c r="P8662" s="1"/>
      <c r="Q8662" s="1"/>
      <c r="R8662" s="1"/>
      <c r="Z8662" s="103"/>
      <c r="AA8662" s="103"/>
      <c r="AB8662" s="1"/>
    </row>
    <row r="8663" spans="15:28">
      <c r="O8663" s="1"/>
      <c r="P8663" s="1"/>
      <c r="Q8663" s="1"/>
      <c r="R8663" s="1"/>
      <c r="Z8663" s="103"/>
      <c r="AA8663" s="103"/>
      <c r="AB8663" s="1"/>
    </row>
    <row r="8664" spans="15:28">
      <c r="O8664" s="1"/>
      <c r="P8664" s="1"/>
      <c r="Q8664" s="1"/>
      <c r="R8664" s="1"/>
      <c r="Z8664" s="103"/>
      <c r="AA8664" s="103"/>
      <c r="AB8664" s="1"/>
    </row>
    <row r="8665" spans="15:28">
      <c r="O8665" s="1"/>
      <c r="P8665" s="1"/>
      <c r="Q8665" s="1"/>
      <c r="R8665" s="1"/>
      <c r="Z8665" s="103"/>
      <c r="AA8665" s="103"/>
      <c r="AB8665" s="1"/>
    </row>
    <row r="8666" spans="15:28">
      <c r="O8666" s="1"/>
      <c r="P8666" s="1"/>
      <c r="Q8666" s="1"/>
      <c r="R8666" s="1"/>
      <c r="Z8666" s="103"/>
      <c r="AA8666" s="103"/>
      <c r="AB8666" s="1"/>
    </row>
    <row r="8667" spans="15:28">
      <c r="O8667" s="1"/>
      <c r="P8667" s="1"/>
      <c r="Q8667" s="1"/>
      <c r="R8667" s="1"/>
      <c r="Z8667" s="103"/>
      <c r="AA8667" s="103"/>
      <c r="AB8667" s="1"/>
    </row>
    <row r="8668" spans="15:28">
      <c r="O8668" s="1"/>
      <c r="P8668" s="1"/>
      <c r="Q8668" s="1"/>
      <c r="R8668" s="1"/>
      <c r="Z8668" s="103"/>
      <c r="AA8668" s="103"/>
      <c r="AB8668" s="1"/>
    </row>
    <row r="8669" spans="15:28">
      <c r="O8669" s="1"/>
      <c r="P8669" s="1"/>
      <c r="Q8669" s="1"/>
      <c r="R8669" s="1"/>
      <c r="Z8669" s="103"/>
      <c r="AA8669" s="103"/>
      <c r="AB8669" s="1"/>
    </row>
    <row r="8670" spans="15:28">
      <c r="O8670" s="1"/>
      <c r="P8670" s="1"/>
      <c r="Q8670" s="1"/>
      <c r="R8670" s="1"/>
      <c r="Z8670" s="103"/>
      <c r="AA8670" s="103"/>
      <c r="AB8670" s="1"/>
    </row>
    <row r="8671" spans="15:28">
      <c r="O8671" s="1"/>
      <c r="P8671" s="1"/>
      <c r="Q8671" s="1"/>
      <c r="R8671" s="1"/>
      <c r="Z8671" s="103"/>
      <c r="AA8671" s="103"/>
      <c r="AB8671" s="1"/>
    </row>
    <row r="8672" spans="15:28">
      <c r="O8672" s="1"/>
      <c r="P8672" s="1"/>
      <c r="Q8672" s="1"/>
      <c r="R8672" s="1"/>
      <c r="Z8672" s="103"/>
      <c r="AA8672" s="103"/>
      <c r="AB8672" s="1"/>
    </row>
    <row r="8673" spans="15:28">
      <c r="O8673" s="1"/>
      <c r="P8673" s="1"/>
      <c r="Q8673" s="1"/>
      <c r="R8673" s="1"/>
      <c r="Z8673" s="103"/>
      <c r="AA8673" s="103"/>
      <c r="AB8673" s="1"/>
    </row>
    <row r="8674" spans="15:28">
      <c r="O8674" s="1"/>
      <c r="P8674" s="1"/>
      <c r="Q8674" s="1"/>
      <c r="R8674" s="1"/>
      <c r="Z8674" s="103"/>
      <c r="AA8674" s="103"/>
      <c r="AB8674" s="1"/>
    </row>
    <row r="8675" spans="15:28">
      <c r="O8675" s="1"/>
      <c r="P8675" s="1"/>
      <c r="Q8675" s="1"/>
      <c r="R8675" s="1"/>
      <c r="Z8675" s="103"/>
      <c r="AA8675" s="103"/>
      <c r="AB8675" s="1"/>
    </row>
    <row r="8676" spans="15:28">
      <c r="O8676" s="1"/>
      <c r="P8676" s="1"/>
      <c r="Q8676" s="1"/>
      <c r="R8676" s="1"/>
      <c r="Z8676" s="103"/>
      <c r="AA8676" s="103"/>
      <c r="AB8676" s="1"/>
    </row>
    <row r="8677" spans="15:28">
      <c r="O8677" s="1"/>
      <c r="P8677" s="1"/>
      <c r="Q8677" s="1"/>
      <c r="R8677" s="1"/>
      <c r="Z8677" s="103"/>
      <c r="AA8677" s="103"/>
      <c r="AB8677" s="1"/>
    </row>
    <row r="8678" spans="15:28">
      <c r="O8678" s="1"/>
      <c r="P8678" s="1"/>
      <c r="Q8678" s="1"/>
      <c r="R8678" s="1"/>
      <c r="Z8678" s="103"/>
      <c r="AA8678" s="103"/>
      <c r="AB8678" s="1"/>
    </row>
    <row r="8679" spans="15:28">
      <c r="O8679" s="1"/>
      <c r="P8679" s="1"/>
      <c r="Q8679" s="1"/>
      <c r="R8679" s="1"/>
      <c r="Z8679" s="103"/>
      <c r="AA8679" s="103"/>
      <c r="AB8679" s="1"/>
    </row>
    <row r="8680" spans="15:28">
      <c r="O8680" s="1"/>
      <c r="P8680" s="1"/>
      <c r="Q8680" s="1"/>
      <c r="R8680" s="1"/>
      <c r="Z8680" s="103"/>
      <c r="AA8680" s="103"/>
      <c r="AB8680" s="1"/>
    </row>
    <row r="8681" spans="15:28">
      <c r="O8681" s="1"/>
      <c r="P8681" s="1"/>
      <c r="Q8681" s="1"/>
      <c r="R8681" s="1"/>
      <c r="Z8681" s="103"/>
      <c r="AA8681" s="103"/>
      <c r="AB8681" s="1"/>
    </row>
    <row r="8682" spans="15:28">
      <c r="O8682" s="1"/>
      <c r="P8682" s="1"/>
      <c r="Q8682" s="1"/>
      <c r="R8682" s="1"/>
      <c r="Z8682" s="103"/>
      <c r="AA8682" s="103"/>
      <c r="AB8682" s="1"/>
    </row>
    <row r="8683" spans="15:28">
      <c r="O8683" s="1"/>
      <c r="P8683" s="1"/>
      <c r="Q8683" s="1"/>
      <c r="R8683" s="1"/>
      <c r="Z8683" s="103"/>
      <c r="AA8683" s="103"/>
      <c r="AB8683" s="1"/>
    </row>
    <row r="8684" spans="15:28">
      <c r="O8684" s="1"/>
      <c r="P8684" s="1"/>
      <c r="Q8684" s="1"/>
      <c r="R8684" s="1"/>
      <c r="Z8684" s="103"/>
      <c r="AA8684" s="103"/>
      <c r="AB8684" s="1"/>
    </row>
    <row r="8685" spans="15:28">
      <c r="O8685" s="1"/>
      <c r="P8685" s="1"/>
      <c r="Q8685" s="1"/>
      <c r="R8685" s="1"/>
      <c r="Z8685" s="103"/>
      <c r="AA8685" s="103"/>
      <c r="AB8685" s="1"/>
    </row>
    <row r="8686" spans="15:28">
      <c r="O8686" s="1"/>
      <c r="P8686" s="1"/>
      <c r="Q8686" s="1"/>
      <c r="R8686" s="1"/>
      <c r="Z8686" s="103"/>
      <c r="AA8686" s="103"/>
      <c r="AB8686" s="1"/>
    </row>
    <row r="8687" spans="15:28">
      <c r="O8687" s="1"/>
      <c r="P8687" s="1"/>
      <c r="Q8687" s="1"/>
      <c r="R8687" s="1"/>
      <c r="Z8687" s="103"/>
      <c r="AA8687" s="103"/>
      <c r="AB8687" s="1"/>
    </row>
    <row r="8688" spans="15:28">
      <c r="O8688" s="1"/>
      <c r="P8688" s="1"/>
      <c r="Q8688" s="1"/>
      <c r="R8688" s="1"/>
      <c r="Z8688" s="103"/>
      <c r="AA8688" s="103"/>
      <c r="AB8688" s="1"/>
    </row>
    <row r="8689" spans="15:28">
      <c r="O8689" s="1"/>
      <c r="P8689" s="1"/>
      <c r="Q8689" s="1"/>
      <c r="R8689" s="1"/>
      <c r="Z8689" s="103"/>
      <c r="AA8689" s="103"/>
      <c r="AB8689" s="1"/>
    </row>
    <row r="8690" spans="15:28">
      <c r="O8690" s="1"/>
      <c r="P8690" s="1"/>
      <c r="Q8690" s="1"/>
      <c r="R8690" s="1"/>
      <c r="Z8690" s="103"/>
      <c r="AA8690" s="103"/>
      <c r="AB8690" s="1"/>
    </row>
    <row r="8691" spans="15:28">
      <c r="O8691" s="1"/>
      <c r="P8691" s="1"/>
      <c r="Q8691" s="1"/>
      <c r="R8691" s="1"/>
      <c r="Z8691" s="103"/>
      <c r="AA8691" s="103"/>
      <c r="AB8691" s="1"/>
    </row>
    <row r="8692" spans="15:28">
      <c r="O8692" s="1"/>
      <c r="P8692" s="1"/>
      <c r="Q8692" s="1"/>
      <c r="R8692" s="1"/>
      <c r="Z8692" s="103"/>
      <c r="AA8692" s="103"/>
      <c r="AB8692" s="1"/>
    </row>
    <row r="8693" spans="15:28">
      <c r="O8693" s="1"/>
      <c r="P8693" s="1"/>
      <c r="Q8693" s="1"/>
      <c r="R8693" s="1"/>
      <c r="Z8693" s="103"/>
      <c r="AA8693" s="103"/>
      <c r="AB8693" s="1"/>
    </row>
    <row r="8694" spans="15:28">
      <c r="O8694" s="1"/>
      <c r="P8694" s="1"/>
      <c r="Q8694" s="1"/>
      <c r="R8694" s="1"/>
      <c r="Z8694" s="103"/>
      <c r="AA8694" s="103"/>
      <c r="AB8694" s="1"/>
    </row>
    <row r="8695" spans="15:28">
      <c r="O8695" s="1"/>
      <c r="P8695" s="1"/>
      <c r="Q8695" s="1"/>
      <c r="R8695" s="1"/>
      <c r="Z8695" s="103"/>
      <c r="AA8695" s="103"/>
      <c r="AB8695" s="1"/>
    </row>
    <row r="8696" spans="15:28">
      <c r="O8696" s="1"/>
      <c r="P8696" s="1"/>
      <c r="Q8696" s="1"/>
      <c r="R8696" s="1"/>
      <c r="Z8696" s="103"/>
      <c r="AA8696" s="103"/>
      <c r="AB8696" s="1"/>
    </row>
    <row r="8697" spans="15:28">
      <c r="O8697" s="1"/>
      <c r="P8697" s="1"/>
      <c r="Q8697" s="1"/>
      <c r="R8697" s="1"/>
      <c r="Z8697" s="103"/>
      <c r="AA8697" s="103"/>
      <c r="AB8697" s="1"/>
    </row>
    <row r="8698" spans="15:28">
      <c r="O8698" s="1"/>
      <c r="P8698" s="1"/>
      <c r="Q8698" s="1"/>
      <c r="R8698" s="1"/>
      <c r="Z8698" s="103"/>
      <c r="AA8698" s="103"/>
      <c r="AB8698" s="1"/>
    </row>
    <row r="8699" spans="15:28">
      <c r="O8699" s="1"/>
      <c r="P8699" s="1"/>
      <c r="Q8699" s="1"/>
      <c r="R8699" s="1"/>
      <c r="Z8699" s="103"/>
      <c r="AA8699" s="103"/>
      <c r="AB8699" s="1"/>
    </row>
    <row r="8700" spans="15:28">
      <c r="O8700" s="1"/>
      <c r="P8700" s="1"/>
      <c r="Q8700" s="1"/>
      <c r="R8700" s="1"/>
      <c r="Z8700" s="103"/>
      <c r="AA8700" s="103"/>
      <c r="AB8700" s="1"/>
    </row>
    <row r="8701" spans="15:28">
      <c r="O8701" s="1"/>
      <c r="P8701" s="1"/>
      <c r="Q8701" s="1"/>
      <c r="R8701" s="1"/>
      <c r="Z8701" s="103"/>
      <c r="AA8701" s="103"/>
      <c r="AB8701" s="1"/>
    </row>
    <row r="8702" spans="15:28">
      <c r="O8702" s="1"/>
      <c r="P8702" s="1"/>
      <c r="Q8702" s="1"/>
      <c r="R8702" s="1"/>
      <c r="Z8702" s="103"/>
      <c r="AA8702" s="103"/>
      <c r="AB8702" s="1"/>
    </row>
    <row r="8703" spans="15:28">
      <c r="O8703" s="1"/>
      <c r="P8703" s="1"/>
      <c r="Q8703" s="1"/>
      <c r="R8703" s="1"/>
      <c r="Z8703" s="103"/>
      <c r="AA8703" s="103"/>
      <c r="AB8703" s="1"/>
    </row>
    <row r="8704" spans="15:28">
      <c r="O8704" s="1"/>
      <c r="P8704" s="1"/>
      <c r="Q8704" s="1"/>
      <c r="R8704" s="1"/>
      <c r="Z8704" s="103"/>
      <c r="AA8704" s="103"/>
      <c r="AB8704" s="1"/>
    </row>
    <row r="8705" spans="15:28">
      <c r="O8705" s="1"/>
      <c r="P8705" s="1"/>
      <c r="Q8705" s="1"/>
      <c r="R8705" s="1"/>
      <c r="Z8705" s="103"/>
      <c r="AA8705" s="103"/>
      <c r="AB8705" s="1"/>
    </row>
    <row r="8706" spans="15:28">
      <c r="O8706" s="1"/>
      <c r="P8706" s="1"/>
      <c r="Q8706" s="1"/>
      <c r="R8706" s="1"/>
      <c r="Z8706" s="103"/>
      <c r="AA8706" s="103"/>
      <c r="AB8706" s="1"/>
    </row>
    <row r="8707" spans="15:28">
      <c r="O8707" s="1"/>
      <c r="P8707" s="1"/>
      <c r="Q8707" s="1"/>
      <c r="R8707" s="1"/>
      <c r="Z8707" s="103"/>
      <c r="AA8707" s="103"/>
      <c r="AB8707" s="1"/>
    </row>
    <row r="8708" spans="15:28">
      <c r="O8708" s="1"/>
      <c r="P8708" s="1"/>
      <c r="Q8708" s="1"/>
      <c r="R8708" s="1"/>
      <c r="Z8708" s="103"/>
      <c r="AA8708" s="103"/>
      <c r="AB8708" s="1"/>
    </row>
    <row r="8709" spans="15:28">
      <c r="O8709" s="1"/>
      <c r="P8709" s="1"/>
      <c r="Q8709" s="1"/>
      <c r="R8709" s="1"/>
      <c r="Z8709" s="103"/>
      <c r="AA8709" s="103"/>
      <c r="AB8709" s="1"/>
    </row>
    <row r="8710" spans="15:28">
      <c r="O8710" s="1"/>
      <c r="P8710" s="1"/>
      <c r="Q8710" s="1"/>
      <c r="R8710" s="1"/>
      <c r="Z8710" s="103"/>
      <c r="AA8710" s="103"/>
      <c r="AB8710" s="1"/>
    </row>
    <row r="8711" spans="15:28">
      <c r="O8711" s="1"/>
      <c r="P8711" s="1"/>
      <c r="Q8711" s="1"/>
      <c r="R8711" s="1"/>
      <c r="Z8711" s="103"/>
      <c r="AA8711" s="103"/>
      <c r="AB8711" s="1"/>
    </row>
    <row r="8712" spans="15:28">
      <c r="O8712" s="1"/>
      <c r="P8712" s="1"/>
      <c r="Q8712" s="1"/>
      <c r="R8712" s="1"/>
      <c r="Z8712" s="103"/>
      <c r="AA8712" s="103"/>
      <c r="AB8712" s="1"/>
    </row>
    <row r="8713" spans="15:28">
      <c r="O8713" s="1"/>
      <c r="P8713" s="1"/>
      <c r="Q8713" s="1"/>
      <c r="R8713" s="1"/>
      <c r="Z8713" s="103"/>
      <c r="AA8713" s="103"/>
      <c r="AB8713" s="1"/>
    </row>
    <row r="8714" spans="15:28">
      <c r="O8714" s="1"/>
      <c r="P8714" s="1"/>
      <c r="Q8714" s="1"/>
      <c r="R8714" s="1"/>
      <c r="Z8714" s="103"/>
      <c r="AA8714" s="103"/>
      <c r="AB8714" s="1"/>
    </row>
    <row r="8715" spans="15:28">
      <c r="O8715" s="1"/>
      <c r="P8715" s="1"/>
      <c r="Q8715" s="1"/>
      <c r="R8715" s="1"/>
      <c r="Z8715" s="103"/>
      <c r="AA8715" s="103"/>
      <c r="AB8715" s="1"/>
    </row>
    <row r="8716" spans="15:28">
      <c r="O8716" s="1"/>
      <c r="P8716" s="1"/>
      <c r="Q8716" s="1"/>
      <c r="R8716" s="1"/>
      <c r="Z8716" s="103"/>
      <c r="AA8716" s="103"/>
      <c r="AB8716" s="1"/>
    </row>
    <row r="8717" spans="15:28">
      <c r="O8717" s="1"/>
      <c r="P8717" s="1"/>
      <c r="Q8717" s="1"/>
      <c r="R8717" s="1"/>
      <c r="Z8717" s="103"/>
      <c r="AA8717" s="103"/>
      <c r="AB8717" s="1"/>
    </row>
    <row r="8718" spans="15:28">
      <c r="O8718" s="1"/>
      <c r="P8718" s="1"/>
      <c r="Q8718" s="1"/>
      <c r="R8718" s="1"/>
      <c r="Z8718" s="103"/>
      <c r="AA8718" s="103"/>
      <c r="AB8718" s="1"/>
    </row>
    <row r="8719" spans="15:28">
      <c r="O8719" s="1"/>
      <c r="P8719" s="1"/>
      <c r="Q8719" s="1"/>
      <c r="R8719" s="1"/>
      <c r="Z8719" s="103"/>
      <c r="AA8719" s="103"/>
      <c r="AB8719" s="1"/>
    </row>
    <row r="8720" spans="15:28">
      <c r="O8720" s="1"/>
      <c r="P8720" s="1"/>
      <c r="Q8720" s="1"/>
      <c r="R8720" s="1"/>
      <c r="Z8720" s="103"/>
      <c r="AA8720" s="103"/>
      <c r="AB8720" s="1"/>
    </row>
    <row r="8721" spans="15:28">
      <c r="O8721" s="1"/>
      <c r="P8721" s="1"/>
      <c r="Q8721" s="1"/>
      <c r="R8721" s="1"/>
      <c r="Z8721" s="103"/>
      <c r="AA8721" s="103"/>
      <c r="AB8721" s="1"/>
    </row>
    <row r="8722" spans="15:28">
      <c r="O8722" s="1"/>
      <c r="P8722" s="1"/>
      <c r="Q8722" s="1"/>
      <c r="R8722" s="1"/>
      <c r="Z8722" s="103"/>
      <c r="AA8722" s="103"/>
      <c r="AB8722" s="1"/>
    </row>
    <row r="8723" spans="15:28">
      <c r="O8723" s="1"/>
      <c r="P8723" s="1"/>
      <c r="Q8723" s="1"/>
      <c r="R8723" s="1"/>
      <c r="Z8723" s="103"/>
      <c r="AA8723" s="103"/>
      <c r="AB8723" s="1"/>
    </row>
    <row r="8724" spans="15:28">
      <c r="O8724" s="1"/>
      <c r="P8724" s="1"/>
      <c r="Q8724" s="1"/>
      <c r="R8724" s="1"/>
      <c r="Z8724" s="103"/>
      <c r="AA8724" s="103"/>
      <c r="AB8724" s="1"/>
    </row>
    <row r="8725" spans="15:28">
      <c r="O8725" s="1"/>
      <c r="P8725" s="1"/>
      <c r="Q8725" s="1"/>
      <c r="R8725" s="1"/>
      <c r="Z8725" s="103"/>
      <c r="AA8725" s="103"/>
      <c r="AB8725" s="1"/>
    </row>
    <row r="8726" spans="15:28">
      <c r="O8726" s="1"/>
      <c r="P8726" s="1"/>
      <c r="Q8726" s="1"/>
      <c r="R8726" s="1"/>
      <c r="Z8726" s="103"/>
      <c r="AA8726" s="103"/>
      <c r="AB8726" s="1"/>
    </row>
    <row r="8727" spans="15:28">
      <c r="O8727" s="1"/>
      <c r="P8727" s="1"/>
      <c r="Q8727" s="1"/>
      <c r="R8727" s="1"/>
      <c r="Z8727" s="103"/>
      <c r="AA8727" s="103"/>
      <c r="AB8727" s="1"/>
    </row>
    <row r="8728" spans="15:28">
      <c r="O8728" s="1"/>
      <c r="P8728" s="1"/>
      <c r="Q8728" s="1"/>
      <c r="R8728" s="1"/>
      <c r="Z8728" s="103"/>
      <c r="AA8728" s="103"/>
      <c r="AB8728" s="1"/>
    </row>
    <row r="8729" spans="15:28">
      <c r="O8729" s="1"/>
      <c r="P8729" s="1"/>
      <c r="Q8729" s="1"/>
      <c r="R8729" s="1"/>
      <c r="Z8729" s="103"/>
      <c r="AA8729" s="103"/>
      <c r="AB8729" s="1"/>
    </row>
    <row r="8730" spans="15:28">
      <c r="O8730" s="1"/>
      <c r="P8730" s="1"/>
      <c r="Q8730" s="1"/>
      <c r="R8730" s="1"/>
      <c r="Z8730" s="103"/>
      <c r="AA8730" s="103"/>
      <c r="AB8730" s="1"/>
    </row>
    <row r="8731" spans="15:28">
      <c r="O8731" s="1"/>
      <c r="P8731" s="1"/>
      <c r="Q8731" s="1"/>
      <c r="R8731" s="1"/>
      <c r="Z8731" s="103"/>
      <c r="AA8731" s="103"/>
      <c r="AB8731" s="1"/>
    </row>
    <row r="8732" spans="15:28">
      <c r="O8732" s="1"/>
      <c r="P8732" s="1"/>
      <c r="Q8732" s="1"/>
      <c r="R8732" s="1"/>
      <c r="Z8732" s="103"/>
      <c r="AA8732" s="103"/>
      <c r="AB8732" s="1"/>
    </row>
    <row r="8733" spans="15:28">
      <c r="O8733" s="1"/>
      <c r="P8733" s="1"/>
      <c r="Q8733" s="1"/>
      <c r="R8733" s="1"/>
      <c r="Z8733" s="103"/>
      <c r="AA8733" s="103"/>
      <c r="AB8733" s="1"/>
    </row>
    <row r="8734" spans="15:28">
      <c r="O8734" s="1"/>
      <c r="P8734" s="1"/>
      <c r="Q8734" s="1"/>
      <c r="R8734" s="1"/>
      <c r="Z8734" s="103"/>
      <c r="AA8734" s="103"/>
      <c r="AB8734" s="1"/>
    </row>
    <row r="8735" spans="15:28">
      <c r="O8735" s="1"/>
      <c r="P8735" s="1"/>
      <c r="Q8735" s="1"/>
      <c r="R8735" s="1"/>
      <c r="Z8735" s="103"/>
      <c r="AA8735" s="103"/>
      <c r="AB8735" s="1"/>
    </row>
    <row r="8736" spans="15:28">
      <c r="O8736" s="1"/>
      <c r="P8736" s="1"/>
      <c r="Q8736" s="1"/>
      <c r="R8736" s="1"/>
      <c r="Z8736" s="103"/>
      <c r="AA8736" s="103"/>
      <c r="AB8736" s="1"/>
    </row>
    <row r="8737" spans="15:28">
      <c r="O8737" s="1"/>
      <c r="P8737" s="1"/>
      <c r="Q8737" s="1"/>
      <c r="R8737" s="1"/>
      <c r="Z8737" s="103"/>
      <c r="AA8737" s="103"/>
      <c r="AB8737" s="1"/>
    </row>
    <row r="8738" spans="15:28">
      <c r="O8738" s="1"/>
      <c r="P8738" s="1"/>
      <c r="Q8738" s="1"/>
      <c r="R8738" s="1"/>
      <c r="Z8738" s="103"/>
      <c r="AA8738" s="103"/>
      <c r="AB8738" s="1"/>
    </row>
    <row r="8739" spans="15:28">
      <c r="O8739" s="1"/>
      <c r="P8739" s="1"/>
      <c r="Q8739" s="1"/>
      <c r="R8739" s="1"/>
      <c r="Z8739" s="103"/>
      <c r="AA8739" s="103"/>
      <c r="AB8739" s="1"/>
    </row>
    <row r="8740" spans="15:28">
      <c r="O8740" s="1"/>
      <c r="P8740" s="1"/>
      <c r="Q8740" s="1"/>
      <c r="R8740" s="1"/>
      <c r="Z8740" s="103"/>
      <c r="AA8740" s="103"/>
      <c r="AB8740" s="1"/>
    </row>
    <row r="8741" spans="15:28">
      <c r="O8741" s="1"/>
      <c r="P8741" s="1"/>
      <c r="Q8741" s="1"/>
      <c r="R8741" s="1"/>
      <c r="Z8741" s="103"/>
      <c r="AA8741" s="103"/>
      <c r="AB8741" s="1"/>
    </row>
    <row r="8742" spans="15:28">
      <c r="O8742" s="1"/>
      <c r="P8742" s="1"/>
      <c r="Q8742" s="1"/>
      <c r="R8742" s="1"/>
      <c r="Z8742" s="103"/>
      <c r="AA8742" s="103"/>
      <c r="AB8742" s="1"/>
    </row>
    <row r="8743" spans="15:28">
      <c r="O8743" s="1"/>
      <c r="P8743" s="1"/>
      <c r="Q8743" s="1"/>
      <c r="R8743" s="1"/>
      <c r="Z8743" s="103"/>
      <c r="AA8743" s="103"/>
      <c r="AB8743" s="1"/>
    </row>
    <row r="8744" spans="15:28">
      <c r="O8744" s="1"/>
      <c r="P8744" s="1"/>
      <c r="Q8744" s="1"/>
      <c r="R8744" s="1"/>
      <c r="Z8744" s="103"/>
      <c r="AA8744" s="103"/>
      <c r="AB8744" s="1"/>
    </row>
    <row r="8745" spans="15:28">
      <c r="O8745" s="1"/>
      <c r="P8745" s="1"/>
      <c r="Q8745" s="1"/>
      <c r="R8745" s="1"/>
      <c r="Z8745" s="103"/>
      <c r="AA8745" s="103"/>
      <c r="AB8745" s="1"/>
    </row>
    <row r="8746" spans="15:28">
      <c r="O8746" s="1"/>
      <c r="P8746" s="1"/>
      <c r="Q8746" s="1"/>
      <c r="R8746" s="1"/>
      <c r="Z8746" s="103"/>
      <c r="AA8746" s="103"/>
      <c r="AB8746" s="1"/>
    </row>
    <row r="8747" spans="15:28">
      <c r="O8747" s="1"/>
      <c r="P8747" s="1"/>
      <c r="Q8747" s="1"/>
      <c r="R8747" s="1"/>
      <c r="Z8747" s="103"/>
      <c r="AA8747" s="103"/>
      <c r="AB8747" s="1"/>
    </row>
    <row r="8748" spans="15:28">
      <c r="O8748" s="1"/>
      <c r="P8748" s="1"/>
      <c r="Q8748" s="1"/>
      <c r="R8748" s="1"/>
      <c r="Z8748" s="103"/>
      <c r="AA8748" s="103"/>
      <c r="AB8748" s="1"/>
    </row>
    <row r="8749" spans="15:28">
      <c r="O8749" s="1"/>
      <c r="P8749" s="1"/>
      <c r="Q8749" s="1"/>
      <c r="R8749" s="1"/>
      <c r="Z8749" s="103"/>
      <c r="AA8749" s="103"/>
      <c r="AB8749" s="1"/>
    </row>
    <row r="8750" spans="15:28">
      <c r="O8750" s="1"/>
      <c r="P8750" s="1"/>
      <c r="Q8750" s="1"/>
      <c r="R8750" s="1"/>
      <c r="Z8750" s="103"/>
      <c r="AA8750" s="103"/>
      <c r="AB8750" s="1"/>
    </row>
    <row r="8751" spans="15:28">
      <c r="O8751" s="1"/>
      <c r="P8751" s="1"/>
      <c r="Q8751" s="1"/>
      <c r="R8751" s="1"/>
      <c r="Z8751" s="103"/>
      <c r="AA8751" s="103"/>
      <c r="AB8751" s="1"/>
    </row>
    <row r="8752" spans="15:28">
      <c r="O8752" s="1"/>
      <c r="P8752" s="1"/>
      <c r="Q8752" s="1"/>
      <c r="R8752" s="1"/>
      <c r="Z8752" s="103"/>
      <c r="AA8752" s="103"/>
      <c r="AB8752" s="1"/>
    </row>
    <row r="8753" spans="15:28">
      <c r="O8753" s="1"/>
      <c r="P8753" s="1"/>
      <c r="Q8753" s="1"/>
      <c r="R8753" s="1"/>
      <c r="Z8753" s="103"/>
      <c r="AA8753" s="103"/>
      <c r="AB8753" s="1"/>
    </row>
    <row r="8754" spans="15:28">
      <c r="O8754" s="1"/>
      <c r="P8754" s="1"/>
      <c r="Q8754" s="1"/>
      <c r="R8754" s="1"/>
      <c r="Z8754" s="103"/>
      <c r="AA8754" s="103"/>
      <c r="AB8754" s="1"/>
    </row>
    <row r="8755" spans="15:28">
      <c r="O8755" s="1"/>
      <c r="P8755" s="1"/>
      <c r="Q8755" s="1"/>
      <c r="R8755" s="1"/>
      <c r="Z8755" s="103"/>
      <c r="AA8755" s="103"/>
      <c r="AB8755" s="1"/>
    </row>
    <row r="8756" spans="15:28">
      <c r="O8756" s="1"/>
      <c r="P8756" s="1"/>
      <c r="Q8756" s="1"/>
      <c r="R8756" s="1"/>
      <c r="Z8756" s="103"/>
      <c r="AA8756" s="103"/>
      <c r="AB8756" s="1"/>
    </row>
    <row r="8757" spans="15:28">
      <c r="O8757" s="1"/>
      <c r="P8757" s="1"/>
      <c r="Q8757" s="1"/>
      <c r="R8757" s="1"/>
      <c r="Z8757" s="103"/>
      <c r="AA8757" s="103"/>
      <c r="AB8757" s="1"/>
    </row>
    <row r="8758" spans="15:28">
      <c r="O8758" s="1"/>
      <c r="P8758" s="1"/>
      <c r="Q8758" s="1"/>
      <c r="R8758" s="1"/>
      <c r="Z8758" s="103"/>
      <c r="AA8758" s="103"/>
      <c r="AB8758" s="1"/>
    </row>
    <row r="8759" spans="15:28">
      <c r="O8759" s="1"/>
      <c r="P8759" s="1"/>
      <c r="Q8759" s="1"/>
      <c r="R8759" s="1"/>
      <c r="Z8759" s="103"/>
      <c r="AA8759" s="103"/>
      <c r="AB8759" s="1"/>
    </row>
    <row r="8760" spans="15:28">
      <c r="O8760" s="1"/>
      <c r="P8760" s="1"/>
      <c r="Q8760" s="1"/>
      <c r="R8760" s="1"/>
      <c r="Z8760" s="103"/>
      <c r="AA8760" s="103"/>
      <c r="AB8760" s="1"/>
    </row>
    <row r="8761" spans="15:28">
      <c r="O8761" s="1"/>
      <c r="P8761" s="1"/>
      <c r="Q8761" s="1"/>
      <c r="R8761" s="1"/>
      <c r="Z8761" s="103"/>
      <c r="AA8761" s="103"/>
      <c r="AB8761" s="1"/>
    </row>
    <row r="8762" spans="15:28">
      <c r="O8762" s="1"/>
      <c r="P8762" s="1"/>
      <c r="Q8762" s="1"/>
      <c r="R8762" s="1"/>
      <c r="Z8762" s="103"/>
      <c r="AA8762" s="103"/>
      <c r="AB8762" s="1"/>
    </row>
    <row r="8763" spans="15:28">
      <c r="O8763" s="1"/>
      <c r="P8763" s="1"/>
      <c r="Q8763" s="1"/>
      <c r="R8763" s="1"/>
      <c r="Z8763" s="103"/>
      <c r="AA8763" s="103"/>
      <c r="AB8763" s="1"/>
    </row>
    <row r="8764" spans="15:28">
      <c r="O8764" s="1"/>
      <c r="P8764" s="1"/>
      <c r="Q8764" s="1"/>
      <c r="R8764" s="1"/>
      <c r="Z8764" s="103"/>
      <c r="AA8764" s="103"/>
      <c r="AB8764" s="1"/>
    </row>
    <row r="8765" spans="15:28">
      <c r="O8765" s="1"/>
      <c r="P8765" s="1"/>
      <c r="Q8765" s="1"/>
      <c r="R8765" s="1"/>
      <c r="Z8765" s="103"/>
      <c r="AA8765" s="103"/>
      <c r="AB8765" s="1"/>
    </row>
    <row r="8766" spans="15:28">
      <c r="O8766" s="1"/>
      <c r="P8766" s="1"/>
      <c r="Q8766" s="1"/>
      <c r="R8766" s="1"/>
      <c r="Z8766" s="103"/>
      <c r="AA8766" s="103"/>
      <c r="AB8766" s="1"/>
    </row>
    <row r="8767" spans="15:28">
      <c r="O8767" s="1"/>
      <c r="P8767" s="1"/>
      <c r="Q8767" s="1"/>
      <c r="R8767" s="1"/>
      <c r="Z8767" s="103"/>
      <c r="AA8767" s="103"/>
      <c r="AB8767" s="1"/>
    </row>
    <row r="8768" spans="15:28">
      <c r="O8768" s="1"/>
      <c r="P8768" s="1"/>
      <c r="Q8768" s="1"/>
      <c r="R8768" s="1"/>
      <c r="Z8768" s="103"/>
      <c r="AA8768" s="103"/>
      <c r="AB8768" s="1"/>
    </row>
    <row r="8769" spans="15:28">
      <c r="O8769" s="1"/>
      <c r="P8769" s="1"/>
      <c r="Q8769" s="1"/>
      <c r="R8769" s="1"/>
      <c r="Z8769" s="103"/>
      <c r="AA8769" s="103"/>
      <c r="AB8769" s="1"/>
    </row>
    <row r="8770" spans="15:28">
      <c r="O8770" s="1"/>
      <c r="P8770" s="1"/>
      <c r="Q8770" s="1"/>
      <c r="R8770" s="1"/>
      <c r="Z8770" s="103"/>
      <c r="AA8770" s="103"/>
      <c r="AB8770" s="1"/>
    </row>
    <row r="8771" spans="15:28">
      <c r="O8771" s="1"/>
      <c r="P8771" s="1"/>
      <c r="Q8771" s="1"/>
      <c r="R8771" s="1"/>
      <c r="Z8771" s="103"/>
      <c r="AA8771" s="103"/>
      <c r="AB8771" s="1"/>
    </row>
    <row r="8772" spans="15:28">
      <c r="O8772" s="1"/>
      <c r="P8772" s="1"/>
      <c r="Q8772" s="1"/>
      <c r="R8772" s="1"/>
      <c r="Z8772" s="103"/>
      <c r="AA8772" s="103"/>
      <c r="AB8772" s="1"/>
    </row>
    <row r="8773" spans="15:28">
      <c r="O8773" s="1"/>
      <c r="P8773" s="1"/>
      <c r="Q8773" s="1"/>
      <c r="R8773" s="1"/>
      <c r="Z8773" s="103"/>
      <c r="AA8773" s="103"/>
      <c r="AB8773" s="1"/>
    </row>
    <row r="8774" spans="15:28">
      <c r="O8774" s="1"/>
      <c r="P8774" s="1"/>
      <c r="Q8774" s="1"/>
      <c r="R8774" s="1"/>
      <c r="Z8774" s="103"/>
      <c r="AA8774" s="103"/>
      <c r="AB8774" s="1"/>
    </row>
    <row r="8775" spans="15:28">
      <c r="O8775" s="1"/>
      <c r="P8775" s="1"/>
      <c r="Q8775" s="1"/>
      <c r="R8775" s="1"/>
      <c r="Z8775" s="103"/>
      <c r="AA8775" s="103"/>
      <c r="AB8775" s="1"/>
    </row>
    <row r="8776" spans="15:28">
      <c r="O8776" s="1"/>
      <c r="P8776" s="1"/>
      <c r="Q8776" s="1"/>
      <c r="R8776" s="1"/>
      <c r="Z8776" s="103"/>
      <c r="AA8776" s="103"/>
      <c r="AB8776" s="1"/>
    </row>
    <row r="8777" spans="15:28">
      <c r="O8777" s="1"/>
      <c r="P8777" s="1"/>
      <c r="Q8777" s="1"/>
      <c r="R8777" s="1"/>
      <c r="Z8777" s="103"/>
      <c r="AA8777" s="103"/>
      <c r="AB8777" s="1"/>
    </row>
    <row r="8778" spans="15:28">
      <c r="O8778" s="1"/>
      <c r="P8778" s="1"/>
      <c r="Q8778" s="1"/>
      <c r="R8778" s="1"/>
      <c r="Z8778" s="103"/>
      <c r="AA8778" s="103"/>
      <c r="AB8778" s="1"/>
    </row>
    <row r="8779" spans="15:28">
      <c r="O8779" s="1"/>
      <c r="P8779" s="1"/>
      <c r="Q8779" s="1"/>
      <c r="R8779" s="1"/>
      <c r="Z8779" s="103"/>
      <c r="AA8779" s="103"/>
      <c r="AB8779" s="1"/>
    </row>
    <row r="8780" spans="15:28">
      <c r="O8780" s="1"/>
      <c r="P8780" s="1"/>
      <c r="Q8780" s="1"/>
      <c r="R8780" s="1"/>
      <c r="Z8780" s="103"/>
      <c r="AA8780" s="103"/>
      <c r="AB8780" s="1"/>
    </row>
    <row r="8781" spans="15:28">
      <c r="O8781" s="1"/>
      <c r="P8781" s="1"/>
      <c r="Q8781" s="1"/>
      <c r="R8781" s="1"/>
      <c r="Z8781" s="103"/>
      <c r="AA8781" s="103"/>
      <c r="AB8781" s="1"/>
    </row>
    <row r="8782" spans="15:28">
      <c r="O8782" s="1"/>
      <c r="P8782" s="1"/>
      <c r="Q8782" s="1"/>
      <c r="R8782" s="1"/>
      <c r="Z8782" s="103"/>
      <c r="AA8782" s="103"/>
      <c r="AB8782" s="1"/>
    </row>
    <row r="8783" spans="15:28">
      <c r="O8783" s="1"/>
      <c r="P8783" s="1"/>
      <c r="Q8783" s="1"/>
      <c r="R8783" s="1"/>
      <c r="Z8783" s="103"/>
      <c r="AA8783" s="103"/>
      <c r="AB8783" s="1"/>
    </row>
    <row r="8784" spans="15:28">
      <c r="O8784" s="1"/>
      <c r="P8784" s="1"/>
      <c r="Q8784" s="1"/>
      <c r="R8784" s="1"/>
      <c r="Z8784" s="103"/>
      <c r="AA8784" s="103"/>
      <c r="AB8784" s="1"/>
    </row>
    <row r="8785" spans="15:28">
      <c r="O8785" s="1"/>
      <c r="P8785" s="1"/>
      <c r="Q8785" s="1"/>
      <c r="R8785" s="1"/>
      <c r="Z8785" s="103"/>
      <c r="AA8785" s="103"/>
      <c r="AB8785" s="1"/>
    </row>
    <row r="8786" spans="15:28">
      <c r="O8786" s="1"/>
      <c r="P8786" s="1"/>
      <c r="Q8786" s="1"/>
      <c r="R8786" s="1"/>
      <c r="Z8786" s="103"/>
      <c r="AA8786" s="103"/>
      <c r="AB8786" s="1"/>
    </row>
    <row r="8787" spans="15:28">
      <c r="O8787" s="1"/>
      <c r="P8787" s="1"/>
      <c r="Q8787" s="1"/>
      <c r="R8787" s="1"/>
      <c r="Z8787" s="103"/>
      <c r="AA8787" s="103"/>
      <c r="AB8787" s="1"/>
    </row>
    <row r="8788" spans="15:28">
      <c r="O8788" s="1"/>
      <c r="P8788" s="1"/>
      <c r="Q8788" s="1"/>
      <c r="R8788" s="1"/>
      <c r="Z8788" s="103"/>
      <c r="AA8788" s="103"/>
      <c r="AB8788" s="1"/>
    </row>
    <row r="8789" spans="15:28">
      <c r="O8789" s="1"/>
      <c r="P8789" s="1"/>
      <c r="Q8789" s="1"/>
      <c r="R8789" s="1"/>
      <c r="Z8789" s="103"/>
      <c r="AA8789" s="103"/>
      <c r="AB8789" s="1"/>
    </row>
    <row r="8790" spans="15:28">
      <c r="O8790" s="1"/>
      <c r="P8790" s="1"/>
      <c r="Q8790" s="1"/>
      <c r="R8790" s="1"/>
      <c r="Z8790" s="103"/>
      <c r="AA8790" s="103"/>
      <c r="AB8790" s="1"/>
    </row>
    <row r="8791" spans="15:28">
      <c r="O8791" s="1"/>
      <c r="P8791" s="1"/>
      <c r="Q8791" s="1"/>
      <c r="R8791" s="1"/>
      <c r="Z8791" s="103"/>
      <c r="AA8791" s="103"/>
      <c r="AB8791" s="1"/>
    </row>
    <row r="8792" spans="15:28">
      <c r="O8792" s="1"/>
      <c r="P8792" s="1"/>
      <c r="Q8792" s="1"/>
      <c r="R8792" s="1"/>
      <c r="Z8792" s="103"/>
      <c r="AA8792" s="103"/>
      <c r="AB8792" s="1"/>
    </row>
    <row r="8793" spans="15:28">
      <c r="O8793" s="1"/>
      <c r="P8793" s="1"/>
      <c r="Q8793" s="1"/>
      <c r="R8793" s="1"/>
      <c r="Z8793" s="103"/>
      <c r="AA8793" s="103"/>
      <c r="AB8793" s="1"/>
    </row>
    <row r="8794" spans="15:28">
      <c r="O8794" s="1"/>
      <c r="P8794" s="1"/>
      <c r="Q8794" s="1"/>
      <c r="R8794" s="1"/>
      <c r="Z8794" s="103"/>
      <c r="AA8794" s="103"/>
      <c r="AB8794" s="1"/>
    </row>
    <row r="8795" spans="15:28">
      <c r="O8795" s="1"/>
      <c r="P8795" s="1"/>
      <c r="Q8795" s="1"/>
      <c r="R8795" s="1"/>
      <c r="Z8795" s="103"/>
      <c r="AA8795" s="103"/>
      <c r="AB8795" s="1"/>
    </row>
    <row r="8796" spans="15:28">
      <c r="O8796" s="1"/>
      <c r="P8796" s="1"/>
      <c r="Q8796" s="1"/>
      <c r="R8796" s="1"/>
      <c r="Z8796" s="103"/>
      <c r="AA8796" s="103"/>
      <c r="AB8796" s="1"/>
    </row>
    <row r="8797" spans="15:28">
      <c r="O8797" s="1"/>
      <c r="P8797" s="1"/>
      <c r="Q8797" s="1"/>
      <c r="R8797" s="1"/>
      <c r="Z8797" s="103"/>
      <c r="AA8797" s="103"/>
      <c r="AB8797" s="1"/>
    </row>
    <row r="8798" spans="15:28">
      <c r="O8798" s="1"/>
      <c r="P8798" s="1"/>
      <c r="Q8798" s="1"/>
      <c r="R8798" s="1"/>
      <c r="Z8798" s="103"/>
      <c r="AA8798" s="103"/>
      <c r="AB8798" s="1"/>
    </row>
    <row r="8799" spans="15:28">
      <c r="O8799" s="1"/>
      <c r="P8799" s="1"/>
      <c r="Q8799" s="1"/>
      <c r="R8799" s="1"/>
      <c r="Z8799" s="103"/>
      <c r="AA8799" s="103"/>
      <c r="AB8799" s="1"/>
    </row>
    <row r="8800" spans="15:28">
      <c r="O8800" s="1"/>
      <c r="P8800" s="1"/>
      <c r="Q8800" s="1"/>
      <c r="R8800" s="1"/>
      <c r="Z8800" s="103"/>
      <c r="AA8800" s="103"/>
      <c r="AB8800" s="1"/>
    </row>
    <row r="8801" spans="15:28">
      <c r="O8801" s="1"/>
      <c r="P8801" s="1"/>
      <c r="Q8801" s="1"/>
      <c r="R8801" s="1"/>
      <c r="Z8801" s="103"/>
      <c r="AA8801" s="103"/>
      <c r="AB8801" s="1"/>
    </row>
    <row r="8802" spans="15:28">
      <c r="O8802" s="1"/>
      <c r="P8802" s="1"/>
      <c r="Q8802" s="1"/>
      <c r="R8802" s="1"/>
      <c r="Z8802" s="103"/>
      <c r="AA8802" s="103"/>
      <c r="AB8802" s="1"/>
    </row>
    <row r="8803" spans="15:28">
      <c r="O8803" s="1"/>
      <c r="P8803" s="1"/>
      <c r="Q8803" s="1"/>
      <c r="R8803" s="1"/>
      <c r="Z8803" s="103"/>
      <c r="AA8803" s="103"/>
      <c r="AB8803" s="1"/>
    </row>
    <row r="8804" spans="15:28">
      <c r="O8804" s="1"/>
      <c r="P8804" s="1"/>
      <c r="Q8804" s="1"/>
      <c r="R8804" s="1"/>
      <c r="Z8804" s="103"/>
      <c r="AA8804" s="103"/>
      <c r="AB8804" s="1"/>
    </row>
    <row r="8805" spans="15:28">
      <c r="O8805" s="1"/>
      <c r="P8805" s="1"/>
      <c r="Q8805" s="1"/>
      <c r="R8805" s="1"/>
      <c r="Z8805" s="103"/>
      <c r="AA8805" s="103"/>
      <c r="AB8805" s="1"/>
    </row>
    <row r="8806" spans="15:28">
      <c r="O8806" s="1"/>
      <c r="P8806" s="1"/>
      <c r="Q8806" s="1"/>
      <c r="R8806" s="1"/>
      <c r="Z8806" s="103"/>
      <c r="AA8806" s="103"/>
      <c r="AB8806" s="1"/>
    </row>
    <row r="8807" spans="15:28">
      <c r="O8807" s="1"/>
      <c r="P8807" s="1"/>
      <c r="Q8807" s="1"/>
      <c r="R8807" s="1"/>
      <c r="Z8807" s="103"/>
      <c r="AA8807" s="103"/>
      <c r="AB8807" s="1"/>
    </row>
    <row r="8808" spans="15:28">
      <c r="O8808" s="1"/>
      <c r="P8808" s="1"/>
      <c r="Q8808" s="1"/>
      <c r="R8808" s="1"/>
      <c r="Z8808" s="103"/>
      <c r="AA8808" s="103"/>
      <c r="AB8808" s="1"/>
    </row>
    <row r="8809" spans="15:28">
      <c r="O8809" s="1"/>
      <c r="P8809" s="1"/>
      <c r="Q8809" s="1"/>
      <c r="R8809" s="1"/>
      <c r="Z8809" s="103"/>
      <c r="AA8809" s="103"/>
      <c r="AB8809" s="1"/>
    </row>
    <row r="8810" spans="15:28">
      <c r="O8810" s="1"/>
      <c r="P8810" s="1"/>
      <c r="Q8810" s="1"/>
      <c r="R8810" s="1"/>
      <c r="Z8810" s="103"/>
      <c r="AA8810" s="103"/>
      <c r="AB8810" s="1"/>
    </row>
    <row r="8811" spans="15:28">
      <c r="O8811" s="1"/>
      <c r="P8811" s="1"/>
      <c r="Q8811" s="1"/>
      <c r="R8811" s="1"/>
      <c r="Z8811" s="103"/>
      <c r="AA8811" s="103"/>
      <c r="AB8811" s="1"/>
    </row>
    <row r="8812" spans="15:28">
      <c r="O8812" s="1"/>
      <c r="P8812" s="1"/>
      <c r="Q8812" s="1"/>
      <c r="R8812" s="1"/>
      <c r="Z8812" s="103"/>
      <c r="AA8812" s="103"/>
      <c r="AB8812" s="1"/>
    </row>
    <row r="8813" spans="15:28">
      <c r="O8813" s="1"/>
      <c r="P8813" s="1"/>
      <c r="Q8813" s="1"/>
      <c r="R8813" s="1"/>
      <c r="Z8813" s="103"/>
      <c r="AA8813" s="103"/>
      <c r="AB8813" s="1"/>
    </row>
    <row r="8814" spans="15:28">
      <c r="O8814" s="1"/>
      <c r="P8814" s="1"/>
      <c r="Q8814" s="1"/>
      <c r="R8814" s="1"/>
      <c r="Z8814" s="103"/>
      <c r="AA8814" s="103"/>
      <c r="AB8814" s="1"/>
    </row>
    <row r="8815" spans="15:28">
      <c r="O8815" s="1"/>
      <c r="P8815" s="1"/>
      <c r="Q8815" s="1"/>
      <c r="R8815" s="1"/>
      <c r="Z8815" s="103"/>
      <c r="AA8815" s="103"/>
      <c r="AB8815" s="1"/>
    </row>
    <row r="8816" spans="15:28">
      <c r="O8816" s="1"/>
      <c r="P8816" s="1"/>
      <c r="Q8816" s="1"/>
      <c r="R8816" s="1"/>
      <c r="Z8816" s="103"/>
      <c r="AA8816" s="103"/>
      <c r="AB8816" s="1"/>
    </row>
    <row r="8817" spans="15:28">
      <c r="O8817" s="1"/>
      <c r="P8817" s="1"/>
      <c r="Q8817" s="1"/>
      <c r="R8817" s="1"/>
      <c r="Z8817" s="103"/>
      <c r="AA8817" s="103"/>
      <c r="AB8817" s="1"/>
    </row>
    <row r="8818" spans="15:28">
      <c r="O8818" s="1"/>
      <c r="P8818" s="1"/>
      <c r="Q8818" s="1"/>
      <c r="R8818" s="1"/>
      <c r="Z8818" s="103"/>
      <c r="AA8818" s="103"/>
      <c r="AB8818" s="1"/>
    </row>
    <row r="8819" spans="15:28">
      <c r="O8819" s="1"/>
      <c r="P8819" s="1"/>
      <c r="Q8819" s="1"/>
      <c r="R8819" s="1"/>
      <c r="Z8819" s="103"/>
      <c r="AA8819" s="103"/>
      <c r="AB8819" s="1"/>
    </row>
    <row r="8820" spans="15:28">
      <c r="O8820" s="1"/>
      <c r="P8820" s="1"/>
      <c r="Q8820" s="1"/>
      <c r="R8820" s="1"/>
      <c r="Z8820" s="103"/>
      <c r="AA8820" s="103"/>
      <c r="AB8820" s="1"/>
    </row>
    <row r="8821" spans="15:28">
      <c r="O8821" s="1"/>
      <c r="P8821" s="1"/>
      <c r="Q8821" s="1"/>
      <c r="R8821" s="1"/>
      <c r="Z8821" s="103"/>
      <c r="AA8821" s="103"/>
      <c r="AB8821" s="1"/>
    </row>
    <row r="8822" spans="15:28">
      <c r="O8822" s="1"/>
      <c r="P8822" s="1"/>
      <c r="Q8822" s="1"/>
      <c r="R8822" s="1"/>
      <c r="Z8822" s="103"/>
      <c r="AA8822" s="103"/>
      <c r="AB8822" s="1"/>
    </row>
    <row r="8823" spans="15:28">
      <c r="O8823" s="1"/>
      <c r="P8823" s="1"/>
      <c r="Q8823" s="1"/>
      <c r="R8823" s="1"/>
      <c r="Z8823" s="103"/>
      <c r="AA8823" s="103"/>
      <c r="AB8823" s="1"/>
    </row>
    <row r="8824" spans="15:28">
      <c r="O8824" s="1"/>
      <c r="P8824" s="1"/>
      <c r="Q8824" s="1"/>
      <c r="R8824" s="1"/>
      <c r="Z8824" s="103"/>
      <c r="AA8824" s="103"/>
      <c r="AB8824" s="1"/>
    </row>
    <row r="8825" spans="15:28">
      <c r="O8825" s="1"/>
      <c r="P8825" s="1"/>
      <c r="Q8825" s="1"/>
      <c r="R8825" s="1"/>
      <c r="Z8825" s="103"/>
      <c r="AA8825" s="103"/>
      <c r="AB8825" s="1"/>
    </row>
    <row r="8826" spans="15:28">
      <c r="O8826" s="1"/>
      <c r="P8826" s="1"/>
      <c r="Q8826" s="1"/>
      <c r="R8826" s="1"/>
      <c r="Z8826" s="103"/>
      <c r="AA8826" s="103"/>
      <c r="AB8826" s="1"/>
    </row>
    <row r="8827" spans="15:28">
      <c r="O8827" s="1"/>
      <c r="P8827" s="1"/>
      <c r="Q8827" s="1"/>
      <c r="R8827" s="1"/>
      <c r="Z8827" s="103"/>
      <c r="AA8827" s="103"/>
      <c r="AB8827" s="1"/>
    </row>
    <row r="8828" spans="15:28">
      <c r="O8828" s="1"/>
      <c r="P8828" s="1"/>
      <c r="Q8828" s="1"/>
      <c r="R8828" s="1"/>
      <c r="Z8828" s="103"/>
      <c r="AA8828" s="103"/>
      <c r="AB8828" s="1"/>
    </row>
    <row r="8829" spans="15:28">
      <c r="O8829" s="1"/>
      <c r="P8829" s="1"/>
      <c r="Q8829" s="1"/>
      <c r="R8829" s="1"/>
      <c r="Z8829" s="103"/>
      <c r="AA8829" s="103"/>
      <c r="AB8829" s="1"/>
    </row>
    <row r="8830" spans="15:28">
      <c r="O8830" s="1"/>
      <c r="P8830" s="1"/>
      <c r="Q8830" s="1"/>
      <c r="R8830" s="1"/>
      <c r="Z8830" s="103"/>
      <c r="AA8830" s="103"/>
      <c r="AB8830" s="1"/>
    </row>
    <row r="8831" spans="15:28">
      <c r="O8831" s="1"/>
      <c r="P8831" s="1"/>
      <c r="Q8831" s="1"/>
      <c r="R8831" s="1"/>
      <c r="Z8831" s="103"/>
      <c r="AA8831" s="103"/>
      <c r="AB8831" s="1"/>
    </row>
    <row r="8832" spans="15:28">
      <c r="O8832" s="1"/>
      <c r="P8832" s="1"/>
      <c r="Q8832" s="1"/>
      <c r="R8832" s="1"/>
      <c r="Z8832" s="103"/>
      <c r="AA8832" s="103"/>
      <c r="AB8832" s="1"/>
    </row>
    <row r="8833" spans="15:28">
      <c r="O8833" s="1"/>
      <c r="P8833" s="1"/>
      <c r="Q8833" s="1"/>
      <c r="R8833" s="1"/>
      <c r="Z8833" s="103"/>
      <c r="AA8833" s="103"/>
      <c r="AB8833" s="1"/>
    </row>
    <row r="8834" spans="15:28">
      <c r="O8834" s="1"/>
      <c r="P8834" s="1"/>
      <c r="Q8834" s="1"/>
      <c r="R8834" s="1"/>
      <c r="Z8834" s="103"/>
      <c r="AA8834" s="103"/>
      <c r="AB8834" s="1"/>
    </row>
    <row r="8835" spans="15:28">
      <c r="O8835" s="1"/>
      <c r="P8835" s="1"/>
      <c r="Q8835" s="1"/>
      <c r="R8835" s="1"/>
      <c r="Z8835" s="103"/>
      <c r="AA8835" s="103"/>
      <c r="AB8835" s="1"/>
    </row>
    <row r="8836" spans="15:28">
      <c r="O8836" s="1"/>
      <c r="P8836" s="1"/>
      <c r="Q8836" s="1"/>
      <c r="R8836" s="1"/>
      <c r="Z8836" s="103"/>
      <c r="AA8836" s="103"/>
      <c r="AB8836" s="1"/>
    </row>
    <row r="8837" spans="15:28">
      <c r="O8837" s="1"/>
      <c r="P8837" s="1"/>
      <c r="Q8837" s="1"/>
      <c r="R8837" s="1"/>
      <c r="Z8837" s="103"/>
      <c r="AA8837" s="103"/>
      <c r="AB8837" s="1"/>
    </row>
    <row r="8838" spans="15:28">
      <c r="O8838" s="1"/>
      <c r="P8838" s="1"/>
      <c r="Q8838" s="1"/>
      <c r="R8838" s="1"/>
      <c r="Z8838" s="103"/>
      <c r="AA8838" s="103"/>
      <c r="AB8838" s="1"/>
    </row>
    <row r="8839" spans="15:28">
      <c r="O8839" s="1"/>
      <c r="P8839" s="1"/>
      <c r="Q8839" s="1"/>
      <c r="R8839" s="1"/>
      <c r="Z8839" s="103"/>
      <c r="AA8839" s="103"/>
      <c r="AB8839" s="1"/>
    </row>
    <row r="8840" spans="15:28">
      <c r="O8840" s="1"/>
      <c r="P8840" s="1"/>
      <c r="Q8840" s="1"/>
      <c r="R8840" s="1"/>
      <c r="Z8840" s="103"/>
      <c r="AA8840" s="103"/>
      <c r="AB8840" s="1"/>
    </row>
    <row r="8841" spans="15:28">
      <c r="O8841" s="1"/>
      <c r="P8841" s="1"/>
      <c r="Q8841" s="1"/>
      <c r="R8841" s="1"/>
      <c r="Z8841" s="103"/>
      <c r="AA8841" s="103"/>
      <c r="AB8841" s="1"/>
    </row>
    <row r="8842" spans="15:28">
      <c r="O8842" s="1"/>
      <c r="P8842" s="1"/>
      <c r="Q8842" s="1"/>
      <c r="R8842" s="1"/>
      <c r="Z8842" s="103"/>
      <c r="AA8842" s="103"/>
      <c r="AB8842" s="1"/>
    </row>
    <row r="8843" spans="15:28">
      <c r="O8843" s="1"/>
      <c r="P8843" s="1"/>
      <c r="Q8843" s="1"/>
      <c r="R8843" s="1"/>
      <c r="Z8843" s="103"/>
      <c r="AA8843" s="103"/>
      <c r="AB8843" s="1"/>
    </row>
    <row r="8844" spans="15:28">
      <c r="O8844" s="1"/>
      <c r="P8844" s="1"/>
      <c r="Q8844" s="1"/>
      <c r="R8844" s="1"/>
      <c r="Z8844" s="103"/>
      <c r="AA8844" s="103"/>
      <c r="AB8844" s="1"/>
    </row>
    <row r="8845" spans="15:28">
      <c r="O8845" s="1"/>
      <c r="P8845" s="1"/>
      <c r="Q8845" s="1"/>
      <c r="R8845" s="1"/>
      <c r="Z8845" s="103"/>
      <c r="AA8845" s="103"/>
      <c r="AB8845" s="1"/>
    </row>
    <row r="8846" spans="15:28">
      <c r="O8846" s="1"/>
      <c r="P8846" s="1"/>
      <c r="Q8846" s="1"/>
      <c r="R8846" s="1"/>
      <c r="Z8846" s="103"/>
      <c r="AA8846" s="103"/>
      <c r="AB8846" s="1"/>
    </row>
    <row r="8847" spans="15:28">
      <c r="O8847" s="1"/>
      <c r="P8847" s="1"/>
      <c r="Q8847" s="1"/>
      <c r="R8847" s="1"/>
      <c r="Z8847" s="103"/>
      <c r="AA8847" s="103"/>
      <c r="AB8847" s="1"/>
    </row>
    <row r="8848" spans="15:28">
      <c r="O8848" s="1"/>
      <c r="P8848" s="1"/>
      <c r="Q8848" s="1"/>
      <c r="R8848" s="1"/>
      <c r="Z8848" s="103"/>
      <c r="AA8848" s="103"/>
      <c r="AB8848" s="1"/>
    </row>
    <row r="8849" spans="15:28">
      <c r="O8849" s="1"/>
      <c r="P8849" s="1"/>
      <c r="Q8849" s="1"/>
      <c r="R8849" s="1"/>
      <c r="Z8849" s="103"/>
      <c r="AA8849" s="103"/>
      <c r="AB8849" s="1"/>
    </row>
    <row r="8850" spans="15:28">
      <c r="O8850" s="1"/>
      <c r="P8850" s="1"/>
      <c r="Q8850" s="1"/>
      <c r="R8850" s="1"/>
      <c r="Z8850" s="103"/>
      <c r="AA8850" s="103"/>
      <c r="AB8850" s="1"/>
    </row>
    <row r="8851" spans="15:28">
      <c r="O8851" s="1"/>
      <c r="P8851" s="1"/>
      <c r="Q8851" s="1"/>
      <c r="R8851" s="1"/>
      <c r="Z8851" s="103"/>
      <c r="AA8851" s="103"/>
      <c r="AB8851" s="1"/>
    </row>
    <row r="8852" spans="15:28">
      <c r="O8852" s="1"/>
      <c r="P8852" s="1"/>
      <c r="Q8852" s="1"/>
      <c r="R8852" s="1"/>
      <c r="Z8852" s="103"/>
      <c r="AA8852" s="103"/>
      <c r="AB8852" s="1"/>
    </row>
    <row r="8853" spans="15:28">
      <c r="O8853" s="1"/>
      <c r="P8853" s="1"/>
      <c r="Q8853" s="1"/>
      <c r="R8853" s="1"/>
      <c r="Z8853" s="103"/>
      <c r="AA8853" s="103"/>
      <c r="AB8853" s="1"/>
    </row>
    <row r="8854" spans="15:28">
      <c r="O8854" s="1"/>
      <c r="P8854" s="1"/>
      <c r="Q8854" s="1"/>
      <c r="R8854" s="1"/>
      <c r="Z8854" s="103"/>
      <c r="AA8854" s="103"/>
      <c r="AB8854" s="1"/>
    </row>
    <row r="8855" spans="15:28">
      <c r="O8855" s="1"/>
      <c r="P8855" s="1"/>
      <c r="Q8855" s="1"/>
      <c r="R8855" s="1"/>
      <c r="Z8855" s="103"/>
      <c r="AA8855" s="103"/>
      <c r="AB8855" s="1"/>
    </row>
    <row r="8856" spans="15:28">
      <c r="O8856" s="1"/>
      <c r="P8856" s="1"/>
      <c r="Q8856" s="1"/>
      <c r="R8856" s="1"/>
      <c r="Z8856" s="103"/>
      <c r="AA8856" s="103"/>
      <c r="AB8856" s="1"/>
    </row>
    <row r="8857" spans="15:28">
      <c r="O8857" s="1"/>
      <c r="P8857" s="1"/>
      <c r="Q8857" s="1"/>
      <c r="R8857" s="1"/>
      <c r="Z8857" s="103"/>
      <c r="AA8857" s="103"/>
      <c r="AB8857" s="1"/>
    </row>
    <row r="8858" spans="15:28">
      <c r="O8858" s="1"/>
      <c r="P8858" s="1"/>
      <c r="Q8858" s="1"/>
      <c r="R8858" s="1"/>
      <c r="Z8858" s="103"/>
      <c r="AA8858" s="103"/>
      <c r="AB8858" s="1"/>
    </row>
    <row r="8859" spans="15:28">
      <c r="O8859" s="1"/>
      <c r="P8859" s="1"/>
      <c r="Q8859" s="1"/>
      <c r="R8859" s="1"/>
      <c r="Z8859" s="103"/>
      <c r="AA8859" s="103"/>
      <c r="AB8859" s="1"/>
    </row>
    <row r="8860" spans="15:28">
      <c r="O8860" s="1"/>
      <c r="P8860" s="1"/>
      <c r="Q8860" s="1"/>
      <c r="R8860" s="1"/>
      <c r="Z8860" s="103"/>
      <c r="AA8860" s="103"/>
      <c r="AB8860" s="1"/>
    </row>
    <row r="8861" spans="15:28">
      <c r="O8861" s="1"/>
      <c r="P8861" s="1"/>
      <c r="Q8861" s="1"/>
      <c r="R8861" s="1"/>
      <c r="Z8861" s="103"/>
      <c r="AA8861" s="103"/>
      <c r="AB8861" s="1"/>
    </row>
    <row r="8862" spans="15:28">
      <c r="O8862" s="1"/>
      <c r="P8862" s="1"/>
      <c r="Q8862" s="1"/>
      <c r="R8862" s="1"/>
      <c r="Z8862" s="103"/>
      <c r="AA8862" s="103"/>
      <c r="AB8862" s="1"/>
    </row>
    <row r="8863" spans="15:28">
      <c r="O8863" s="1"/>
      <c r="P8863" s="1"/>
      <c r="Q8863" s="1"/>
      <c r="R8863" s="1"/>
      <c r="Z8863" s="103"/>
      <c r="AA8863" s="103"/>
      <c r="AB8863" s="1"/>
    </row>
    <row r="8864" spans="15:28">
      <c r="O8864" s="1"/>
      <c r="P8864" s="1"/>
      <c r="Q8864" s="1"/>
      <c r="R8864" s="1"/>
      <c r="Z8864" s="103"/>
      <c r="AA8864" s="103"/>
      <c r="AB8864" s="1"/>
    </row>
    <row r="8865" spans="15:28">
      <c r="O8865" s="1"/>
      <c r="P8865" s="1"/>
      <c r="Q8865" s="1"/>
      <c r="R8865" s="1"/>
      <c r="Z8865" s="103"/>
      <c r="AA8865" s="103"/>
      <c r="AB8865" s="1"/>
    </row>
    <row r="8866" spans="15:28">
      <c r="O8866" s="1"/>
      <c r="P8866" s="1"/>
      <c r="Q8866" s="1"/>
      <c r="R8866" s="1"/>
      <c r="Z8866" s="103"/>
      <c r="AA8866" s="103"/>
      <c r="AB8866" s="1"/>
    </row>
    <row r="8867" spans="15:28">
      <c r="O8867" s="1"/>
      <c r="P8867" s="1"/>
      <c r="Q8867" s="1"/>
      <c r="R8867" s="1"/>
      <c r="Z8867" s="103"/>
      <c r="AA8867" s="103"/>
      <c r="AB8867" s="1"/>
    </row>
    <row r="8868" spans="15:28">
      <c r="O8868" s="1"/>
      <c r="P8868" s="1"/>
      <c r="Q8868" s="1"/>
      <c r="R8868" s="1"/>
      <c r="Z8868" s="103"/>
      <c r="AA8868" s="103"/>
      <c r="AB8868" s="1"/>
    </row>
    <row r="8869" spans="15:28">
      <c r="O8869" s="1"/>
      <c r="P8869" s="1"/>
      <c r="Q8869" s="1"/>
      <c r="R8869" s="1"/>
      <c r="Z8869" s="103"/>
      <c r="AA8869" s="103"/>
      <c r="AB8869" s="1"/>
    </row>
    <row r="8870" spans="15:28">
      <c r="O8870" s="1"/>
      <c r="P8870" s="1"/>
      <c r="Q8870" s="1"/>
      <c r="R8870" s="1"/>
      <c r="Z8870" s="103"/>
      <c r="AA8870" s="103"/>
      <c r="AB8870" s="1"/>
    </row>
    <row r="8871" spans="15:28">
      <c r="O8871" s="1"/>
      <c r="P8871" s="1"/>
      <c r="Q8871" s="1"/>
      <c r="R8871" s="1"/>
      <c r="Z8871" s="103"/>
      <c r="AA8871" s="103"/>
      <c r="AB8871" s="1"/>
    </row>
    <row r="8872" spans="15:28">
      <c r="O8872" s="1"/>
      <c r="P8872" s="1"/>
      <c r="Q8872" s="1"/>
      <c r="R8872" s="1"/>
      <c r="Z8872" s="103"/>
      <c r="AA8872" s="103"/>
      <c r="AB8872" s="1"/>
    </row>
    <row r="8873" spans="15:28">
      <c r="O8873" s="1"/>
      <c r="P8873" s="1"/>
      <c r="Q8873" s="1"/>
      <c r="R8873" s="1"/>
      <c r="Z8873" s="103"/>
      <c r="AA8873" s="103"/>
      <c r="AB8873" s="1"/>
    </row>
    <row r="8874" spans="15:28">
      <c r="O8874" s="1"/>
      <c r="P8874" s="1"/>
      <c r="Q8874" s="1"/>
      <c r="R8874" s="1"/>
      <c r="Z8874" s="103"/>
      <c r="AA8874" s="103"/>
      <c r="AB8874" s="1"/>
    </row>
    <row r="8875" spans="15:28">
      <c r="O8875" s="1"/>
      <c r="P8875" s="1"/>
      <c r="Q8875" s="1"/>
      <c r="R8875" s="1"/>
      <c r="Z8875" s="103"/>
      <c r="AA8875" s="103"/>
      <c r="AB8875" s="1"/>
    </row>
    <row r="8876" spans="15:28">
      <c r="O8876" s="1"/>
      <c r="P8876" s="1"/>
      <c r="Q8876" s="1"/>
      <c r="R8876" s="1"/>
      <c r="Z8876" s="103"/>
      <c r="AA8876" s="103"/>
      <c r="AB8876" s="1"/>
    </row>
    <row r="8877" spans="15:28">
      <c r="O8877" s="1"/>
      <c r="P8877" s="1"/>
      <c r="Q8877" s="1"/>
      <c r="R8877" s="1"/>
      <c r="Z8877" s="103"/>
      <c r="AA8877" s="103"/>
      <c r="AB8877" s="1"/>
    </row>
    <row r="8878" spans="15:28">
      <c r="O8878" s="1"/>
      <c r="P8878" s="1"/>
      <c r="Q8878" s="1"/>
      <c r="R8878" s="1"/>
      <c r="Z8878" s="103"/>
      <c r="AA8878" s="103"/>
      <c r="AB8878" s="1"/>
    </row>
    <row r="8879" spans="15:28">
      <c r="O8879" s="1"/>
      <c r="P8879" s="1"/>
      <c r="Q8879" s="1"/>
      <c r="R8879" s="1"/>
      <c r="Z8879" s="103"/>
      <c r="AA8879" s="103"/>
      <c r="AB8879" s="1"/>
    </row>
    <row r="8880" spans="15:28">
      <c r="O8880" s="1"/>
      <c r="P8880" s="1"/>
      <c r="Q8880" s="1"/>
      <c r="R8880" s="1"/>
      <c r="Z8880" s="103"/>
      <c r="AA8880" s="103"/>
      <c r="AB8880" s="1"/>
    </row>
    <row r="8881" spans="15:28">
      <c r="O8881" s="1"/>
      <c r="P8881" s="1"/>
      <c r="Q8881" s="1"/>
      <c r="R8881" s="1"/>
      <c r="Z8881" s="103"/>
      <c r="AA8881" s="103"/>
      <c r="AB8881" s="1"/>
    </row>
    <row r="8882" spans="15:28">
      <c r="O8882" s="1"/>
      <c r="P8882" s="1"/>
      <c r="Q8882" s="1"/>
      <c r="R8882" s="1"/>
      <c r="Z8882" s="103"/>
      <c r="AA8882" s="103"/>
      <c r="AB8882" s="1"/>
    </row>
    <row r="8883" spans="15:28">
      <c r="O8883" s="1"/>
      <c r="P8883" s="1"/>
      <c r="Q8883" s="1"/>
      <c r="R8883" s="1"/>
      <c r="Z8883" s="103"/>
      <c r="AA8883" s="103"/>
      <c r="AB8883" s="1"/>
    </row>
    <row r="8884" spans="15:28">
      <c r="O8884" s="1"/>
      <c r="P8884" s="1"/>
      <c r="Q8884" s="1"/>
      <c r="R8884" s="1"/>
      <c r="Z8884" s="103"/>
      <c r="AA8884" s="103"/>
      <c r="AB8884" s="1"/>
    </row>
    <row r="8885" spans="15:28">
      <c r="O8885" s="1"/>
      <c r="P8885" s="1"/>
      <c r="Q8885" s="1"/>
      <c r="R8885" s="1"/>
      <c r="Z8885" s="103"/>
      <c r="AA8885" s="103"/>
      <c r="AB8885" s="1"/>
    </row>
    <row r="8886" spans="15:28">
      <c r="O8886" s="1"/>
      <c r="P8886" s="1"/>
      <c r="Q8886" s="1"/>
      <c r="R8886" s="1"/>
      <c r="Z8886" s="103"/>
      <c r="AA8886" s="103"/>
      <c r="AB8886" s="1"/>
    </row>
    <row r="8887" spans="15:28">
      <c r="O8887" s="1"/>
      <c r="P8887" s="1"/>
      <c r="Q8887" s="1"/>
      <c r="R8887" s="1"/>
      <c r="Z8887" s="103"/>
      <c r="AA8887" s="103"/>
      <c r="AB8887" s="1"/>
    </row>
    <row r="8888" spans="15:28">
      <c r="O8888" s="1"/>
      <c r="P8888" s="1"/>
      <c r="Q8888" s="1"/>
      <c r="R8888" s="1"/>
      <c r="Z8888" s="103"/>
      <c r="AA8888" s="103"/>
      <c r="AB8888" s="1"/>
    </row>
    <row r="8889" spans="15:28">
      <c r="O8889" s="1"/>
      <c r="P8889" s="1"/>
      <c r="Q8889" s="1"/>
      <c r="R8889" s="1"/>
      <c r="Z8889" s="103"/>
      <c r="AA8889" s="103"/>
      <c r="AB8889" s="1"/>
    </row>
    <row r="8890" spans="15:28">
      <c r="O8890" s="1"/>
      <c r="P8890" s="1"/>
      <c r="Q8890" s="1"/>
      <c r="R8890" s="1"/>
      <c r="Z8890" s="103"/>
      <c r="AA8890" s="103"/>
      <c r="AB8890" s="1"/>
    </row>
    <row r="8891" spans="15:28">
      <c r="O8891" s="1"/>
      <c r="P8891" s="1"/>
      <c r="Q8891" s="1"/>
      <c r="R8891" s="1"/>
      <c r="Z8891" s="103"/>
      <c r="AA8891" s="103"/>
      <c r="AB8891" s="1"/>
    </row>
    <row r="8892" spans="15:28">
      <c r="O8892" s="1"/>
      <c r="P8892" s="1"/>
      <c r="Q8892" s="1"/>
      <c r="R8892" s="1"/>
      <c r="Z8892" s="103"/>
      <c r="AA8892" s="103"/>
      <c r="AB8892" s="1"/>
    </row>
    <row r="8893" spans="15:28">
      <c r="O8893" s="1"/>
      <c r="P8893" s="1"/>
      <c r="Q8893" s="1"/>
      <c r="R8893" s="1"/>
      <c r="Z8893" s="103"/>
      <c r="AA8893" s="103"/>
      <c r="AB8893" s="1"/>
    </row>
    <row r="8894" spans="15:28">
      <c r="O8894" s="1"/>
      <c r="P8894" s="1"/>
      <c r="Q8894" s="1"/>
      <c r="R8894" s="1"/>
      <c r="Z8894" s="103"/>
      <c r="AA8894" s="103"/>
      <c r="AB8894" s="1"/>
    </row>
    <row r="8895" spans="15:28">
      <c r="O8895" s="1"/>
      <c r="P8895" s="1"/>
      <c r="Q8895" s="1"/>
      <c r="R8895" s="1"/>
      <c r="Z8895" s="103"/>
      <c r="AA8895" s="103"/>
      <c r="AB8895" s="1"/>
    </row>
    <row r="8896" spans="15:28">
      <c r="O8896" s="1"/>
      <c r="P8896" s="1"/>
      <c r="Q8896" s="1"/>
      <c r="R8896" s="1"/>
      <c r="Z8896" s="103"/>
      <c r="AA8896" s="103"/>
      <c r="AB8896" s="1"/>
    </row>
    <row r="8897" spans="15:28">
      <c r="O8897" s="1"/>
      <c r="P8897" s="1"/>
      <c r="Q8897" s="1"/>
      <c r="R8897" s="1"/>
      <c r="Z8897" s="103"/>
      <c r="AA8897" s="103"/>
      <c r="AB8897" s="1"/>
    </row>
    <row r="8898" spans="15:28">
      <c r="O8898" s="1"/>
      <c r="P8898" s="1"/>
      <c r="Q8898" s="1"/>
      <c r="R8898" s="1"/>
      <c r="Z8898" s="103"/>
      <c r="AA8898" s="103"/>
      <c r="AB8898" s="1"/>
    </row>
    <row r="8899" spans="15:28">
      <c r="O8899" s="1"/>
      <c r="P8899" s="1"/>
      <c r="Q8899" s="1"/>
      <c r="R8899" s="1"/>
      <c r="Z8899" s="103"/>
      <c r="AA8899" s="103"/>
      <c r="AB8899" s="1"/>
    </row>
    <row r="8900" spans="15:28">
      <c r="O8900" s="1"/>
      <c r="P8900" s="1"/>
      <c r="Q8900" s="1"/>
      <c r="R8900" s="1"/>
      <c r="Z8900" s="103"/>
      <c r="AA8900" s="103"/>
      <c r="AB8900" s="1"/>
    </row>
    <row r="8901" spans="15:28">
      <c r="O8901" s="1"/>
      <c r="P8901" s="1"/>
      <c r="Q8901" s="1"/>
      <c r="R8901" s="1"/>
      <c r="Z8901" s="103"/>
      <c r="AA8901" s="103"/>
      <c r="AB8901" s="1"/>
    </row>
    <row r="8902" spans="15:28">
      <c r="O8902" s="1"/>
      <c r="P8902" s="1"/>
      <c r="Q8902" s="1"/>
      <c r="R8902" s="1"/>
      <c r="Z8902" s="103"/>
      <c r="AA8902" s="103"/>
      <c r="AB8902" s="1"/>
    </row>
    <row r="8903" spans="15:28">
      <c r="O8903" s="1"/>
      <c r="P8903" s="1"/>
      <c r="Q8903" s="1"/>
      <c r="R8903" s="1"/>
      <c r="Z8903" s="103"/>
      <c r="AA8903" s="103"/>
      <c r="AB8903" s="1"/>
    </row>
    <row r="8904" spans="15:28">
      <c r="O8904" s="1"/>
      <c r="P8904" s="1"/>
      <c r="Q8904" s="1"/>
      <c r="R8904" s="1"/>
      <c r="Z8904" s="103"/>
      <c r="AA8904" s="103"/>
      <c r="AB8904" s="1"/>
    </row>
    <row r="8905" spans="15:28">
      <c r="O8905" s="1"/>
      <c r="P8905" s="1"/>
      <c r="Q8905" s="1"/>
      <c r="R8905" s="1"/>
      <c r="Z8905" s="103"/>
      <c r="AA8905" s="103"/>
      <c r="AB8905" s="1"/>
    </row>
    <row r="8906" spans="15:28">
      <c r="O8906" s="1"/>
      <c r="P8906" s="1"/>
      <c r="Q8906" s="1"/>
      <c r="R8906" s="1"/>
      <c r="Z8906" s="103"/>
      <c r="AA8906" s="103"/>
      <c r="AB8906" s="1"/>
    </row>
    <row r="8907" spans="15:28">
      <c r="O8907" s="1"/>
      <c r="P8907" s="1"/>
      <c r="Q8907" s="1"/>
      <c r="R8907" s="1"/>
      <c r="Z8907" s="103"/>
      <c r="AA8907" s="103"/>
      <c r="AB8907" s="1"/>
    </row>
    <row r="8908" spans="15:28">
      <c r="O8908" s="1"/>
      <c r="P8908" s="1"/>
      <c r="Q8908" s="1"/>
      <c r="R8908" s="1"/>
      <c r="Z8908" s="103"/>
      <c r="AA8908" s="103"/>
      <c r="AB8908" s="1"/>
    </row>
    <row r="8909" spans="15:28">
      <c r="O8909" s="1"/>
      <c r="P8909" s="1"/>
      <c r="Q8909" s="1"/>
      <c r="R8909" s="1"/>
      <c r="Z8909" s="103"/>
      <c r="AA8909" s="103"/>
      <c r="AB8909" s="1"/>
    </row>
    <row r="8910" spans="15:28">
      <c r="O8910" s="1"/>
      <c r="P8910" s="1"/>
      <c r="Q8910" s="1"/>
      <c r="R8910" s="1"/>
      <c r="Z8910" s="103"/>
      <c r="AA8910" s="103"/>
      <c r="AB8910" s="1"/>
    </row>
    <row r="8911" spans="15:28">
      <c r="O8911" s="1"/>
      <c r="P8911" s="1"/>
      <c r="Q8911" s="1"/>
      <c r="R8911" s="1"/>
      <c r="Z8911" s="103"/>
      <c r="AA8911" s="103"/>
      <c r="AB8911" s="1"/>
    </row>
    <row r="8912" spans="15:28">
      <c r="O8912" s="1"/>
      <c r="P8912" s="1"/>
      <c r="Q8912" s="1"/>
      <c r="R8912" s="1"/>
      <c r="Z8912" s="103"/>
      <c r="AA8912" s="103"/>
      <c r="AB8912" s="1"/>
    </row>
    <row r="8913" spans="15:28">
      <c r="O8913" s="1"/>
      <c r="P8913" s="1"/>
      <c r="Q8913" s="1"/>
      <c r="R8913" s="1"/>
      <c r="Z8913" s="103"/>
      <c r="AA8913" s="103"/>
      <c r="AB8913" s="1"/>
    </row>
    <row r="8914" spans="15:28">
      <c r="O8914" s="1"/>
      <c r="P8914" s="1"/>
      <c r="Q8914" s="1"/>
      <c r="R8914" s="1"/>
      <c r="Z8914" s="103"/>
      <c r="AA8914" s="103"/>
      <c r="AB8914" s="1"/>
    </row>
    <row r="8915" spans="15:28">
      <c r="O8915" s="1"/>
      <c r="P8915" s="1"/>
      <c r="Q8915" s="1"/>
      <c r="R8915" s="1"/>
      <c r="Z8915" s="103"/>
      <c r="AA8915" s="103"/>
      <c r="AB8915" s="1"/>
    </row>
    <row r="8916" spans="15:28">
      <c r="O8916" s="1"/>
      <c r="P8916" s="1"/>
      <c r="Q8916" s="1"/>
      <c r="R8916" s="1"/>
      <c r="Z8916" s="103"/>
      <c r="AA8916" s="103"/>
      <c r="AB8916" s="1"/>
    </row>
    <row r="8917" spans="15:28">
      <c r="O8917" s="1"/>
      <c r="P8917" s="1"/>
      <c r="Q8917" s="1"/>
      <c r="R8917" s="1"/>
      <c r="Z8917" s="103"/>
      <c r="AA8917" s="103"/>
      <c r="AB8917" s="1"/>
    </row>
    <row r="8918" spans="15:28">
      <c r="O8918" s="1"/>
      <c r="P8918" s="1"/>
      <c r="Q8918" s="1"/>
      <c r="R8918" s="1"/>
      <c r="Z8918" s="103"/>
      <c r="AA8918" s="103"/>
      <c r="AB8918" s="1"/>
    </row>
    <row r="8919" spans="15:28">
      <c r="O8919" s="1"/>
      <c r="P8919" s="1"/>
      <c r="Q8919" s="1"/>
      <c r="R8919" s="1"/>
      <c r="Z8919" s="103"/>
      <c r="AA8919" s="103"/>
      <c r="AB8919" s="1"/>
    </row>
    <row r="8920" spans="15:28">
      <c r="O8920" s="1"/>
      <c r="P8920" s="1"/>
      <c r="Q8920" s="1"/>
      <c r="R8920" s="1"/>
      <c r="Z8920" s="103"/>
      <c r="AA8920" s="103"/>
      <c r="AB8920" s="1"/>
    </row>
    <row r="8921" spans="15:28">
      <c r="O8921" s="1"/>
      <c r="P8921" s="1"/>
      <c r="Q8921" s="1"/>
      <c r="R8921" s="1"/>
      <c r="Z8921" s="103"/>
      <c r="AA8921" s="103"/>
      <c r="AB8921" s="1"/>
    </row>
    <row r="8922" spans="15:28">
      <c r="O8922" s="1"/>
      <c r="P8922" s="1"/>
      <c r="Q8922" s="1"/>
      <c r="R8922" s="1"/>
      <c r="Z8922" s="103"/>
      <c r="AA8922" s="103"/>
      <c r="AB8922" s="1"/>
    </row>
    <row r="8923" spans="15:28">
      <c r="O8923" s="1"/>
      <c r="P8923" s="1"/>
      <c r="Q8923" s="1"/>
      <c r="R8923" s="1"/>
      <c r="Z8923" s="103"/>
      <c r="AA8923" s="103"/>
      <c r="AB8923" s="1"/>
    </row>
    <row r="8924" spans="15:28">
      <c r="O8924" s="1"/>
      <c r="P8924" s="1"/>
      <c r="Q8924" s="1"/>
      <c r="R8924" s="1"/>
      <c r="Z8924" s="103"/>
      <c r="AA8924" s="103"/>
      <c r="AB8924" s="1"/>
    </row>
    <row r="8925" spans="15:28">
      <c r="O8925" s="1"/>
      <c r="P8925" s="1"/>
      <c r="Q8925" s="1"/>
      <c r="R8925" s="1"/>
      <c r="Z8925" s="103"/>
      <c r="AA8925" s="103"/>
      <c r="AB8925" s="1"/>
    </row>
    <row r="8926" spans="15:28">
      <c r="O8926" s="1"/>
      <c r="P8926" s="1"/>
      <c r="Q8926" s="1"/>
      <c r="R8926" s="1"/>
      <c r="Z8926" s="103"/>
      <c r="AA8926" s="103"/>
      <c r="AB8926" s="1"/>
    </row>
    <row r="8927" spans="15:28">
      <c r="O8927" s="1"/>
      <c r="P8927" s="1"/>
      <c r="Q8927" s="1"/>
      <c r="R8927" s="1"/>
      <c r="Z8927" s="103"/>
      <c r="AA8927" s="103"/>
      <c r="AB8927" s="1"/>
    </row>
    <row r="8928" spans="15:28">
      <c r="O8928" s="1"/>
      <c r="P8928" s="1"/>
      <c r="Q8928" s="1"/>
      <c r="R8928" s="1"/>
      <c r="Z8928" s="103"/>
      <c r="AA8928" s="103"/>
      <c r="AB8928" s="1"/>
    </row>
    <row r="8929" spans="15:28">
      <c r="O8929" s="1"/>
      <c r="P8929" s="1"/>
      <c r="Q8929" s="1"/>
      <c r="R8929" s="1"/>
      <c r="Z8929" s="103"/>
      <c r="AA8929" s="103"/>
      <c r="AB8929" s="1"/>
    </row>
    <row r="8930" spans="15:28">
      <c r="O8930" s="1"/>
      <c r="P8930" s="1"/>
      <c r="Q8930" s="1"/>
      <c r="R8930" s="1"/>
      <c r="Z8930" s="103"/>
      <c r="AA8930" s="103"/>
      <c r="AB8930" s="1"/>
    </row>
    <row r="8931" spans="15:28">
      <c r="O8931" s="1"/>
      <c r="P8931" s="1"/>
      <c r="Q8931" s="1"/>
      <c r="R8931" s="1"/>
      <c r="Z8931" s="103"/>
      <c r="AA8931" s="103"/>
      <c r="AB8931" s="1"/>
    </row>
    <row r="8932" spans="15:28">
      <c r="O8932" s="1"/>
      <c r="P8932" s="1"/>
      <c r="Q8932" s="1"/>
      <c r="R8932" s="1"/>
      <c r="Z8932" s="103"/>
      <c r="AA8932" s="103"/>
      <c r="AB8932" s="1"/>
    </row>
    <row r="8933" spans="15:28">
      <c r="O8933" s="1"/>
      <c r="P8933" s="1"/>
      <c r="Q8933" s="1"/>
      <c r="R8933" s="1"/>
      <c r="Z8933" s="103"/>
      <c r="AA8933" s="103"/>
      <c r="AB8933" s="1"/>
    </row>
    <row r="8934" spans="15:28">
      <c r="O8934" s="1"/>
      <c r="P8934" s="1"/>
      <c r="Q8934" s="1"/>
      <c r="R8934" s="1"/>
      <c r="Z8934" s="103"/>
      <c r="AA8934" s="103"/>
      <c r="AB8934" s="1"/>
    </row>
    <row r="8935" spans="15:28">
      <c r="O8935" s="1"/>
      <c r="P8935" s="1"/>
      <c r="Q8935" s="1"/>
      <c r="R8935" s="1"/>
      <c r="Z8935" s="103"/>
      <c r="AA8935" s="103"/>
      <c r="AB8935" s="1"/>
    </row>
    <row r="8936" spans="15:28">
      <c r="O8936" s="1"/>
      <c r="P8936" s="1"/>
      <c r="Q8936" s="1"/>
      <c r="R8936" s="1"/>
      <c r="Z8936" s="103"/>
      <c r="AA8936" s="103"/>
      <c r="AB8936" s="1"/>
    </row>
    <row r="8937" spans="15:28">
      <c r="O8937" s="1"/>
      <c r="P8937" s="1"/>
      <c r="Q8937" s="1"/>
      <c r="R8937" s="1"/>
      <c r="Z8937" s="103"/>
      <c r="AA8937" s="103"/>
      <c r="AB8937" s="1"/>
    </row>
    <row r="8938" spans="15:28">
      <c r="O8938" s="1"/>
      <c r="P8938" s="1"/>
      <c r="Q8938" s="1"/>
      <c r="R8938" s="1"/>
      <c r="Z8938" s="103"/>
      <c r="AA8938" s="103"/>
      <c r="AB8938" s="1"/>
    </row>
    <row r="8939" spans="15:28">
      <c r="O8939" s="1"/>
      <c r="P8939" s="1"/>
      <c r="Q8939" s="1"/>
      <c r="R8939" s="1"/>
      <c r="Z8939" s="103"/>
      <c r="AA8939" s="103"/>
      <c r="AB8939" s="1"/>
    </row>
    <row r="8940" spans="15:28">
      <c r="O8940" s="1"/>
      <c r="P8940" s="1"/>
      <c r="Q8940" s="1"/>
      <c r="R8940" s="1"/>
      <c r="Z8940" s="103"/>
      <c r="AA8940" s="103"/>
      <c r="AB8940" s="1"/>
    </row>
    <row r="8941" spans="15:28">
      <c r="O8941" s="1"/>
      <c r="P8941" s="1"/>
      <c r="Q8941" s="1"/>
      <c r="R8941" s="1"/>
      <c r="Z8941" s="103"/>
      <c r="AA8941" s="103"/>
      <c r="AB8941" s="1"/>
    </row>
    <row r="8942" spans="15:28">
      <c r="O8942" s="1"/>
      <c r="P8942" s="1"/>
      <c r="Q8942" s="1"/>
      <c r="R8942" s="1"/>
      <c r="Z8942" s="103"/>
      <c r="AA8942" s="103"/>
      <c r="AB8942" s="1"/>
    </row>
    <row r="8943" spans="15:28">
      <c r="O8943" s="1"/>
      <c r="P8943" s="1"/>
      <c r="Q8943" s="1"/>
      <c r="R8943" s="1"/>
      <c r="Z8943" s="103"/>
      <c r="AA8943" s="103"/>
      <c r="AB8943" s="1"/>
    </row>
    <row r="8944" spans="15:28">
      <c r="O8944" s="1"/>
      <c r="P8944" s="1"/>
      <c r="Q8944" s="1"/>
      <c r="R8944" s="1"/>
      <c r="Z8944" s="103"/>
      <c r="AA8944" s="103"/>
      <c r="AB8944" s="1"/>
    </row>
    <row r="8945" spans="15:28">
      <c r="O8945" s="1"/>
      <c r="P8945" s="1"/>
      <c r="Q8945" s="1"/>
      <c r="R8945" s="1"/>
      <c r="Z8945" s="103"/>
      <c r="AA8945" s="103"/>
      <c r="AB8945" s="1"/>
    </row>
    <row r="8946" spans="15:28">
      <c r="O8946" s="1"/>
      <c r="P8946" s="1"/>
      <c r="Q8946" s="1"/>
      <c r="R8946" s="1"/>
      <c r="Z8946" s="103"/>
      <c r="AA8946" s="103"/>
      <c r="AB8946" s="1"/>
    </row>
    <row r="8947" spans="15:28">
      <c r="O8947" s="1"/>
      <c r="P8947" s="1"/>
      <c r="Q8947" s="1"/>
      <c r="R8947" s="1"/>
      <c r="Z8947" s="103"/>
      <c r="AA8947" s="103"/>
      <c r="AB8947" s="1"/>
    </row>
    <row r="8948" spans="15:28">
      <c r="O8948" s="1"/>
      <c r="P8948" s="1"/>
      <c r="Q8948" s="1"/>
      <c r="R8948" s="1"/>
      <c r="Z8948" s="103"/>
      <c r="AA8948" s="103"/>
      <c r="AB8948" s="1"/>
    </row>
    <row r="8949" spans="15:28">
      <c r="O8949" s="1"/>
      <c r="P8949" s="1"/>
      <c r="Q8949" s="1"/>
      <c r="R8949" s="1"/>
      <c r="Z8949" s="103"/>
      <c r="AA8949" s="103"/>
      <c r="AB8949" s="1"/>
    </row>
    <row r="8950" spans="15:28">
      <c r="O8950" s="1"/>
      <c r="P8950" s="1"/>
      <c r="Q8950" s="1"/>
      <c r="R8950" s="1"/>
      <c r="Z8950" s="103"/>
      <c r="AA8950" s="103"/>
      <c r="AB8950" s="1"/>
    </row>
    <row r="8951" spans="15:28">
      <c r="O8951" s="1"/>
      <c r="P8951" s="1"/>
      <c r="Q8951" s="1"/>
      <c r="R8951" s="1"/>
      <c r="Z8951" s="103"/>
      <c r="AA8951" s="103"/>
      <c r="AB8951" s="1"/>
    </row>
    <row r="8952" spans="15:28">
      <c r="O8952" s="1"/>
      <c r="P8952" s="1"/>
      <c r="Q8952" s="1"/>
      <c r="R8952" s="1"/>
      <c r="Z8952" s="103"/>
      <c r="AA8952" s="103"/>
      <c r="AB8952" s="1"/>
    </row>
    <row r="8953" spans="15:28">
      <c r="O8953" s="1"/>
      <c r="P8953" s="1"/>
      <c r="Q8953" s="1"/>
      <c r="R8953" s="1"/>
      <c r="Z8953" s="103"/>
      <c r="AA8953" s="103"/>
      <c r="AB8953" s="1"/>
    </row>
    <row r="8954" spans="15:28">
      <c r="O8954" s="1"/>
      <c r="P8954" s="1"/>
      <c r="Q8954" s="1"/>
      <c r="R8954" s="1"/>
      <c r="Z8954" s="103"/>
      <c r="AA8954" s="103"/>
      <c r="AB8954" s="1"/>
    </row>
    <row r="8955" spans="15:28">
      <c r="O8955" s="1"/>
      <c r="P8955" s="1"/>
      <c r="Q8955" s="1"/>
      <c r="R8955" s="1"/>
      <c r="Z8955" s="103"/>
      <c r="AA8955" s="103"/>
      <c r="AB8955" s="1"/>
    </row>
    <row r="8956" spans="15:28">
      <c r="O8956" s="1"/>
      <c r="P8956" s="1"/>
      <c r="Q8956" s="1"/>
      <c r="R8956" s="1"/>
      <c r="Z8956" s="103"/>
      <c r="AA8956" s="103"/>
      <c r="AB8956" s="1"/>
    </row>
    <row r="8957" spans="15:28">
      <c r="O8957" s="1"/>
      <c r="P8957" s="1"/>
      <c r="Q8957" s="1"/>
      <c r="R8957" s="1"/>
      <c r="Z8957" s="103"/>
      <c r="AA8957" s="103"/>
      <c r="AB8957" s="1"/>
    </row>
    <row r="8958" spans="15:28">
      <c r="O8958" s="1"/>
      <c r="P8958" s="1"/>
      <c r="Q8958" s="1"/>
      <c r="R8958" s="1"/>
      <c r="Z8958" s="103"/>
      <c r="AA8958" s="103"/>
      <c r="AB8958" s="1"/>
    </row>
    <row r="8959" spans="15:28">
      <c r="O8959" s="1"/>
      <c r="P8959" s="1"/>
      <c r="Q8959" s="1"/>
      <c r="R8959" s="1"/>
      <c r="Z8959" s="103"/>
      <c r="AA8959" s="103"/>
      <c r="AB8959" s="1"/>
    </row>
    <row r="8960" spans="15:28">
      <c r="O8960" s="1"/>
      <c r="P8960" s="1"/>
      <c r="Q8960" s="1"/>
      <c r="R8960" s="1"/>
      <c r="Z8960" s="103"/>
      <c r="AA8960" s="103"/>
      <c r="AB8960" s="1"/>
    </row>
    <row r="8961" spans="15:28">
      <c r="O8961" s="1"/>
      <c r="P8961" s="1"/>
      <c r="Q8961" s="1"/>
      <c r="R8961" s="1"/>
      <c r="Z8961" s="103"/>
      <c r="AA8961" s="103"/>
      <c r="AB8961" s="1"/>
    </row>
    <row r="8962" spans="15:28">
      <c r="O8962" s="1"/>
      <c r="P8962" s="1"/>
      <c r="Q8962" s="1"/>
      <c r="R8962" s="1"/>
      <c r="Z8962" s="103"/>
      <c r="AA8962" s="103"/>
      <c r="AB8962" s="1"/>
    </row>
    <row r="8963" spans="15:28">
      <c r="O8963" s="1"/>
      <c r="P8963" s="1"/>
      <c r="Q8963" s="1"/>
      <c r="R8963" s="1"/>
      <c r="Z8963" s="103"/>
      <c r="AA8963" s="103"/>
      <c r="AB8963" s="1"/>
    </row>
    <row r="8964" spans="15:28">
      <c r="O8964" s="1"/>
      <c r="P8964" s="1"/>
      <c r="Q8964" s="1"/>
      <c r="R8964" s="1"/>
      <c r="Z8964" s="103"/>
      <c r="AA8964" s="103"/>
      <c r="AB8964" s="1"/>
    </row>
    <row r="8965" spans="15:28">
      <c r="O8965" s="1"/>
      <c r="P8965" s="1"/>
      <c r="Q8965" s="1"/>
      <c r="R8965" s="1"/>
      <c r="Z8965" s="103"/>
      <c r="AA8965" s="103"/>
      <c r="AB8965" s="1"/>
    </row>
    <row r="8966" spans="15:28">
      <c r="O8966" s="1"/>
      <c r="P8966" s="1"/>
      <c r="Q8966" s="1"/>
      <c r="R8966" s="1"/>
      <c r="Z8966" s="103"/>
      <c r="AA8966" s="103"/>
      <c r="AB8966" s="1"/>
    </row>
    <row r="8967" spans="15:28">
      <c r="O8967" s="1"/>
      <c r="P8967" s="1"/>
      <c r="Q8967" s="1"/>
      <c r="R8967" s="1"/>
      <c r="Z8967" s="103"/>
      <c r="AA8967" s="103"/>
      <c r="AB8967" s="1"/>
    </row>
    <row r="8968" spans="15:28">
      <c r="O8968" s="1"/>
      <c r="P8968" s="1"/>
      <c r="Q8968" s="1"/>
      <c r="R8968" s="1"/>
      <c r="Z8968" s="103"/>
      <c r="AA8968" s="103"/>
      <c r="AB8968" s="1"/>
    </row>
    <row r="8969" spans="15:28">
      <c r="O8969" s="1"/>
      <c r="P8969" s="1"/>
      <c r="Q8969" s="1"/>
      <c r="R8969" s="1"/>
      <c r="Z8969" s="103"/>
      <c r="AA8969" s="103"/>
      <c r="AB8969" s="1"/>
    </row>
    <row r="8970" spans="15:28">
      <c r="O8970" s="1"/>
      <c r="P8970" s="1"/>
      <c r="Q8970" s="1"/>
      <c r="R8970" s="1"/>
      <c r="Z8970" s="103"/>
      <c r="AA8970" s="103"/>
      <c r="AB8970" s="1"/>
    </row>
    <row r="8971" spans="15:28">
      <c r="O8971" s="1"/>
      <c r="P8971" s="1"/>
      <c r="Q8971" s="1"/>
      <c r="R8971" s="1"/>
      <c r="Z8971" s="103"/>
      <c r="AA8971" s="103"/>
      <c r="AB8971" s="1"/>
    </row>
    <row r="8972" spans="15:28">
      <c r="O8972" s="1"/>
      <c r="P8972" s="1"/>
      <c r="Q8972" s="1"/>
      <c r="R8972" s="1"/>
      <c r="Z8972" s="103"/>
      <c r="AA8972" s="103"/>
      <c r="AB8972" s="1"/>
    </row>
    <row r="8973" spans="15:28">
      <c r="O8973" s="1"/>
      <c r="P8973" s="1"/>
      <c r="Q8973" s="1"/>
      <c r="R8973" s="1"/>
      <c r="Z8973" s="103"/>
      <c r="AA8973" s="103"/>
      <c r="AB8973" s="1"/>
    </row>
    <row r="8974" spans="15:28">
      <c r="O8974" s="1"/>
      <c r="P8974" s="1"/>
      <c r="Q8974" s="1"/>
      <c r="R8974" s="1"/>
      <c r="Z8974" s="103"/>
      <c r="AA8974" s="103"/>
      <c r="AB8974" s="1"/>
    </row>
    <row r="8975" spans="15:28">
      <c r="O8975" s="1"/>
      <c r="P8975" s="1"/>
      <c r="Q8975" s="1"/>
      <c r="R8975" s="1"/>
      <c r="Z8975" s="103"/>
      <c r="AA8975" s="103"/>
      <c r="AB8975" s="1"/>
    </row>
    <row r="8976" spans="15:28">
      <c r="O8976" s="1"/>
      <c r="P8976" s="1"/>
      <c r="Q8976" s="1"/>
      <c r="R8976" s="1"/>
      <c r="Z8976" s="103"/>
      <c r="AA8976" s="103"/>
      <c r="AB8976" s="1"/>
    </row>
    <row r="8977" spans="15:28">
      <c r="O8977" s="1"/>
      <c r="P8977" s="1"/>
      <c r="Q8977" s="1"/>
      <c r="R8977" s="1"/>
      <c r="Z8977" s="103"/>
      <c r="AA8977" s="103"/>
      <c r="AB8977" s="1"/>
    </row>
    <row r="8978" spans="15:28">
      <c r="O8978" s="1"/>
      <c r="P8978" s="1"/>
      <c r="Q8978" s="1"/>
      <c r="R8978" s="1"/>
      <c r="Z8978" s="103"/>
      <c r="AA8978" s="103"/>
      <c r="AB8978" s="1"/>
    </row>
    <row r="8979" spans="15:28">
      <c r="O8979" s="1"/>
      <c r="P8979" s="1"/>
      <c r="Q8979" s="1"/>
      <c r="R8979" s="1"/>
      <c r="Z8979" s="103"/>
      <c r="AA8979" s="103"/>
      <c r="AB8979" s="1"/>
    </row>
    <row r="8980" spans="15:28">
      <c r="O8980" s="1"/>
      <c r="P8980" s="1"/>
      <c r="Q8980" s="1"/>
      <c r="R8980" s="1"/>
      <c r="Z8980" s="103"/>
      <c r="AA8980" s="103"/>
      <c r="AB8980" s="1"/>
    </row>
    <row r="8981" spans="15:28">
      <c r="O8981" s="1"/>
      <c r="P8981" s="1"/>
      <c r="Q8981" s="1"/>
      <c r="R8981" s="1"/>
      <c r="Z8981" s="103"/>
      <c r="AA8981" s="103"/>
      <c r="AB8981" s="1"/>
    </row>
    <row r="8982" spans="15:28">
      <c r="O8982" s="1"/>
      <c r="P8982" s="1"/>
      <c r="Q8982" s="1"/>
      <c r="R8982" s="1"/>
      <c r="Z8982" s="103"/>
      <c r="AA8982" s="103"/>
      <c r="AB8982" s="1"/>
    </row>
    <row r="8983" spans="15:28">
      <c r="O8983" s="1"/>
      <c r="P8983" s="1"/>
      <c r="Q8983" s="1"/>
      <c r="R8983" s="1"/>
      <c r="Z8983" s="103"/>
      <c r="AA8983" s="103"/>
      <c r="AB8983" s="1"/>
    </row>
    <row r="8984" spans="15:28">
      <c r="O8984" s="1"/>
      <c r="P8984" s="1"/>
      <c r="Q8984" s="1"/>
      <c r="R8984" s="1"/>
      <c r="Z8984" s="103"/>
      <c r="AA8984" s="103"/>
      <c r="AB8984" s="1"/>
    </row>
    <row r="8985" spans="15:28">
      <c r="O8985" s="1"/>
      <c r="P8985" s="1"/>
      <c r="Q8985" s="1"/>
      <c r="R8985" s="1"/>
      <c r="Z8985" s="103"/>
      <c r="AA8985" s="103"/>
      <c r="AB8985" s="1"/>
    </row>
    <row r="8986" spans="15:28">
      <c r="O8986" s="1"/>
      <c r="P8986" s="1"/>
      <c r="Q8986" s="1"/>
      <c r="R8986" s="1"/>
      <c r="Z8986" s="103"/>
      <c r="AA8986" s="103"/>
      <c r="AB8986" s="1"/>
    </row>
    <row r="8987" spans="15:28">
      <c r="O8987" s="1"/>
      <c r="P8987" s="1"/>
      <c r="Q8987" s="1"/>
      <c r="R8987" s="1"/>
      <c r="Z8987" s="103"/>
      <c r="AA8987" s="103"/>
      <c r="AB8987" s="1"/>
    </row>
    <row r="8988" spans="15:28">
      <c r="O8988" s="1"/>
      <c r="P8988" s="1"/>
      <c r="Q8988" s="1"/>
      <c r="R8988" s="1"/>
      <c r="Z8988" s="103"/>
      <c r="AA8988" s="103"/>
      <c r="AB8988" s="1"/>
    </row>
    <row r="8989" spans="15:28">
      <c r="O8989" s="1"/>
      <c r="P8989" s="1"/>
      <c r="Q8989" s="1"/>
      <c r="R8989" s="1"/>
      <c r="Z8989" s="103"/>
      <c r="AA8989" s="103"/>
      <c r="AB8989" s="1"/>
    </row>
    <row r="8990" spans="15:28">
      <c r="O8990" s="1"/>
      <c r="P8990" s="1"/>
      <c r="Q8990" s="1"/>
      <c r="R8990" s="1"/>
      <c r="Z8990" s="103"/>
      <c r="AA8990" s="103"/>
      <c r="AB8990" s="1"/>
    </row>
    <row r="8991" spans="15:28">
      <c r="O8991" s="1"/>
      <c r="P8991" s="1"/>
      <c r="Q8991" s="1"/>
      <c r="R8991" s="1"/>
      <c r="Z8991" s="103"/>
      <c r="AA8991" s="103"/>
      <c r="AB8991" s="1"/>
    </row>
    <row r="8992" spans="15:28">
      <c r="O8992" s="1"/>
      <c r="P8992" s="1"/>
      <c r="Q8992" s="1"/>
      <c r="R8992" s="1"/>
      <c r="Z8992" s="103"/>
      <c r="AA8992" s="103"/>
      <c r="AB8992" s="1"/>
    </row>
    <row r="8993" spans="15:28">
      <c r="O8993" s="1"/>
      <c r="P8993" s="1"/>
      <c r="Q8993" s="1"/>
      <c r="R8993" s="1"/>
      <c r="Z8993" s="103"/>
      <c r="AA8993" s="103"/>
      <c r="AB8993" s="1"/>
    </row>
    <row r="8994" spans="15:28">
      <c r="O8994" s="1"/>
      <c r="P8994" s="1"/>
      <c r="Q8994" s="1"/>
      <c r="R8994" s="1"/>
      <c r="Z8994" s="103"/>
      <c r="AA8994" s="103"/>
      <c r="AB8994" s="1"/>
    </row>
    <row r="8995" spans="15:28">
      <c r="O8995" s="1"/>
      <c r="P8995" s="1"/>
      <c r="Q8995" s="1"/>
      <c r="R8995" s="1"/>
      <c r="Z8995" s="103"/>
      <c r="AA8995" s="103"/>
      <c r="AB8995" s="1"/>
    </row>
    <row r="8996" spans="15:28">
      <c r="O8996" s="1"/>
      <c r="P8996" s="1"/>
      <c r="Q8996" s="1"/>
      <c r="R8996" s="1"/>
      <c r="Z8996" s="103"/>
      <c r="AA8996" s="103"/>
      <c r="AB8996" s="1"/>
    </row>
    <row r="8997" spans="15:28">
      <c r="O8997" s="1"/>
      <c r="P8997" s="1"/>
      <c r="Q8997" s="1"/>
      <c r="R8997" s="1"/>
      <c r="Z8997" s="103"/>
      <c r="AA8997" s="103"/>
      <c r="AB8997" s="1"/>
    </row>
    <row r="8998" spans="15:28">
      <c r="O8998" s="1"/>
      <c r="P8998" s="1"/>
      <c r="Q8998" s="1"/>
      <c r="R8998" s="1"/>
      <c r="Z8998" s="103"/>
      <c r="AA8998" s="103"/>
      <c r="AB8998" s="1"/>
    </row>
    <row r="8999" spans="15:28">
      <c r="O8999" s="1"/>
      <c r="P8999" s="1"/>
      <c r="Q8999" s="1"/>
      <c r="R8999" s="1"/>
      <c r="Z8999" s="103"/>
      <c r="AA8999" s="103"/>
      <c r="AB8999" s="1"/>
    </row>
    <row r="9000" spans="15:28">
      <c r="O9000" s="1"/>
      <c r="P9000" s="1"/>
      <c r="Q9000" s="1"/>
      <c r="R9000" s="1"/>
      <c r="Z9000" s="103"/>
      <c r="AA9000" s="103"/>
      <c r="AB9000" s="1"/>
    </row>
    <row r="9001" spans="15:28">
      <c r="O9001" s="1"/>
      <c r="P9001" s="1"/>
      <c r="Q9001" s="1"/>
      <c r="R9001" s="1"/>
      <c r="Z9001" s="103"/>
      <c r="AA9001" s="103"/>
      <c r="AB9001" s="1"/>
    </row>
    <row r="9002" spans="15:28">
      <c r="O9002" s="1"/>
      <c r="P9002" s="1"/>
      <c r="Q9002" s="1"/>
      <c r="R9002" s="1"/>
      <c r="Z9002" s="103"/>
      <c r="AA9002" s="103"/>
      <c r="AB9002" s="1"/>
    </row>
    <row r="9003" spans="15:28">
      <c r="O9003" s="1"/>
      <c r="P9003" s="1"/>
      <c r="Q9003" s="1"/>
      <c r="R9003" s="1"/>
      <c r="Z9003" s="103"/>
      <c r="AA9003" s="103"/>
      <c r="AB9003" s="1"/>
    </row>
    <row r="9004" spans="15:28">
      <c r="O9004" s="1"/>
      <c r="P9004" s="1"/>
      <c r="Q9004" s="1"/>
      <c r="R9004" s="1"/>
      <c r="Z9004" s="103"/>
      <c r="AA9004" s="103"/>
      <c r="AB9004" s="1"/>
    </row>
    <row r="9005" spans="15:28">
      <c r="O9005" s="1"/>
      <c r="P9005" s="1"/>
      <c r="Q9005" s="1"/>
      <c r="R9005" s="1"/>
      <c r="Z9005" s="103"/>
      <c r="AA9005" s="103"/>
      <c r="AB9005" s="1"/>
    </row>
    <row r="9006" spans="15:28">
      <c r="O9006" s="1"/>
      <c r="P9006" s="1"/>
      <c r="Q9006" s="1"/>
      <c r="R9006" s="1"/>
      <c r="Z9006" s="103"/>
      <c r="AA9006" s="103"/>
      <c r="AB9006" s="1"/>
    </row>
    <row r="9007" spans="15:28">
      <c r="O9007" s="1"/>
      <c r="P9007" s="1"/>
      <c r="Q9007" s="1"/>
      <c r="R9007" s="1"/>
      <c r="Z9007" s="103"/>
      <c r="AA9007" s="103"/>
      <c r="AB9007" s="1"/>
    </row>
    <row r="9008" spans="15:28">
      <c r="O9008" s="1"/>
      <c r="P9008" s="1"/>
      <c r="Q9008" s="1"/>
      <c r="R9008" s="1"/>
      <c r="Z9008" s="103"/>
      <c r="AA9008" s="103"/>
      <c r="AB9008" s="1"/>
    </row>
    <row r="9009" spans="15:28">
      <c r="O9009" s="1"/>
      <c r="P9009" s="1"/>
      <c r="Q9009" s="1"/>
      <c r="R9009" s="1"/>
      <c r="Z9009" s="103"/>
      <c r="AA9009" s="103"/>
      <c r="AB9009" s="1"/>
    </row>
    <row r="9010" spans="15:28">
      <c r="O9010" s="1"/>
      <c r="P9010" s="1"/>
      <c r="Q9010" s="1"/>
      <c r="R9010" s="1"/>
      <c r="Z9010" s="103"/>
      <c r="AA9010" s="103"/>
      <c r="AB9010" s="1"/>
    </row>
    <row r="9011" spans="15:28">
      <c r="O9011" s="1"/>
      <c r="P9011" s="1"/>
      <c r="Q9011" s="1"/>
      <c r="R9011" s="1"/>
      <c r="Z9011" s="103"/>
      <c r="AA9011" s="103"/>
      <c r="AB9011" s="1"/>
    </row>
    <row r="9012" spans="15:28">
      <c r="O9012" s="1"/>
      <c r="P9012" s="1"/>
      <c r="Q9012" s="1"/>
      <c r="R9012" s="1"/>
      <c r="Z9012" s="103"/>
      <c r="AA9012" s="103"/>
      <c r="AB9012" s="1"/>
    </row>
    <row r="9013" spans="15:28">
      <c r="O9013" s="1"/>
      <c r="P9013" s="1"/>
      <c r="Q9013" s="1"/>
      <c r="R9013" s="1"/>
      <c r="Z9013" s="103"/>
      <c r="AA9013" s="103"/>
      <c r="AB9013" s="1"/>
    </row>
    <row r="9014" spans="15:28">
      <c r="O9014" s="1"/>
      <c r="P9014" s="1"/>
      <c r="Q9014" s="1"/>
      <c r="R9014" s="1"/>
      <c r="Z9014" s="103"/>
      <c r="AA9014" s="103"/>
      <c r="AB9014" s="1"/>
    </row>
    <row r="9015" spans="15:28">
      <c r="O9015" s="1"/>
      <c r="P9015" s="1"/>
      <c r="Q9015" s="1"/>
      <c r="R9015" s="1"/>
      <c r="Z9015" s="103"/>
      <c r="AA9015" s="103"/>
      <c r="AB9015" s="1"/>
    </row>
    <row r="9016" spans="15:28">
      <c r="O9016" s="1"/>
      <c r="P9016" s="1"/>
      <c r="Q9016" s="1"/>
      <c r="R9016" s="1"/>
      <c r="Z9016" s="103"/>
      <c r="AA9016" s="103"/>
      <c r="AB9016" s="1"/>
    </row>
    <row r="9017" spans="15:28">
      <c r="O9017" s="1"/>
      <c r="P9017" s="1"/>
      <c r="Q9017" s="1"/>
      <c r="R9017" s="1"/>
      <c r="Z9017" s="103"/>
      <c r="AA9017" s="103"/>
      <c r="AB9017" s="1"/>
    </row>
    <row r="9018" spans="15:28">
      <c r="O9018" s="1"/>
      <c r="P9018" s="1"/>
      <c r="Q9018" s="1"/>
      <c r="R9018" s="1"/>
      <c r="Z9018" s="103"/>
      <c r="AA9018" s="103"/>
      <c r="AB9018" s="1"/>
    </row>
    <row r="9019" spans="15:28">
      <c r="O9019" s="1"/>
      <c r="P9019" s="1"/>
      <c r="Q9019" s="1"/>
      <c r="R9019" s="1"/>
      <c r="Z9019" s="103"/>
      <c r="AA9019" s="103"/>
      <c r="AB9019" s="1"/>
    </row>
    <row r="9020" spans="15:28">
      <c r="O9020" s="1"/>
      <c r="P9020" s="1"/>
      <c r="Q9020" s="1"/>
      <c r="R9020" s="1"/>
      <c r="Z9020" s="103"/>
      <c r="AA9020" s="103"/>
      <c r="AB9020" s="1"/>
    </row>
    <row r="9021" spans="15:28">
      <c r="O9021" s="1"/>
      <c r="P9021" s="1"/>
      <c r="Q9021" s="1"/>
      <c r="R9021" s="1"/>
      <c r="Z9021" s="103"/>
      <c r="AA9021" s="103"/>
      <c r="AB9021" s="1"/>
    </row>
    <row r="9022" spans="15:28">
      <c r="O9022" s="1"/>
      <c r="P9022" s="1"/>
      <c r="Q9022" s="1"/>
      <c r="R9022" s="1"/>
      <c r="Z9022" s="103"/>
      <c r="AA9022" s="103"/>
      <c r="AB9022" s="1"/>
    </row>
    <row r="9023" spans="15:28">
      <c r="O9023" s="1"/>
      <c r="P9023" s="1"/>
      <c r="Q9023" s="1"/>
      <c r="R9023" s="1"/>
      <c r="Z9023" s="103"/>
      <c r="AA9023" s="103"/>
      <c r="AB9023" s="1"/>
    </row>
    <row r="9024" spans="15:28">
      <c r="O9024" s="1"/>
      <c r="P9024" s="1"/>
      <c r="Q9024" s="1"/>
      <c r="R9024" s="1"/>
      <c r="Z9024" s="103"/>
      <c r="AA9024" s="103"/>
      <c r="AB9024" s="1"/>
    </row>
    <row r="9025" spans="15:28">
      <c r="O9025" s="1"/>
      <c r="P9025" s="1"/>
      <c r="Q9025" s="1"/>
      <c r="R9025" s="1"/>
      <c r="Z9025" s="103"/>
      <c r="AA9025" s="103"/>
      <c r="AB9025" s="1"/>
    </row>
    <row r="9026" spans="15:28">
      <c r="O9026" s="1"/>
      <c r="P9026" s="1"/>
      <c r="Q9026" s="1"/>
      <c r="R9026" s="1"/>
      <c r="Z9026" s="103"/>
      <c r="AA9026" s="103"/>
      <c r="AB9026" s="1"/>
    </row>
    <row r="9027" spans="15:28">
      <c r="O9027" s="1"/>
      <c r="P9027" s="1"/>
      <c r="Q9027" s="1"/>
      <c r="R9027" s="1"/>
      <c r="Z9027" s="103"/>
      <c r="AA9027" s="103"/>
      <c r="AB9027" s="1"/>
    </row>
    <row r="9028" spans="15:28">
      <c r="O9028" s="1"/>
      <c r="P9028" s="1"/>
      <c r="Q9028" s="1"/>
      <c r="R9028" s="1"/>
      <c r="Z9028" s="103"/>
      <c r="AA9028" s="103"/>
      <c r="AB9028" s="1"/>
    </row>
    <row r="9029" spans="15:28">
      <c r="O9029" s="1"/>
      <c r="P9029" s="1"/>
      <c r="Q9029" s="1"/>
      <c r="R9029" s="1"/>
      <c r="Z9029" s="103"/>
      <c r="AA9029" s="103"/>
      <c r="AB9029" s="1"/>
    </row>
    <row r="9030" spans="15:28">
      <c r="O9030" s="1"/>
      <c r="P9030" s="1"/>
      <c r="Q9030" s="1"/>
      <c r="R9030" s="1"/>
      <c r="Z9030" s="103"/>
      <c r="AA9030" s="103"/>
      <c r="AB9030" s="1"/>
    </row>
    <row r="9031" spans="15:28">
      <c r="O9031" s="1"/>
      <c r="P9031" s="1"/>
      <c r="Q9031" s="1"/>
      <c r="R9031" s="1"/>
      <c r="Z9031" s="103"/>
      <c r="AA9031" s="103"/>
      <c r="AB9031" s="1"/>
    </row>
    <row r="9032" spans="15:28">
      <c r="O9032" s="1"/>
      <c r="P9032" s="1"/>
      <c r="Q9032" s="1"/>
      <c r="R9032" s="1"/>
      <c r="Z9032" s="103"/>
      <c r="AA9032" s="103"/>
      <c r="AB9032" s="1"/>
    </row>
    <row r="9033" spans="15:28">
      <c r="O9033" s="1"/>
      <c r="P9033" s="1"/>
      <c r="Q9033" s="1"/>
      <c r="R9033" s="1"/>
      <c r="Z9033" s="103"/>
      <c r="AA9033" s="103"/>
      <c r="AB9033" s="1"/>
    </row>
    <row r="9034" spans="15:28">
      <c r="O9034" s="1"/>
      <c r="P9034" s="1"/>
      <c r="Q9034" s="1"/>
      <c r="R9034" s="1"/>
      <c r="Z9034" s="103"/>
      <c r="AA9034" s="103"/>
      <c r="AB9034" s="1"/>
    </row>
    <row r="9035" spans="15:28">
      <c r="O9035" s="1"/>
      <c r="P9035" s="1"/>
      <c r="Q9035" s="1"/>
      <c r="R9035" s="1"/>
      <c r="Z9035" s="103"/>
      <c r="AA9035" s="103"/>
      <c r="AB9035" s="1"/>
    </row>
    <row r="9036" spans="15:28">
      <c r="O9036" s="1"/>
      <c r="P9036" s="1"/>
      <c r="Q9036" s="1"/>
      <c r="R9036" s="1"/>
      <c r="Z9036" s="103"/>
      <c r="AA9036" s="103"/>
      <c r="AB9036" s="1"/>
    </row>
    <row r="9037" spans="15:28">
      <c r="O9037" s="1"/>
      <c r="P9037" s="1"/>
      <c r="Q9037" s="1"/>
      <c r="R9037" s="1"/>
      <c r="Z9037" s="103"/>
      <c r="AA9037" s="103"/>
      <c r="AB9037" s="1"/>
    </row>
    <row r="9038" spans="15:28">
      <c r="O9038" s="1"/>
      <c r="P9038" s="1"/>
      <c r="Q9038" s="1"/>
      <c r="R9038" s="1"/>
      <c r="Z9038" s="103"/>
      <c r="AA9038" s="103"/>
      <c r="AB9038" s="1"/>
    </row>
    <row r="9039" spans="15:28">
      <c r="O9039" s="1"/>
      <c r="P9039" s="1"/>
      <c r="Q9039" s="1"/>
      <c r="R9039" s="1"/>
      <c r="Z9039" s="103"/>
      <c r="AA9039" s="103"/>
      <c r="AB9039" s="1"/>
    </row>
    <row r="9040" spans="15:28">
      <c r="O9040" s="1"/>
      <c r="P9040" s="1"/>
      <c r="Q9040" s="1"/>
      <c r="R9040" s="1"/>
      <c r="Z9040" s="103"/>
      <c r="AA9040" s="103"/>
      <c r="AB9040" s="1"/>
    </row>
    <row r="9041" spans="15:30">
      <c r="O9041" s="1"/>
      <c r="P9041" s="1"/>
      <c r="Q9041" s="1"/>
      <c r="R9041" s="1"/>
      <c r="Z9041" s="103"/>
      <c r="AA9041" s="103"/>
      <c r="AB9041" s="1"/>
    </row>
    <row r="9042" spans="15:30">
      <c r="O9042" s="1"/>
      <c r="P9042" s="1"/>
      <c r="Q9042" s="1"/>
      <c r="R9042" s="1"/>
      <c r="Z9042" s="103"/>
      <c r="AA9042" s="103"/>
      <c r="AB9042" s="1"/>
    </row>
    <row r="9043" spans="15:30">
      <c r="O9043" s="1"/>
      <c r="P9043" s="1"/>
      <c r="Q9043" s="1"/>
      <c r="R9043" s="1"/>
      <c r="Z9043" s="103"/>
      <c r="AA9043" s="103"/>
      <c r="AB9043" s="1"/>
    </row>
    <row r="9044" spans="15:30">
      <c r="O9044" s="1"/>
      <c r="P9044" s="1"/>
      <c r="Q9044" s="1"/>
      <c r="R9044" s="1"/>
      <c r="Z9044" s="103"/>
      <c r="AA9044" s="103"/>
      <c r="AB9044" s="1"/>
    </row>
    <row r="9045" spans="15:30">
      <c r="O9045" s="1"/>
      <c r="P9045" s="1"/>
      <c r="Q9045" s="1"/>
      <c r="R9045" s="1"/>
      <c r="Z9045" s="103"/>
      <c r="AA9045" s="103"/>
      <c r="AB9045" s="1"/>
    </row>
    <row r="9046" spans="15:30">
      <c r="O9046" s="1"/>
      <c r="P9046" s="1"/>
      <c r="Q9046" s="1"/>
      <c r="R9046" s="1"/>
      <c r="Z9046" s="103"/>
      <c r="AA9046" s="103"/>
      <c r="AB9046" s="1"/>
    </row>
    <row r="9047" spans="15:30">
      <c r="O9047" s="1"/>
      <c r="P9047" s="1"/>
      <c r="Q9047" s="1"/>
      <c r="R9047" s="1"/>
      <c r="Z9047" s="103"/>
      <c r="AA9047" s="103"/>
      <c r="AB9047" s="1"/>
    </row>
    <row r="9048" spans="15:30">
      <c r="O9048" s="1"/>
      <c r="P9048" s="1"/>
      <c r="Q9048" s="1"/>
      <c r="R9048" s="1"/>
      <c r="Z9048" s="103"/>
      <c r="AA9048" s="103"/>
      <c r="AB9048" s="1"/>
    </row>
    <row r="9049" spans="15:30">
      <c r="O9049" s="1"/>
      <c r="P9049" s="1"/>
      <c r="Q9049" s="1"/>
      <c r="R9049" s="1"/>
      <c r="Z9049" s="103"/>
      <c r="AA9049" s="103"/>
      <c r="AB9049" s="1"/>
    </row>
    <row r="9050" spans="15:30">
      <c r="O9050" s="1"/>
      <c r="P9050" s="1"/>
      <c r="Q9050" s="1"/>
      <c r="R9050" s="1"/>
      <c r="Z9050" s="103"/>
      <c r="AA9050" s="103"/>
      <c r="AB9050" s="1"/>
    </row>
    <row r="9051" spans="15:30">
      <c r="O9051" s="1"/>
      <c r="P9051" s="1"/>
      <c r="Q9051" s="1"/>
      <c r="R9051" s="1"/>
      <c r="Z9051" s="103"/>
      <c r="AA9051" s="103"/>
      <c r="AB9051" s="1"/>
      <c r="AD9051" s="102"/>
    </row>
    <row r="9052" spans="15:30">
      <c r="O9052" s="1"/>
      <c r="P9052" s="1"/>
      <c r="Q9052" s="1"/>
      <c r="R9052" s="1"/>
      <c r="Z9052" s="103"/>
      <c r="AA9052" s="103"/>
      <c r="AB9052" s="1"/>
    </row>
    <row r="9053" spans="15:30">
      <c r="O9053" s="1"/>
      <c r="P9053" s="1"/>
      <c r="Q9053" s="1"/>
      <c r="R9053" s="1"/>
      <c r="Z9053" s="103"/>
      <c r="AA9053" s="103"/>
      <c r="AB9053" s="1"/>
    </row>
    <row r="9054" spans="15:30">
      <c r="O9054" s="1"/>
      <c r="P9054" s="1"/>
      <c r="Q9054" s="1"/>
      <c r="R9054" s="1"/>
      <c r="Z9054" s="103"/>
      <c r="AA9054" s="103"/>
      <c r="AB9054" s="1"/>
    </row>
    <row r="9055" spans="15:30">
      <c r="O9055" s="1"/>
      <c r="P9055" s="1"/>
      <c r="Q9055" s="1"/>
      <c r="R9055" s="1"/>
      <c r="Z9055" s="103"/>
      <c r="AA9055" s="103"/>
      <c r="AB9055" s="1"/>
    </row>
    <row r="9056" spans="15:30">
      <c r="O9056" s="1"/>
      <c r="P9056" s="1"/>
      <c r="Q9056" s="1"/>
      <c r="R9056" s="1"/>
      <c r="Z9056" s="103"/>
      <c r="AA9056" s="103"/>
      <c r="AB9056" s="1"/>
    </row>
    <row r="9057" spans="15:28">
      <c r="O9057" s="1"/>
      <c r="P9057" s="1"/>
      <c r="Q9057" s="1"/>
      <c r="R9057" s="1"/>
      <c r="Z9057" s="103"/>
      <c r="AA9057" s="103"/>
      <c r="AB9057" s="1"/>
    </row>
    <row r="9058" spans="15:28">
      <c r="O9058" s="1"/>
      <c r="P9058" s="1"/>
      <c r="Q9058" s="1"/>
      <c r="R9058" s="1"/>
      <c r="Z9058" s="103"/>
      <c r="AA9058" s="103"/>
      <c r="AB9058" s="1"/>
    </row>
    <row r="9059" spans="15:28">
      <c r="O9059" s="1"/>
      <c r="P9059" s="1"/>
      <c r="Q9059" s="1"/>
      <c r="R9059" s="1"/>
      <c r="Z9059" s="103"/>
      <c r="AA9059" s="103"/>
      <c r="AB9059" s="1"/>
    </row>
    <row r="9060" spans="15:28">
      <c r="O9060" s="1"/>
      <c r="P9060" s="1"/>
      <c r="Q9060" s="1"/>
      <c r="R9060" s="1"/>
      <c r="Z9060" s="103"/>
      <c r="AA9060" s="103"/>
      <c r="AB9060" s="1"/>
    </row>
    <row r="9061" spans="15:28">
      <c r="O9061" s="1"/>
      <c r="P9061" s="1"/>
      <c r="Q9061" s="1"/>
      <c r="R9061" s="1"/>
      <c r="Z9061" s="103"/>
      <c r="AA9061" s="103"/>
      <c r="AB9061" s="1"/>
    </row>
    <row r="9062" spans="15:28">
      <c r="O9062" s="1"/>
      <c r="P9062" s="1"/>
      <c r="Q9062" s="1"/>
      <c r="R9062" s="1"/>
      <c r="Z9062" s="103"/>
      <c r="AA9062" s="103"/>
      <c r="AB9062" s="1"/>
    </row>
    <row r="9063" spans="15:28">
      <c r="O9063" s="1"/>
      <c r="P9063" s="1"/>
      <c r="Q9063" s="1"/>
      <c r="R9063" s="1"/>
      <c r="Z9063" s="103"/>
      <c r="AA9063" s="103"/>
      <c r="AB9063" s="1"/>
    </row>
    <row r="9064" spans="15:28">
      <c r="O9064" s="1"/>
      <c r="P9064" s="1"/>
      <c r="Q9064" s="1"/>
      <c r="R9064" s="1"/>
      <c r="Z9064" s="103"/>
      <c r="AA9064" s="103"/>
      <c r="AB9064" s="1"/>
    </row>
    <row r="9065" spans="15:28">
      <c r="O9065" s="1"/>
      <c r="P9065" s="1"/>
      <c r="Q9065" s="1"/>
      <c r="R9065" s="1"/>
      <c r="Z9065" s="103"/>
      <c r="AA9065" s="103"/>
      <c r="AB9065" s="1"/>
    </row>
    <row r="9066" spans="15:28">
      <c r="O9066" s="1"/>
      <c r="P9066" s="1"/>
      <c r="Q9066" s="1"/>
      <c r="R9066" s="1"/>
      <c r="Z9066" s="103"/>
      <c r="AA9066" s="103"/>
      <c r="AB9066" s="1"/>
    </row>
    <row r="9067" spans="15:28">
      <c r="O9067" s="1"/>
      <c r="P9067" s="1"/>
      <c r="Q9067" s="1"/>
      <c r="R9067" s="1"/>
      <c r="Z9067" s="103"/>
      <c r="AA9067" s="103"/>
      <c r="AB9067" s="1"/>
    </row>
    <row r="9068" spans="15:28">
      <c r="O9068" s="1"/>
      <c r="P9068" s="1"/>
      <c r="Q9068" s="1"/>
      <c r="R9068" s="1"/>
      <c r="Z9068" s="103"/>
      <c r="AA9068" s="103"/>
      <c r="AB9068" s="1"/>
    </row>
    <row r="9069" spans="15:28">
      <c r="O9069" s="1"/>
      <c r="P9069" s="1"/>
      <c r="Q9069" s="1"/>
      <c r="R9069" s="1"/>
      <c r="Z9069" s="103"/>
      <c r="AA9069" s="103"/>
      <c r="AB9069" s="1"/>
    </row>
    <row r="9070" spans="15:28">
      <c r="O9070" s="1"/>
      <c r="P9070" s="1"/>
      <c r="Q9070" s="1"/>
      <c r="R9070" s="1"/>
      <c r="Z9070" s="103"/>
      <c r="AA9070" s="103"/>
      <c r="AB9070" s="1"/>
    </row>
    <row r="9071" spans="15:28">
      <c r="O9071" s="1"/>
      <c r="P9071" s="1"/>
      <c r="Q9071" s="1"/>
      <c r="R9071" s="1"/>
      <c r="Z9071" s="103"/>
      <c r="AA9071" s="103"/>
      <c r="AB9071" s="1"/>
    </row>
    <row r="9072" spans="15:28">
      <c r="O9072" s="1"/>
      <c r="P9072" s="1"/>
      <c r="Q9072" s="1"/>
      <c r="R9072" s="1"/>
      <c r="Z9072" s="103"/>
      <c r="AA9072" s="103"/>
      <c r="AB9072" s="1"/>
    </row>
    <row r="9073" spans="15:28">
      <c r="O9073" s="1"/>
      <c r="P9073" s="1"/>
      <c r="Q9073" s="1"/>
      <c r="R9073" s="1"/>
      <c r="Z9073" s="103"/>
      <c r="AA9073" s="103"/>
      <c r="AB9073" s="1"/>
    </row>
    <row r="9074" spans="15:28">
      <c r="O9074" s="1"/>
      <c r="P9074" s="1"/>
      <c r="Q9074" s="1"/>
      <c r="R9074" s="1"/>
      <c r="Z9074" s="103"/>
      <c r="AA9074" s="103"/>
      <c r="AB9074" s="1"/>
    </row>
    <row r="9075" spans="15:28">
      <c r="O9075" s="1"/>
      <c r="P9075" s="1"/>
      <c r="Q9075" s="1"/>
      <c r="R9075" s="1"/>
      <c r="Z9075" s="103"/>
      <c r="AA9075" s="103"/>
      <c r="AB9075" s="1"/>
    </row>
    <row r="9076" spans="15:28">
      <c r="O9076" s="1"/>
      <c r="P9076" s="1"/>
      <c r="Q9076" s="1"/>
      <c r="R9076" s="1"/>
      <c r="Z9076" s="103"/>
      <c r="AA9076" s="103"/>
      <c r="AB9076" s="1"/>
    </row>
    <row r="9077" spans="15:28">
      <c r="O9077" s="1"/>
      <c r="P9077" s="1"/>
      <c r="Q9077" s="1"/>
      <c r="R9077" s="1"/>
      <c r="Z9077" s="103"/>
      <c r="AA9077" s="103"/>
      <c r="AB9077" s="1"/>
    </row>
    <row r="9078" spans="15:28">
      <c r="O9078" s="1"/>
      <c r="P9078" s="1"/>
      <c r="Q9078" s="1"/>
      <c r="R9078" s="1"/>
      <c r="Z9078" s="103"/>
      <c r="AA9078" s="103"/>
      <c r="AB9078" s="1"/>
    </row>
    <row r="9079" spans="15:28">
      <c r="O9079" s="1"/>
      <c r="P9079" s="1"/>
      <c r="Q9079" s="1"/>
      <c r="R9079" s="1"/>
      <c r="Z9079" s="103"/>
      <c r="AA9079" s="103"/>
      <c r="AB9079" s="1"/>
    </row>
    <row r="9080" spans="15:28">
      <c r="O9080" s="1"/>
      <c r="P9080" s="1"/>
      <c r="Q9080" s="1"/>
      <c r="R9080" s="1"/>
      <c r="Z9080" s="103"/>
      <c r="AA9080" s="103"/>
      <c r="AB9080" s="1"/>
    </row>
    <row r="9081" spans="15:28">
      <c r="O9081" s="1"/>
      <c r="P9081" s="1"/>
      <c r="Q9081" s="1"/>
      <c r="R9081" s="1"/>
      <c r="Z9081" s="103"/>
      <c r="AA9081" s="103"/>
      <c r="AB9081" s="1"/>
    </row>
    <row r="9082" spans="15:28">
      <c r="O9082" s="1"/>
      <c r="P9082" s="1"/>
      <c r="Q9082" s="1"/>
      <c r="R9082" s="1"/>
      <c r="Z9082" s="103"/>
      <c r="AA9082" s="103"/>
      <c r="AB9082" s="1"/>
    </row>
    <row r="9083" spans="15:28">
      <c r="O9083" s="1"/>
      <c r="P9083" s="1"/>
      <c r="Q9083" s="1"/>
      <c r="R9083" s="1"/>
      <c r="Z9083" s="103"/>
      <c r="AA9083" s="103"/>
      <c r="AB9083" s="1"/>
    </row>
    <row r="9084" spans="15:28">
      <c r="O9084" s="1"/>
      <c r="P9084" s="1"/>
      <c r="Q9084" s="1"/>
      <c r="R9084" s="1"/>
      <c r="Z9084" s="103"/>
      <c r="AA9084" s="103"/>
      <c r="AB9084" s="1"/>
    </row>
    <row r="9085" spans="15:28">
      <c r="O9085" s="1"/>
      <c r="P9085" s="1"/>
      <c r="Q9085" s="1"/>
      <c r="R9085" s="1"/>
      <c r="Z9085" s="103"/>
      <c r="AA9085" s="103"/>
      <c r="AB9085" s="1"/>
    </row>
    <row r="9086" spans="15:28">
      <c r="O9086" s="1"/>
      <c r="P9086" s="1"/>
      <c r="Q9086" s="1"/>
      <c r="R9086" s="1"/>
      <c r="Z9086" s="103"/>
      <c r="AA9086" s="103"/>
      <c r="AB9086" s="1"/>
    </row>
    <row r="9087" spans="15:28">
      <c r="O9087" s="1"/>
      <c r="P9087" s="1"/>
      <c r="Q9087" s="1"/>
      <c r="R9087" s="1"/>
      <c r="Z9087" s="103"/>
      <c r="AA9087" s="103"/>
      <c r="AB9087" s="1"/>
    </row>
    <row r="9088" spans="15:28">
      <c r="O9088" s="1"/>
      <c r="P9088" s="1"/>
      <c r="Q9088" s="1"/>
      <c r="R9088" s="1"/>
      <c r="Z9088" s="103"/>
      <c r="AA9088" s="103"/>
      <c r="AB9088" s="1"/>
    </row>
    <row r="9089" spans="15:28">
      <c r="O9089" s="1"/>
      <c r="P9089" s="1"/>
      <c r="Q9089" s="1"/>
      <c r="R9089" s="1"/>
      <c r="Z9089" s="103"/>
      <c r="AA9089" s="103"/>
      <c r="AB9089" s="1"/>
    </row>
    <row r="9090" spans="15:28">
      <c r="O9090" s="1"/>
      <c r="P9090" s="1"/>
      <c r="Q9090" s="1"/>
      <c r="R9090" s="1"/>
      <c r="Z9090" s="103"/>
      <c r="AA9090" s="103"/>
      <c r="AB9090" s="1"/>
    </row>
    <row r="9091" spans="15:28">
      <c r="O9091" s="1"/>
      <c r="P9091" s="1"/>
      <c r="Q9091" s="1"/>
      <c r="R9091" s="1"/>
      <c r="Z9091" s="103"/>
      <c r="AA9091" s="103"/>
      <c r="AB9091" s="1"/>
    </row>
    <row r="9092" spans="15:28">
      <c r="O9092" s="1"/>
      <c r="P9092" s="1"/>
      <c r="Q9092" s="1"/>
      <c r="R9092" s="1"/>
      <c r="Z9092" s="103"/>
      <c r="AA9092" s="103"/>
      <c r="AB9092" s="1"/>
    </row>
    <row r="9093" spans="15:28">
      <c r="O9093" s="1"/>
      <c r="P9093" s="1"/>
      <c r="Q9093" s="1"/>
      <c r="R9093" s="1"/>
      <c r="Z9093" s="103"/>
      <c r="AA9093" s="103"/>
      <c r="AB9093" s="1"/>
    </row>
    <row r="9094" spans="15:28">
      <c r="O9094" s="1"/>
      <c r="P9094" s="1"/>
      <c r="Q9094" s="1"/>
      <c r="R9094" s="1"/>
      <c r="Z9094" s="103"/>
      <c r="AA9094" s="103"/>
      <c r="AB9094" s="1"/>
    </row>
    <row r="9095" spans="15:28">
      <c r="O9095" s="1"/>
      <c r="P9095" s="1"/>
      <c r="Q9095" s="1"/>
      <c r="R9095" s="1"/>
      <c r="Z9095" s="103"/>
      <c r="AA9095" s="103"/>
      <c r="AB9095" s="1"/>
    </row>
    <row r="9096" spans="15:28">
      <c r="O9096" s="1"/>
      <c r="P9096" s="1"/>
      <c r="Q9096" s="1"/>
      <c r="R9096" s="1"/>
      <c r="Z9096" s="103"/>
      <c r="AA9096" s="103"/>
      <c r="AB9096" s="1"/>
    </row>
    <row r="9097" spans="15:28">
      <c r="O9097" s="1"/>
      <c r="P9097" s="1"/>
      <c r="Q9097" s="1"/>
      <c r="R9097" s="1"/>
      <c r="Z9097" s="103"/>
      <c r="AA9097" s="103"/>
      <c r="AB9097" s="1"/>
    </row>
    <row r="9098" spans="15:28">
      <c r="O9098" s="1"/>
      <c r="P9098" s="1"/>
      <c r="Q9098" s="1"/>
      <c r="R9098" s="1"/>
      <c r="Z9098" s="103"/>
      <c r="AA9098" s="103"/>
      <c r="AB9098" s="1"/>
    </row>
    <row r="9099" spans="15:28">
      <c r="O9099" s="1"/>
      <c r="P9099" s="1"/>
      <c r="Q9099" s="1"/>
      <c r="R9099" s="1"/>
      <c r="Z9099" s="103"/>
      <c r="AA9099" s="103"/>
      <c r="AB9099" s="1"/>
    </row>
    <row r="9100" spans="15:28">
      <c r="O9100" s="1"/>
      <c r="P9100" s="1"/>
      <c r="Q9100" s="1"/>
      <c r="R9100" s="1"/>
      <c r="Z9100" s="103"/>
      <c r="AA9100" s="103"/>
      <c r="AB9100" s="1"/>
    </row>
    <row r="9101" spans="15:28">
      <c r="O9101" s="1"/>
      <c r="P9101" s="1"/>
      <c r="Q9101" s="1"/>
      <c r="R9101" s="1"/>
      <c r="Z9101" s="103"/>
      <c r="AA9101" s="103"/>
      <c r="AB9101" s="1"/>
    </row>
    <row r="9102" spans="15:28">
      <c r="O9102" s="1"/>
      <c r="P9102" s="1"/>
      <c r="Q9102" s="1"/>
      <c r="R9102" s="1"/>
      <c r="Z9102" s="103"/>
      <c r="AA9102" s="103"/>
      <c r="AB9102" s="1"/>
    </row>
    <row r="9103" spans="15:28">
      <c r="O9103" s="1"/>
      <c r="P9103" s="1"/>
      <c r="Q9103" s="1"/>
      <c r="R9103" s="1"/>
      <c r="Z9103" s="103"/>
      <c r="AA9103" s="103"/>
      <c r="AB9103" s="1"/>
    </row>
    <row r="9104" spans="15:28">
      <c r="O9104" s="1"/>
      <c r="P9104" s="1"/>
      <c r="Q9104" s="1"/>
      <c r="R9104" s="1"/>
      <c r="Z9104" s="103"/>
      <c r="AA9104" s="103"/>
      <c r="AB9104" s="1"/>
    </row>
    <row r="9105" spans="15:28">
      <c r="O9105" s="1"/>
      <c r="P9105" s="1"/>
      <c r="Q9105" s="1"/>
      <c r="R9105" s="1"/>
      <c r="Z9105" s="103"/>
      <c r="AA9105" s="103"/>
      <c r="AB9105" s="1"/>
    </row>
    <row r="9106" spans="15:28">
      <c r="O9106" s="1"/>
      <c r="P9106" s="1"/>
      <c r="Q9106" s="1"/>
      <c r="R9106" s="1"/>
      <c r="Z9106" s="103"/>
      <c r="AA9106" s="103"/>
      <c r="AB9106" s="1"/>
    </row>
    <row r="9107" spans="15:28">
      <c r="O9107" s="1"/>
      <c r="P9107" s="1"/>
      <c r="Q9107" s="1"/>
      <c r="R9107" s="1"/>
      <c r="Z9107" s="103"/>
      <c r="AA9107" s="103"/>
      <c r="AB9107" s="1"/>
    </row>
    <row r="9108" spans="15:28">
      <c r="O9108" s="1"/>
      <c r="P9108" s="1"/>
      <c r="Q9108" s="1"/>
      <c r="R9108" s="1"/>
      <c r="Z9108" s="103"/>
      <c r="AA9108" s="103"/>
      <c r="AB9108" s="1"/>
    </row>
    <row r="9109" spans="15:28">
      <c r="O9109" s="1"/>
      <c r="P9109" s="1"/>
      <c r="Q9109" s="1"/>
      <c r="R9109" s="1"/>
      <c r="Z9109" s="103"/>
      <c r="AA9109" s="103"/>
      <c r="AB9109" s="1"/>
    </row>
    <row r="9110" spans="15:28">
      <c r="O9110" s="1"/>
      <c r="P9110" s="1"/>
      <c r="Q9110" s="1"/>
      <c r="R9110" s="1"/>
      <c r="Z9110" s="103"/>
      <c r="AA9110" s="103"/>
      <c r="AB9110" s="1"/>
    </row>
    <row r="9111" spans="15:28">
      <c r="O9111" s="1"/>
      <c r="P9111" s="1"/>
      <c r="Q9111" s="1"/>
      <c r="R9111" s="1"/>
      <c r="Z9111" s="103"/>
      <c r="AA9111" s="103"/>
      <c r="AB9111" s="1"/>
    </row>
    <row r="9112" spans="15:28">
      <c r="O9112" s="1"/>
      <c r="P9112" s="1"/>
      <c r="Q9112" s="1"/>
      <c r="R9112" s="1"/>
      <c r="Z9112" s="103"/>
      <c r="AA9112" s="103"/>
      <c r="AB9112" s="1"/>
    </row>
    <row r="9113" spans="15:28">
      <c r="O9113" s="1"/>
      <c r="P9113" s="1"/>
      <c r="Q9113" s="1"/>
      <c r="R9113" s="1"/>
      <c r="Z9113" s="103"/>
      <c r="AA9113" s="103"/>
      <c r="AB9113" s="1"/>
    </row>
    <row r="9114" spans="15:28">
      <c r="O9114" s="1"/>
      <c r="P9114" s="1"/>
      <c r="Q9114" s="1"/>
      <c r="R9114" s="1"/>
      <c r="Z9114" s="103"/>
      <c r="AA9114" s="103"/>
      <c r="AB9114" s="1"/>
    </row>
    <row r="9115" spans="15:28">
      <c r="O9115" s="1"/>
      <c r="P9115" s="1"/>
      <c r="Q9115" s="1"/>
      <c r="R9115" s="1"/>
      <c r="Z9115" s="103"/>
      <c r="AA9115" s="103"/>
      <c r="AB9115" s="1"/>
    </row>
    <row r="9116" spans="15:28">
      <c r="O9116" s="1"/>
      <c r="P9116" s="1"/>
      <c r="Q9116" s="1"/>
      <c r="R9116" s="1"/>
      <c r="Z9116" s="103"/>
      <c r="AA9116" s="103"/>
      <c r="AB9116" s="1"/>
    </row>
    <row r="9117" spans="15:28">
      <c r="O9117" s="1"/>
      <c r="P9117" s="1"/>
      <c r="Q9117" s="1"/>
      <c r="R9117" s="1"/>
      <c r="Z9117" s="103"/>
      <c r="AA9117" s="103"/>
      <c r="AB9117" s="1"/>
    </row>
    <row r="9118" spans="15:28">
      <c r="O9118" s="1"/>
      <c r="P9118" s="1"/>
      <c r="Q9118" s="1"/>
      <c r="R9118" s="1"/>
      <c r="Z9118" s="103"/>
      <c r="AA9118" s="103"/>
      <c r="AB9118" s="1"/>
    </row>
    <row r="9119" spans="15:28">
      <c r="O9119" s="1"/>
      <c r="P9119" s="1"/>
      <c r="Q9119" s="1"/>
      <c r="R9119" s="1"/>
      <c r="Z9119" s="103"/>
      <c r="AA9119" s="103"/>
      <c r="AB9119" s="1"/>
    </row>
    <row r="9120" spans="15:28">
      <c r="O9120" s="1"/>
      <c r="P9120" s="1"/>
      <c r="Q9120" s="1"/>
      <c r="R9120" s="1"/>
      <c r="Z9120" s="103"/>
      <c r="AA9120" s="103"/>
      <c r="AB9120" s="1"/>
    </row>
    <row r="9121" spans="15:28">
      <c r="O9121" s="1"/>
      <c r="P9121" s="1"/>
      <c r="Q9121" s="1"/>
      <c r="R9121" s="1"/>
      <c r="Z9121" s="103"/>
      <c r="AA9121" s="103"/>
      <c r="AB9121" s="1"/>
    </row>
    <row r="9122" spans="15:28">
      <c r="O9122" s="1"/>
      <c r="P9122" s="1"/>
      <c r="Q9122" s="1"/>
      <c r="R9122" s="1"/>
      <c r="Z9122" s="103"/>
      <c r="AA9122" s="103"/>
      <c r="AB9122" s="1"/>
    </row>
    <row r="9123" spans="15:28">
      <c r="O9123" s="1"/>
      <c r="P9123" s="1"/>
      <c r="Q9123" s="1"/>
      <c r="R9123" s="1"/>
      <c r="Z9123" s="103"/>
      <c r="AA9123" s="103"/>
      <c r="AB9123" s="1"/>
    </row>
    <row r="9124" spans="15:28">
      <c r="O9124" s="1"/>
      <c r="P9124" s="1"/>
      <c r="Q9124" s="1"/>
      <c r="R9124" s="1"/>
      <c r="Z9124" s="103"/>
      <c r="AA9124" s="103"/>
      <c r="AB9124" s="1"/>
    </row>
    <row r="9125" spans="15:28">
      <c r="O9125" s="1"/>
      <c r="P9125" s="1"/>
      <c r="Q9125" s="1"/>
      <c r="R9125" s="1"/>
      <c r="Z9125" s="103"/>
      <c r="AA9125" s="103"/>
      <c r="AB9125" s="1"/>
    </row>
    <row r="9126" spans="15:28">
      <c r="O9126" s="1"/>
      <c r="P9126" s="1"/>
      <c r="Q9126" s="1"/>
      <c r="R9126" s="1"/>
      <c r="Z9126" s="103"/>
      <c r="AA9126" s="103"/>
      <c r="AB9126" s="1"/>
    </row>
    <row r="9127" spans="15:28">
      <c r="O9127" s="1"/>
      <c r="P9127" s="1"/>
      <c r="Q9127" s="1"/>
      <c r="R9127" s="1"/>
      <c r="Z9127" s="103"/>
      <c r="AA9127" s="103"/>
      <c r="AB9127" s="1"/>
    </row>
    <row r="9128" spans="15:28">
      <c r="O9128" s="1"/>
      <c r="P9128" s="1"/>
      <c r="Q9128" s="1"/>
      <c r="R9128" s="1"/>
      <c r="Z9128" s="103"/>
      <c r="AA9128" s="103"/>
      <c r="AB9128" s="1"/>
    </row>
    <row r="9129" spans="15:28">
      <c r="O9129" s="1"/>
      <c r="P9129" s="1"/>
      <c r="Q9129" s="1"/>
      <c r="R9129" s="1"/>
      <c r="Z9129" s="103"/>
      <c r="AA9129" s="103"/>
      <c r="AB9129" s="1"/>
    </row>
    <row r="9130" spans="15:28">
      <c r="O9130" s="1"/>
      <c r="P9130" s="1"/>
      <c r="Q9130" s="1"/>
      <c r="R9130" s="1"/>
      <c r="Z9130" s="103"/>
      <c r="AA9130" s="103"/>
      <c r="AB9130" s="1"/>
    </row>
    <row r="9131" spans="15:28">
      <c r="O9131" s="1"/>
      <c r="P9131" s="1"/>
      <c r="Q9131" s="1"/>
      <c r="R9131" s="1"/>
      <c r="Z9131" s="103"/>
      <c r="AA9131" s="103"/>
      <c r="AB9131" s="1"/>
    </row>
    <row r="9132" spans="15:28">
      <c r="O9132" s="1"/>
      <c r="P9132" s="1"/>
      <c r="Q9132" s="1"/>
      <c r="R9132" s="1"/>
      <c r="Z9132" s="103"/>
      <c r="AA9132" s="103"/>
      <c r="AB9132" s="1"/>
    </row>
    <row r="9133" spans="15:28">
      <c r="O9133" s="1"/>
      <c r="P9133" s="1"/>
      <c r="Q9133" s="1"/>
      <c r="R9133" s="1"/>
      <c r="Z9133" s="103"/>
      <c r="AA9133" s="103"/>
      <c r="AB9133" s="1"/>
    </row>
    <row r="9134" spans="15:28">
      <c r="O9134" s="1"/>
      <c r="P9134" s="1"/>
      <c r="Q9134" s="1"/>
      <c r="R9134" s="1"/>
      <c r="Z9134" s="103"/>
      <c r="AA9134" s="103"/>
      <c r="AB9134" s="1"/>
    </row>
    <row r="9135" spans="15:28">
      <c r="O9135" s="1"/>
      <c r="P9135" s="1"/>
      <c r="Q9135" s="1"/>
      <c r="R9135" s="1"/>
      <c r="Z9135" s="103"/>
      <c r="AA9135" s="103"/>
      <c r="AB9135" s="1"/>
    </row>
    <row r="9136" spans="15:28">
      <c r="O9136" s="1"/>
      <c r="P9136" s="1"/>
      <c r="Q9136" s="1"/>
      <c r="R9136" s="1"/>
      <c r="Z9136" s="103"/>
      <c r="AA9136" s="103"/>
      <c r="AB9136" s="1"/>
    </row>
    <row r="9137" spans="15:28">
      <c r="O9137" s="1"/>
      <c r="P9137" s="1"/>
      <c r="Q9137" s="1"/>
      <c r="R9137" s="1"/>
      <c r="Z9137" s="103"/>
      <c r="AA9137" s="103"/>
      <c r="AB9137" s="1"/>
    </row>
    <row r="9138" spans="15:28">
      <c r="O9138" s="1"/>
      <c r="P9138" s="1"/>
      <c r="Q9138" s="1"/>
      <c r="R9138" s="1"/>
      <c r="Z9138" s="103"/>
      <c r="AA9138" s="103"/>
      <c r="AB9138" s="1"/>
    </row>
    <row r="9139" spans="15:28">
      <c r="O9139" s="1"/>
      <c r="P9139" s="1"/>
      <c r="Q9139" s="1"/>
      <c r="R9139" s="1"/>
      <c r="Z9139" s="103"/>
      <c r="AA9139" s="103"/>
      <c r="AB9139" s="1"/>
    </row>
    <row r="9140" spans="15:28">
      <c r="O9140" s="1"/>
      <c r="P9140" s="1"/>
      <c r="Q9140" s="1"/>
      <c r="R9140" s="1"/>
      <c r="Z9140" s="103"/>
      <c r="AA9140" s="103"/>
      <c r="AB9140" s="1"/>
    </row>
    <row r="9141" spans="15:28">
      <c r="O9141" s="1"/>
      <c r="P9141" s="1"/>
      <c r="Q9141" s="1"/>
      <c r="R9141" s="1"/>
      <c r="Z9141" s="103"/>
      <c r="AA9141" s="103"/>
      <c r="AB9141" s="1"/>
    </row>
    <row r="9142" spans="15:28">
      <c r="O9142" s="1"/>
      <c r="P9142" s="1"/>
      <c r="Q9142" s="1"/>
      <c r="R9142" s="1"/>
      <c r="Z9142" s="103"/>
      <c r="AA9142" s="103"/>
      <c r="AB9142" s="1"/>
    </row>
    <row r="9143" spans="15:28">
      <c r="O9143" s="1"/>
      <c r="P9143" s="1"/>
      <c r="Q9143" s="1"/>
      <c r="R9143" s="1"/>
      <c r="Z9143" s="103"/>
      <c r="AA9143" s="103"/>
      <c r="AB9143" s="1"/>
    </row>
    <row r="9144" spans="15:28">
      <c r="O9144" s="1"/>
      <c r="P9144" s="1"/>
      <c r="Q9144" s="1"/>
      <c r="R9144" s="1"/>
      <c r="Z9144" s="103"/>
      <c r="AA9144" s="103"/>
      <c r="AB9144" s="1"/>
    </row>
    <row r="9145" spans="15:28">
      <c r="O9145" s="1"/>
      <c r="P9145" s="1"/>
      <c r="Q9145" s="1"/>
      <c r="R9145" s="1"/>
      <c r="Z9145" s="103"/>
      <c r="AA9145" s="103"/>
      <c r="AB9145" s="1"/>
    </row>
    <row r="9146" spans="15:28">
      <c r="O9146" s="1"/>
      <c r="P9146" s="1"/>
      <c r="Q9146" s="1"/>
      <c r="R9146" s="1"/>
      <c r="Z9146" s="103"/>
      <c r="AA9146" s="103"/>
      <c r="AB9146" s="1"/>
    </row>
    <row r="9147" spans="15:28">
      <c r="O9147" s="1"/>
      <c r="P9147" s="1"/>
      <c r="Q9147" s="1"/>
      <c r="R9147" s="1"/>
      <c r="Z9147" s="103"/>
      <c r="AA9147" s="103"/>
      <c r="AB9147" s="1"/>
    </row>
    <row r="9148" spans="15:28">
      <c r="O9148" s="1"/>
      <c r="P9148" s="1"/>
      <c r="Q9148" s="1"/>
      <c r="R9148" s="1"/>
      <c r="Z9148" s="103"/>
      <c r="AA9148" s="103"/>
      <c r="AB9148" s="1"/>
    </row>
    <row r="9149" spans="15:28">
      <c r="O9149" s="1"/>
      <c r="P9149" s="1"/>
      <c r="Q9149" s="1"/>
      <c r="R9149" s="1"/>
      <c r="Z9149" s="103"/>
      <c r="AA9149" s="103"/>
      <c r="AB9149" s="1"/>
    </row>
    <row r="9150" spans="15:28">
      <c r="O9150" s="1"/>
      <c r="P9150" s="1"/>
      <c r="Q9150" s="1"/>
      <c r="R9150" s="1"/>
      <c r="Z9150" s="103"/>
      <c r="AA9150" s="103"/>
      <c r="AB9150" s="1"/>
    </row>
    <row r="9151" spans="15:28">
      <c r="O9151" s="1"/>
      <c r="P9151" s="1"/>
      <c r="Q9151" s="1"/>
      <c r="R9151" s="1"/>
      <c r="Z9151" s="103"/>
      <c r="AA9151" s="103"/>
      <c r="AB9151" s="1"/>
    </row>
    <row r="9152" spans="15:28">
      <c r="O9152" s="1"/>
      <c r="P9152" s="1"/>
      <c r="Q9152" s="1"/>
      <c r="R9152" s="1"/>
      <c r="Z9152" s="103"/>
      <c r="AA9152" s="103"/>
      <c r="AB9152" s="1"/>
    </row>
    <row r="9153" spans="15:28">
      <c r="O9153" s="1"/>
      <c r="P9153" s="1"/>
      <c r="Q9153" s="1"/>
      <c r="R9153" s="1"/>
      <c r="Z9153" s="103"/>
      <c r="AA9153" s="103"/>
      <c r="AB9153" s="1"/>
    </row>
    <row r="9154" spans="15:28">
      <c r="O9154" s="1"/>
      <c r="P9154" s="1"/>
      <c r="Q9154" s="1"/>
      <c r="R9154" s="1"/>
      <c r="Z9154" s="103"/>
      <c r="AA9154" s="103"/>
      <c r="AB9154" s="1"/>
    </row>
    <row r="9155" spans="15:28">
      <c r="O9155" s="1"/>
      <c r="P9155" s="1"/>
      <c r="Q9155" s="1"/>
      <c r="R9155" s="1"/>
      <c r="Z9155" s="103"/>
      <c r="AA9155" s="103"/>
      <c r="AB9155" s="1"/>
    </row>
    <row r="9156" spans="15:28">
      <c r="O9156" s="1"/>
      <c r="P9156" s="1"/>
      <c r="Q9156" s="1"/>
      <c r="R9156" s="1"/>
      <c r="Z9156" s="103"/>
      <c r="AA9156" s="103"/>
      <c r="AB9156" s="1"/>
    </row>
    <row r="9157" spans="15:28">
      <c r="O9157" s="1"/>
      <c r="P9157" s="1"/>
      <c r="Q9157" s="1"/>
      <c r="R9157" s="1"/>
      <c r="Z9157" s="103"/>
      <c r="AA9157" s="103"/>
      <c r="AB9157" s="1"/>
    </row>
    <row r="9158" spans="15:28">
      <c r="O9158" s="1"/>
      <c r="P9158" s="1"/>
      <c r="Q9158" s="1"/>
      <c r="R9158" s="1"/>
      <c r="Z9158" s="103"/>
      <c r="AA9158" s="103"/>
      <c r="AB9158" s="1"/>
    </row>
    <row r="9159" spans="15:28">
      <c r="O9159" s="1"/>
      <c r="P9159" s="1"/>
      <c r="Q9159" s="1"/>
      <c r="R9159" s="1"/>
      <c r="Z9159" s="103"/>
      <c r="AA9159" s="103"/>
      <c r="AB9159" s="1"/>
    </row>
    <row r="9160" spans="15:28">
      <c r="O9160" s="1"/>
      <c r="P9160" s="1"/>
      <c r="Q9160" s="1"/>
      <c r="R9160" s="1"/>
      <c r="Z9160" s="103"/>
      <c r="AA9160" s="103"/>
      <c r="AB9160" s="1"/>
    </row>
    <row r="9161" spans="15:28">
      <c r="O9161" s="1"/>
      <c r="P9161" s="1"/>
      <c r="Q9161" s="1"/>
      <c r="R9161" s="1"/>
      <c r="Z9161" s="103"/>
      <c r="AA9161" s="103"/>
      <c r="AB9161" s="1"/>
    </row>
    <row r="9162" spans="15:28">
      <c r="O9162" s="1"/>
      <c r="P9162" s="1"/>
      <c r="Q9162" s="1"/>
      <c r="R9162" s="1"/>
      <c r="Z9162" s="103"/>
      <c r="AA9162" s="103"/>
      <c r="AB9162" s="1"/>
    </row>
    <row r="9163" spans="15:28">
      <c r="O9163" s="1"/>
      <c r="P9163" s="1"/>
      <c r="Q9163" s="1"/>
      <c r="R9163" s="1"/>
      <c r="Z9163" s="103"/>
      <c r="AA9163" s="103"/>
      <c r="AB9163" s="1"/>
    </row>
    <row r="9164" spans="15:28">
      <c r="O9164" s="1"/>
      <c r="P9164" s="1"/>
      <c r="Q9164" s="1"/>
      <c r="R9164" s="1"/>
      <c r="Z9164" s="103"/>
      <c r="AA9164" s="103"/>
      <c r="AB9164" s="1"/>
    </row>
    <row r="9165" spans="15:28">
      <c r="O9165" s="1"/>
      <c r="P9165" s="1"/>
      <c r="Q9165" s="1"/>
      <c r="R9165" s="1"/>
      <c r="Z9165" s="103"/>
      <c r="AA9165" s="103"/>
      <c r="AB9165" s="1"/>
    </row>
    <row r="9166" spans="15:28">
      <c r="O9166" s="1"/>
      <c r="P9166" s="1"/>
      <c r="Q9166" s="1"/>
      <c r="R9166" s="1"/>
      <c r="Z9166" s="103"/>
      <c r="AA9166" s="103"/>
      <c r="AB9166" s="1"/>
    </row>
    <row r="9167" spans="15:28">
      <c r="O9167" s="1"/>
      <c r="P9167" s="1"/>
      <c r="Q9167" s="1"/>
      <c r="R9167" s="1"/>
      <c r="Z9167" s="103"/>
      <c r="AA9167" s="103"/>
      <c r="AB9167" s="1"/>
    </row>
    <row r="9168" spans="15:28">
      <c r="O9168" s="1"/>
      <c r="P9168" s="1"/>
      <c r="Q9168" s="1"/>
      <c r="R9168" s="1"/>
      <c r="Z9168" s="103"/>
      <c r="AA9168" s="103"/>
      <c r="AB9168" s="1"/>
    </row>
    <row r="9169" spans="15:28">
      <c r="O9169" s="1"/>
      <c r="P9169" s="1"/>
      <c r="Q9169" s="1"/>
      <c r="R9169" s="1"/>
      <c r="Z9169" s="103"/>
      <c r="AA9169" s="103"/>
      <c r="AB9169" s="1"/>
    </row>
    <row r="9170" spans="15:28">
      <c r="O9170" s="1"/>
      <c r="P9170" s="1"/>
      <c r="Q9170" s="1"/>
      <c r="R9170" s="1"/>
      <c r="Z9170" s="103"/>
      <c r="AA9170" s="103"/>
      <c r="AB9170" s="1"/>
    </row>
    <row r="9171" spans="15:28">
      <c r="O9171" s="1"/>
      <c r="P9171" s="1"/>
      <c r="Q9171" s="1"/>
      <c r="R9171" s="1"/>
      <c r="Z9171" s="103"/>
      <c r="AA9171" s="103"/>
      <c r="AB9171" s="1"/>
    </row>
    <row r="9172" spans="15:28">
      <c r="O9172" s="1"/>
      <c r="P9172" s="1"/>
      <c r="Q9172" s="1"/>
      <c r="R9172" s="1"/>
      <c r="Z9172" s="103"/>
      <c r="AA9172" s="103"/>
      <c r="AB9172" s="1"/>
    </row>
    <row r="9173" spans="15:28">
      <c r="O9173" s="1"/>
      <c r="P9173" s="1"/>
      <c r="Q9173" s="1"/>
      <c r="R9173" s="1"/>
      <c r="Z9173" s="103"/>
      <c r="AA9173" s="103"/>
      <c r="AB9173" s="1"/>
    </row>
    <row r="9174" spans="15:28">
      <c r="O9174" s="1"/>
      <c r="P9174" s="1"/>
      <c r="Q9174" s="1"/>
      <c r="R9174" s="1"/>
      <c r="Z9174" s="103"/>
      <c r="AA9174" s="103"/>
      <c r="AB9174" s="1"/>
    </row>
    <row r="9175" spans="15:28">
      <c r="O9175" s="1"/>
      <c r="P9175" s="1"/>
      <c r="Q9175" s="1"/>
      <c r="R9175" s="1"/>
      <c r="Z9175" s="103"/>
      <c r="AA9175" s="103"/>
      <c r="AB9175" s="1"/>
    </row>
    <row r="9176" spans="15:28">
      <c r="O9176" s="1"/>
      <c r="P9176" s="1"/>
      <c r="Q9176" s="1"/>
      <c r="R9176" s="1"/>
      <c r="Z9176" s="103"/>
      <c r="AA9176" s="103"/>
      <c r="AB9176" s="1"/>
    </row>
    <row r="9177" spans="15:28">
      <c r="O9177" s="1"/>
      <c r="P9177" s="1"/>
      <c r="Q9177" s="1"/>
      <c r="R9177" s="1"/>
      <c r="Z9177" s="103"/>
      <c r="AA9177" s="103"/>
      <c r="AB9177" s="1"/>
    </row>
    <row r="9178" spans="15:28">
      <c r="O9178" s="1"/>
      <c r="P9178" s="1"/>
      <c r="Q9178" s="1"/>
      <c r="R9178" s="1"/>
      <c r="Z9178" s="103"/>
      <c r="AA9178" s="103"/>
      <c r="AB9178" s="1"/>
    </row>
    <row r="9179" spans="15:28">
      <c r="O9179" s="1"/>
      <c r="P9179" s="1"/>
      <c r="Q9179" s="1"/>
      <c r="R9179" s="1"/>
      <c r="Z9179" s="103"/>
      <c r="AA9179" s="103"/>
      <c r="AB9179" s="1"/>
    </row>
    <row r="9180" spans="15:28">
      <c r="O9180" s="1"/>
      <c r="P9180" s="1"/>
      <c r="Q9180" s="1"/>
      <c r="R9180" s="1"/>
      <c r="Z9180" s="103"/>
      <c r="AA9180" s="103"/>
      <c r="AB9180" s="1"/>
    </row>
    <row r="9181" spans="15:28">
      <c r="O9181" s="1"/>
      <c r="P9181" s="1"/>
      <c r="Q9181" s="1"/>
      <c r="R9181" s="1"/>
      <c r="Z9181" s="103"/>
      <c r="AA9181" s="103"/>
      <c r="AB9181" s="1"/>
    </row>
    <row r="9182" spans="15:28">
      <c r="O9182" s="1"/>
      <c r="P9182" s="1"/>
      <c r="Q9182" s="1"/>
      <c r="R9182" s="1"/>
      <c r="Z9182" s="103"/>
      <c r="AA9182" s="103"/>
      <c r="AB9182" s="1"/>
    </row>
    <row r="9183" spans="15:28">
      <c r="O9183" s="1"/>
      <c r="P9183" s="1"/>
      <c r="Q9183" s="1"/>
      <c r="R9183" s="1"/>
      <c r="Z9183" s="103"/>
      <c r="AA9183" s="103"/>
      <c r="AB9183" s="1"/>
    </row>
    <row r="9184" spans="15:28">
      <c r="O9184" s="1"/>
      <c r="P9184" s="1"/>
      <c r="Q9184" s="1"/>
      <c r="R9184" s="1"/>
      <c r="Z9184" s="103"/>
      <c r="AA9184" s="103"/>
      <c r="AB9184" s="1"/>
    </row>
    <row r="9185" spans="15:28">
      <c r="O9185" s="1"/>
      <c r="P9185" s="1"/>
      <c r="Q9185" s="1"/>
      <c r="R9185" s="1"/>
      <c r="Z9185" s="103"/>
      <c r="AA9185" s="103"/>
      <c r="AB9185" s="1"/>
    </row>
    <row r="9186" spans="15:28">
      <c r="O9186" s="1"/>
      <c r="P9186" s="1"/>
      <c r="Q9186" s="1"/>
      <c r="R9186" s="1"/>
      <c r="Z9186" s="103"/>
      <c r="AA9186" s="103"/>
      <c r="AB9186" s="1"/>
    </row>
    <row r="9187" spans="15:28">
      <c r="O9187" s="1"/>
      <c r="P9187" s="1"/>
      <c r="Q9187" s="1"/>
      <c r="R9187" s="1"/>
      <c r="Z9187" s="103"/>
      <c r="AA9187" s="103"/>
      <c r="AB9187" s="1"/>
    </row>
    <row r="9188" spans="15:28">
      <c r="O9188" s="1"/>
      <c r="P9188" s="1"/>
      <c r="Q9188" s="1"/>
      <c r="R9188" s="1"/>
      <c r="Z9188" s="103"/>
      <c r="AA9188" s="103"/>
      <c r="AB9188" s="1"/>
    </row>
    <row r="9189" spans="15:28">
      <c r="O9189" s="1"/>
      <c r="P9189" s="1"/>
      <c r="Q9189" s="1"/>
      <c r="R9189" s="1"/>
      <c r="Z9189" s="103"/>
      <c r="AA9189" s="103"/>
      <c r="AB9189" s="1"/>
    </row>
    <row r="9190" spans="15:28">
      <c r="O9190" s="1"/>
      <c r="P9190" s="1"/>
      <c r="Q9190" s="1"/>
      <c r="R9190" s="1"/>
      <c r="Z9190" s="103"/>
      <c r="AA9190" s="103"/>
      <c r="AB9190" s="1"/>
    </row>
    <row r="9191" spans="15:28">
      <c r="O9191" s="1"/>
      <c r="P9191" s="1"/>
      <c r="Q9191" s="1"/>
      <c r="R9191" s="1"/>
      <c r="Z9191" s="103"/>
      <c r="AA9191" s="103"/>
      <c r="AB9191" s="1"/>
    </row>
    <row r="9192" spans="15:28">
      <c r="O9192" s="1"/>
      <c r="P9192" s="1"/>
      <c r="Q9192" s="1"/>
      <c r="R9192" s="1"/>
      <c r="Z9192" s="103"/>
      <c r="AA9192" s="103"/>
      <c r="AB9192" s="1"/>
    </row>
    <row r="9193" spans="15:28">
      <c r="O9193" s="1"/>
      <c r="P9193" s="1"/>
      <c r="Q9193" s="1"/>
      <c r="R9193" s="1"/>
      <c r="Z9193" s="103"/>
      <c r="AA9193" s="103"/>
      <c r="AB9193" s="1"/>
    </row>
    <row r="9194" spans="15:28">
      <c r="O9194" s="1"/>
      <c r="P9194" s="1"/>
      <c r="Q9194" s="1"/>
      <c r="R9194" s="1"/>
      <c r="Z9194" s="103"/>
      <c r="AA9194" s="103"/>
      <c r="AB9194" s="1"/>
    </row>
    <row r="9195" spans="15:28">
      <c r="O9195" s="1"/>
      <c r="P9195" s="1"/>
      <c r="Q9195" s="1"/>
      <c r="R9195" s="1"/>
      <c r="Z9195" s="103"/>
      <c r="AA9195" s="103"/>
      <c r="AB9195" s="1"/>
    </row>
    <row r="9196" spans="15:28">
      <c r="O9196" s="1"/>
      <c r="P9196" s="1"/>
      <c r="Q9196" s="1"/>
      <c r="R9196" s="1"/>
      <c r="Z9196" s="103"/>
      <c r="AA9196" s="103"/>
      <c r="AB9196" s="1"/>
    </row>
    <row r="9197" spans="15:28">
      <c r="O9197" s="1"/>
      <c r="P9197" s="1"/>
      <c r="Q9197" s="1"/>
      <c r="R9197" s="1"/>
      <c r="Z9197" s="103"/>
      <c r="AA9197" s="103"/>
      <c r="AB9197" s="1"/>
    </row>
    <row r="9198" spans="15:28">
      <c r="O9198" s="1"/>
      <c r="P9198" s="1"/>
      <c r="Q9198" s="1"/>
      <c r="R9198" s="1"/>
      <c r="Z9198" s="103"/>
      <c r="AA9198" s="103"/>
      <c r="AB9198" s="1"/>
    </row>
    <row r="9199" spans="15:28">
      <c r="O9199" s="1"/>
      <c r="P9199" s="1"/>
      <c r="Q9199" s="1"/>
      <c r="R9199" s="1"/>
      <c r="Z9199" s="103"/>
      <c r="AA9199" s="103"/>
      <c r="AB9199" s="1"/>
    </row>
    <row r="9200" spans="15:28">
      <c r="O9200" s="1"/>
      <c r="P9200" s="1"/>
      <c r="Q9200" s="1"/>
      <c r="R9200" s="1"/>
      <c r="Z9200" s="103"/>
      <c r="AA9200" s="103"/>
      <c r="AB9200" s="1"/>
    </row>
    <row r="9201" spans="15:28">
      <c r="O9201" s="1"/>
      <c r="P9201" s="1"/>
      <c r="Q9201" s="1"/>
      <c r="R9201" s="1"/>
      <c r="Z9201" s="103"/>
      <c r="AA9201" s="103"/>
      <c r="AB9201" s="1"/>
    </row>
    <row r="9202" spans="15:28">
      <c r="O9202" s="1"/>
      <c r="P9202" s="1"/>
      <c r="Q9202" s="1"/>
      <c r="R9202" s="1"/>
      <c r="Z9202" s="103"/>
      <c r="AA9202" s="103"/>
      <c r="AB9202" s="1"/>
    </row>
    <row r="9203" spans="15:28">
      <c r="O9203" s="1"/>
      <c r="P9203" s="1"/>
      <c r="Q9203" s="1"/>
      <c r="R9203" s="1"/>
      <c r="Z9203" s="103"/>
      <c r="AA9203" s="103"/>
      <c r="AB9203" s="1"/>
    </row>
    <row r="9204" spans="15:28">
      <c r="O9204" s="1"/>
      <c r="P9204" s="1"/>
      <c r="Q9204" s="1"/>
      <c r="R9204" s="1"/>
      <c r="Z9204" s="103"/>
      <c r="AA9204" s="103"/>
      <c r="AB9204" s="1"/>
    </row>
    <row r="9205" spans="15:28">
      <c r="O9205" s="1"/>
      <c r="P9205" s="1"/>
      <c r="Q9205" s="1"/>
      <c r="R9205" s="1"/>
      <c r="Z9205" s="103"/>
      <c r="AA9205" s="103"/>
      <c r="AB9205" s="1"/>
    </row>
    <row r="9206" spans="15:28">
      <c r="O9206" s="1"/>
      <c r="P9206" s="1"/>
      <c r="Q9206" s="1"/>
      <c r="R9206" s="1"/>
      <c r="Z9206" s="103"/>
      <c r="AA9206" s="103"/>
      <c r="AB9206" s="1"/>
    </row>
    <row r="9207" spans="15:28">
      <c r="O9207" s="1"/>
      <c r="P9207" s="1"/>
      <c r="Q9207" s="1"/>
      <c r="R9207" s="1"/>
      <c r="Z9207" s="103"/>
      <c r="AA9207" s="103"/>
      <c r="AB9207" s="1"/>
    </row>
    <row r="9208" spans="15:28">
      <c r="O9208" s="1"/>
      <c r="P9208" s="1"/>
      <c r="Q9208" s="1"/>
      <c r="R9208" s="1"/>
      <c r="Z9208" s="103"/>
      <c r="AA9208" s="103"/>
      <c r="AB9208" s="1"/>
    </row>
    <row r="9209" spans="15:28">
      <c r="O9209" s="1"/>
      <c r="P9209" s="1"/>
      <c r="Q9209" s="1"/>
      <c r="R9209" s="1"/>
      <c r="Z9209" s="103"/>
      <c r="AA9209" s="103"/>
      <c r="AB9209" s="1"/>
    </row>
    <row r="9210" spans="15:28">
      <c r="O9210" s="1"/>
      <c r="P9210" s="1"/>
      <c r="Q9210" s="1"/>
      <c r="R9210" s="1"/>
      <c r="Z9210" s="103"/>
      <c r="AA9210" s="103"/>
      <c r="AB9210" s="1"/>
    </row>
    <row r="9211" spans="15:28">
      <c r="O9211" s="1"/>
      <c r="P9211" s="1"/>
      <c r="Q9211" s="1"/>
      <c r="R9211" s="1"/>
      <c r="Z9211" s="103"/>
      <c r="AA9211" s="103"/>
      <c r="AB9211" s="1"/>
    </row>
    <row r="9212" spans="15:28">
      <c r="O9212" s="1"/>
      <c r="P9212" s="1"/>
      <c r="Q9212" s="1"/>
      <c r="R9212" s="1"/>
      <c r="Z9212" s="103"/>
      <c r="AA9212" s="103"/>
      <c r="AB9212" s="1"/>
    </row>
    <row r="9213" spans="15:28">
      <c r="O9213" s="1"/>
      <c r="P9213" s="1"/>
      <c r="Q9213" s="1"/>
      <c r="R9213" s="1"/>
      <c r="Z9213" s="103"/>
      <c r="AA9213" s="103"/>
      <c r="AB9213" s="1"/>
    </row>
    <row r="9214" spans="15:28">
      <c r="O9214" s="1"/>
      <c r="P9214" s="1"/>
      <c r="Q9214" s="1"/>
      <c r="R9214" s="1"/>
      <c r="Z9214" s="103"/>
      <c r="AA9214" s="103"/>
      <c r="AB9214" s="1"/>
    </row>
    <row r="9215" spans="15:28">
      <c r="O9215" s="1"/>
      <c r="P9215" s="1"/>
      <c r="Q9215" s="1"/>
      <c r="R9215" s="1"/>
      <c r="Z9215" s="103"/>
      <c r="AA9215" s="103"/>
      <c r="AB9215" s="1"/>
    </row>
    <row r="9216" spans="15:28">
      <c r="O9216" s="1"/>
      <c r="P9216" s="1"/>
      <c r="Q9216" s="1"/>
      <c r="R9216" s="1"/>
      <c r="Z9216" s="103"/>
      <c r="AA9216" s="103"/>
      <c r="AB9216" s="1"/>
    </row>
    <row r="9217" spans="15:28">
      <c r="O9217" s="1"/>
      <c r="P9217" s="1"/>
      <c r="Q9217" s="1"/>
      <c r="R9217" s="1"/>
      <c r="Z9217" s="103"/>
      <c r="AA9217" s="103"/>
      <c r="AB9217" s="1"/>
    </row>
    <row r="9218" spans="15:28">
      <c r="O9218" s="1"/>
      <c r="P9218" s="1"/>
      <c r="Q9218" s="1"/>
      <c r="R9218" s="1"/>
      <c r="Z9218" s="103"/>
      <c r="AA9218" s="103"/>
      <c r="AB9218" s="1"/>
    </row>
    <row r="9219" spans="15:28">
      <c r="O9219" s="1"/>
      <c r="P9219" s="1"/>
      <c r="Q9219" s="1"/>
      <c r="R9219" s="1"/>
      <c r="Z9219" s="103"/>
      <c r="AA9219" s="103"/>
      <c r="AB9219" s="1"/>
    </row>
    <row r="9220" spans="15:28">
      <c r="O9220" s="1"/>
      <c r="P9220" s="1"/>
      <c r="Q9220" s="1"/>
      <c r="R9220" s="1"/>
      <c r="Z9220" s="103"/>
      <c r="AA9220" s="103"/>
      <c r="AB9220" s="1"/>
    </row>
    <row r="9221" spans="15:28">
      <c r="O9221" s="1"/>
      <c r="P9221" s="1"/>
      <c r="Q9221" s="1"/>
      <c r="R9221" s="1"/>
      <c r="Z9221" s="103"/>
      <c r="AA9221" s="103"/>
      <c r="AB9221" s="1"/>
    </row>
    <row r="9222" spans="15:28">
      <c r="O9222" s="1"/>
      <c r="P9222" s="1"/>
      <c r="Q9222" s="1"/>
      <c r="R9222" s="1"/>
      <c r="Z9222" s="103"/>
      <c r="AA9222" s="103"/>
      <c r="AB9222" s="1"/>
    </row>
    <row r="9223" spans="15:28">
      <c r="O9223" s="1"/>
      <c r="P9223" s="1"/>
      <c r="Q9223" s="1"/>
      <c r="R9223" s="1"/>
      <c r="Z9223" s="103"/>
      <c r="AA9223" s="103"/>
      <c r="AB9223" s="1"/>
    </row>
    <row r="9224" spans="15:28">
      <c r="O9224" s="1"/>
      <c r="P9224" s="1"/>
      <c r="Q9224" s="1"/>
      <c r="R9224" s="1"/>
      <c r="Z9224" s="103"/>
      <c r="AA9224" s="103"/>
      <c r="AB9224" s="1"/>
    </row>
    <row r="9225" spans="15:28">
      <c r="O9225" s="1"/>
      <c r="P9225" s="1"/>
      <c r="Q9225" s="1"/>
      <c r="R9225" s="1"/>
      <c r="Z9225" s="103"/>
      <c r="AA9225" s="103"/>
      <c r="AB9225" s="1"/>
    </row>
    <row r="9226" spans="15:28">
      <c r="O9226" s="1"/>
      <c r="P9226" s="1"/>
      <c r="Q9226" s="1"/>
      <c r="R9226" s="1"/>
      <c r="Z9226" s="103"/>
      <c r="AA9226" s="103"/>
      <c r="AB9226" s="1"/>
    </row>
    <row r="9227" spans="15:28">
      <c r="O9227" s="1"/>
      <c r="P9227" s="1"/>
      <c r="Q9227" s="1"/>
      <c r="R9227" s="1"/>
      <c r="Z9227" s="103"/>
      <c r="AA9227" s="103"/>
      <c r="AB9227" s="1"/>
    </row>
    <row r="9228" spans="15:28">
      <c r="O9228" s="1"/>
      <c r="P9228" s="1"/>
      <c r="Q9228" s="1"/>
      <c r="R9228" s="1"/>
      <c r="Z9228" s="103"/>
      <c r="AA9228" s="103"/>
      <c r="AB9228" s="1"/>
    </row>
    <row r="9229" spans="15:28">
      <c r="O9229" s="1"/>
      <c r="P9229" s="1"/>
      <c r="Q9229" s="1"/>
      <c r="R9229" s="1"/>
      <c r="Z9229" s="103"/>
      <c r="AA9229" s="103"/>
      <c r="AB9229" s="1"/>
    </row>
    <row r="9230" spans="15:28">
      <c r="O9230" s="1"/>
      <c r="P9230" s="1"/>
      <c r="Q9230" s="1"/>
      <c r="R9230" s="1"/>
      <c r="Z9230" s="103"/>
      <c r="AA9230" s="103"/>
      <c r="AB9230" s="1"/>
    </row>
    <row r="9231" spans="15:28">
      <c r="O9231" s="1"/>
      <c r="P9231" s="1"/>
      <c r="Q9231" s="1"/>
      <c r="R9231" s="1"/>
      <c r="Z9231" s="103"/>
      <c r="AA9231" s="103"/>
      <c r="AB9231" s="1"/>
    </row>
    <row r="9232" spans="15:28">
      <c r="O9232" s="1"/>
      <c r="P9232" s="1"/>
      <c r="Q9232" s="1"/>
      <c r="R9232" s="1"/>
      <c r="Z9232" s="103"/>
      <c r="AA9232" s="103"/>
      <c r="AB9232" s="1"/>
    </row>
    <row r="9233" spans="15:28">
      <c r="O9233" s="1"/>
      <c r="P9233" s="1"/>
      <c r="Q9233" s="1"/>
      <c r="R9233" s="1"/>
      <c r="Z9233" s="103"/>
      <c r="AA9233" s="103"/>
      <c r="AB9233" s="1"/>
    </row>
    <row r="9234" spans="15:28">
      <c r="O9234" s="1"/>
      <c r="P9234" s="1"/>
      <c r="Q9234" s="1"/>
      <c r="R9234" s="1"/>
      <c r="Z9234" s="103"/>
      <c r="AA9234" s="103"/>
      <c r="AB9234" s="1"/>
    </row>
    <row r="9235" spans="15:28">
      <c r="O9235" s="1"/>
      <c r="P9235" s="1"/>
      <c r="Q9235" s="1"/>
      <c r="R9235" s="1"/>
      <c r="Z9235" s="103"/>
      <c r="AA9235" s="103"/>
      <c r="AB9235" s="1"/>
    </row>
    <row r="9236" spans="15:28">
      <c r="O9236" s="1"/>
      <c r="P9236" s="1"/>
      <c r="Q9236" s="1"/>
      <c r="R9236" s="1"/>
      <c r="Z9236" s="103"/>
      <c r="AA9236" s="103"/>
      <c r="AB9236" s="1"/>
    </row>
    <row r="9237" spans="15:28">
      <c r="O9237" s="1"/>
      <c r="P9237" s="1"/>
      <c r="Q9237" s="1"/>
      <c r="R9237" s="1"/>
      <c r="Z9237" s="103"/>
      <c r="AA9237" s="103"/>
      <c r="AB9237" s="1"/>
    </row>
    <row r="9238" spans="15:28">
      <c r="O9238" s="1"/>
      <c r="P9238" s="1"/>
      <c r="Q9238" s="1"/>
      <c r="R9238" s="1"/>
      <c r="Z9238" s="103"/>
      <c r="AA9238" s="103"/>
      <c r="AB9238" s="1"/>
    </row>
    <row r="9239" spans="15:28">
      <c r="O9239" s="1"/>
      <c r="P9239" s="1"/>
      <c r="Q9239" s="1"/>
      <c r="R9239" s="1"/>
      <c r="Z9239" s="103"/>
      <c r="AA9239" s="103"/>
      <c r="AB9239" s="1"/>
    </row>
    <row r="9240" spans="15:28">
      <c r="O9240" s="1"/>
      <c r="P9240" s="1"/>
      <c r="Q9240" s="1"/>
      <c r="R9240" s="1"/>
      <c r="Z9240" s="103"/>
      <c r="AA9240" s="103"/>
      <c r="AB9240" s="1"/>
    </row>
    <row r="9241" spans="15:28">
      <c r="O9241" s="1"/>
      <c r="P9241" s="1"/>
      <c r="Q9241" s="1"/>
      <c r="R9241" s="1"/>
      <c r="Z9241" s="103"/>
      <c r="AA9241" s="103"/>
      <c r="AB9241" s="1"/>
    </row>
    <row r="9242" spans="15:28">
      <c r="O9242" s="1"/>
      <c r="P9242" s="1"/>
      <c r="Q9242" s="1"/>
      <c r="R9242" s="1"/>
      <c r="Z9242" s="103"/>
      <c r="AA9242" s="103"/>
      <c r="AB9242" s="1"/>
    </row>
    <row r="9243" spans="15:28">
      <c r="O9243" s="1"/>
      <c r="P9243" s="1"/>
      <c r="Q9243" s="1"/>
      <c r="R9243" s="1"/>
      <c r="Z9243" s="103"/>
      <c r="AA9243" s="103"/>
      <c r="AB9243" s="1"/>
    </row>
    <row r="9244" spans="15:28">
      <c r="O9244" s="1"/>
      <c r="P9244" s="1"/>
      <c r="Q9244" s="1"/>
      <c r="R9244" s="1"/>
      <c r="Z9244" s="103"/>
      <c r="AA9244" s="103"/>
      <c r="AB9244" s="1"/>
    </row>
    <row r="9245" spans="15:28">
      <c r="O9245" s="1"/>
      <c r="P9245" s="1"/>
      <c r="Q9245" s="1"/>
      <c r="R9245" s="1"/>
      <c r="Z9245" s="103"/>
      <c r="AA9245" s="103"/>
      <c r="AB9245" s="1"/>
    </row>
    <row r="9246" spans="15:28">
      <c r="O9246" s="1"/>
      <c r="P9246" s="1"/>
      <c r="Q9246" s="1"/>
      <c r="R9246" s="1"/>
      <c r="Z9246" s="103"/>
      <c r="AA9246" s="103"/>
      <c r="AB9246" s="1"/>
    </row>
    <row r="9247" spans="15:28">
      <c r="O9247" s="1"/>
      <c r="P9247" s="1"/>
      <c r="Q9247" s="1"/>
      <c r="R9247" s="1"/>
      <c r="Z9247" s="103"/>
      <c r="AA9247" s="103"/>
      <c r="AB9247" s="1"/>
    </row>
    <row r="9248" spans="15:28">
      <c r="O9248" s="1"/>
      <c r="P9248" s="1"/>
      <c r="Q9248" s="1"/>
      <c r="R9248" s="1"/>
      <c r="Z9248" s="103"/>
      <c r="AA9248" s="103"/>
      <c r="AB9248" s="1"/>
    </row>
    <row r="9249" spans="15:28">
      <c r="O9249" s="1"/>
      <c r="P9249" s="1"/>
      <c r="Q9249" s="1"/>
      <c r="R9249" s="1"/>
      <c r="Z9249" s="103"/>
      <c r="AA9249" s="103"/>
      <c r="AB9249" s="1"/>
    </row>
    <row r="9250" spans="15:28">
      <c r="O9250" s="1"/>
      <c r="P9250" s="1"/>
      <c r="Q9250" s="1"/>
      <c r="R9250" s="1"/>
      <c r="Z9250" s="103"/>
      <c r="AA9250" s="103"/>
      <c r="AB9250" s="1"/>
    </row>
    <row r="9251" spans="15:28">
      <c r="O9251" s="1"/>
      <c r="P9251" s="1"/>
      <c r="Q9251" s="1"/>
      <c r="R9251" s="1"/>
      <c r="Z9251" s="103"/>
      <c r="AA9251" s="103"/>
      <c r="AB9251" s="1"/>
    </row>
    <row r="9252" spans="15:28">
      <c r="O9252" s="1"/>
      <c r="P9252" s="1"/>
      <c r="Q9252" s="1"/>
      <c r="R9252" s="1"/>
      <c r="Z9252" s="103"/>
      <c r="AA9252" s="103"/>
      <c r="AB9252" s="1"/>
    </row>
    <row r="9253" spans="15:28">
      <c r="O9253" s="1"/>
      <c r="P9253" s="1"/>
      <c r="Q9253" s="1"/>
      <c r="R9253" s="1"/>
      <c r="Z9253" s="103"/>
      <c r="AA9253" s="103"/>
      <c r="AB9253" s="1"/>
    </row>
    <row r="9254" spans="15:28">
      <c r="O9254" s="1"/>
      <c r="P9254" s="1"/>
      <c r="Q9254" s="1"/>
      <c r="R9254" s="1"/>
      <c r="Z9254" s="103"/>
      <c r="AA9254" s="103"/>
      <c r="AB9254" s="1"/>
    </row>
    <row r="9255" spans="15:28">
      <c r="O9255" s="1"/>
      <c r="P9255" s="1"/>
      <c r="Q9255" s="1"/>
      <c r="R9255" s="1"/>
      <c r="Z9255" s="103"/>
      <c r="AA9255" s="103"/>
      <c r="AB9255" s="1"/>
    </row>
    <row r="9256" spans="15:28">
      <c r="O9256" s="1"/>
      <c r="P9256" s="1"/>
      <c r="Q9256" s="1"/>
      <c r="R9256" s="1"/>
      <c r="Z9256" s="103"/>
      <c r="AA9256" s="103"/>
      <c r="AB9256" s="1"/>
    </row>
    <row r="9257" spans="15:28">
      <c r="O9257" s="1"/>
      <c r="P9257" s="1"/>
      <c r="Q9257" s="1"/>
      <c r="R9257" s="1"/>
      <c r="Z9257" s="103"/>
      <c r="AA9257" s="103"/>
      <c r="AB9257" s="1"/>
    </row>
    <row r="9258" spans="15:28">
      <c r="O9258" s="1"/>
      <c r="P9258" s="1"/>
      <c r="Q9258" s="1"/>
      <c r="R9258" s="1"/>
      <c r="Z9258" s="103"/>
      <c r="AA9258" s="103"/>
      <c r="AB9258" s="1"/>
    </row>
    <row r="9259" spans="15:28">
      <c r="O9259" s="1"/>
      <c r="P9259" s="1"/>
      <c r="Q9259" s="1"/>
      <c r="R9259" s="1"/>
      <c r="Z9259" s="103"/>
      <c r="AA9259" s="103"/>
      <c r="AB9259" s="1"/>
    </row>
    <row r="9260" spans="15:28">
      <c r="O9260" s="1"/>
      <c r="P9260" s="1"/>
      <c r="Q9260" s="1"/>
      <c r="R9260" s="1"/>
      <c r="Z9260" s="103"/>
      <c r="AA9260" s="103"/>
      <c r="AB9260" s="1"/>
    </row>
    <row r="9261" spans="15:28">
      <c r="O9261" s="1"/>
      <c r="P9261" s="1"/>
      <c r="Q9261" s="1"/>
      <c r="R9261" s="1"/>
      <c r="Z9261" s="103"/>
      <c r="AA9261" s="103"/>
      <c r="AB9261" s="1"/>
    </row>
    <row r="9262" spans="15:28">
      <c r="O9262" s="1"/>
      <c r="P9262" s="1"/>
      <c r="Q9262" s="1"/>
      <c r="R9262" s="1"/>
      <c r="Z9262" s="103"/>
      <c r="AA9262" s="103"/>
      <c r="AB9262" s="1"/>
    </row>
    <row r="9263" spans="15:28">
      <c r="O9263" s="1"/>
      <c r="P9263" s="1"/>
      <c r="Q9263" s="1"/>
      <c r="R9263" s="1"/>
      <c r="Z9263" s="103"/>
      <c r="AA9263" s="103"/>
      <c r="AB9263" s="1"/>
    </row>
    <row r="9264" spans="15:28">
      <c r="O9264" s="1"/>
      <c r="P9264" s="1"/>
      <c r="Q9264" s="1"/>
      <c r="R9264" s="1"/>
      <c r="Z9264" s="103"/>
      <c r="AA9264" s="103"/>
      <c r="AB9264" s="1"/>
    </row>
    <row r="9265" spans="15:28">
      <c r="O9265" s="1"/>
      <c r="P9265" s="1"/>
      <c r="Q9265" s="1"/>
      <c r="R9265" s="1"/>
      <c r="Z9265" s="103"/>
      <c r="AA9265" s="103"/>
      <c r="AB9265" s="1"/>
    </row>
    <row r="9266" spans="15:28">
      <c r="O9266" s="1"/>
      <c r="P9266" s="1"/>
      <c r="Q9266" s="1"/>
      <c r="R9266" s="1"/>
      <c r="Z9266" s="103"/>
      <c r="AA9266" s="103"/>
      <c r="AB9266" s="1"/>
    </row>
    <row r="9267" spans="15:28">
      <c r="O9267" s="1"/>
      <c r="P9267" s="1"/>
      <c r="Q9267" s="1"/>
      <c r="R9267" s="1"/>
      <c r="Z9267" s="103"/>
      <c r="AA9267" s="103"/>
      <c r="AB9267" s="1"/>
    </row>
    <row r="9268" spans="15:28">
      <c r="O9268" s="1"/>
      <c r="P9268" s="1"/>
      <c r="Q9268" s="1"/>
      <c r="R9268" s="1"/>
      <c r="Z9268" s="103"/>
      <c r="AA9268" s="103"/>
      <c r="AB9268" s="1"/>
    </row>
    <row r="9269" spans="15:28">
      <c r="O9269" s="1"/>
      <c r="P9269" s="1"/>
      <c r="Q9269" s="1"/>
      <c r="R9269" s="1"/>
      <c r="Z9269" s="103"/>
      <c r="AA9269" s="103"/>
      <c r="AB9269" s="1"/>
    </row>
    <row r="9270" spans="15:28">
      <c r="O9270" s="1"/>
      <c r="P9270" s="1"/>
      <c r="Q9270" s="1"/>
      <c r="R9270" s="1"/>
      <c r="Z9270" s="103"/>
      <c r="AA9270" s="103"/>
      <c r="AB9270" s="1"/>
    </row>
    <row r="9271" spans="15:28">
      <c r="O9271" s="1"/>
      <c r="P9271" s="1"/>
      <c r="Q9271" s="1"/>
      <c r="R9271" s="1"/>
      <c r="Z9271" s="103"/>
      <c r="AA9271" s="103"/>
      <c r="AB9271" s="1"/>
    </row>
    <row r="9272" spans="15:28">
      <c r="O9272" s="1"/>
      <c r="P9272" s="1"/>
      <c r="Q9272" s="1"/>
      <c r="R9272" s="1"/>
      <c r="Z9272" s="103"/>
      <c r="AA9272" s="103"/>
      <c r="AB9272" s="1"/>
    </row>
    <row r="9273" spans="15:28">
      <c r="O9273" s="1"/>
      <c r="P9273" s="1"/>
      <c r="Q9273" s="1"/>
      <c r="R9273" s="1"/>
      <c r="Z9273" s="103"/>
      <c r="AA9273" s="103"/>
      <c r="AB9273" s="1"/>
    </row>
    <row r="9274" spans="15:28">
      <c r="O9274" s="1"/>
      <c r="P9274" s="1"/>
      <c r="Q9274" s="1"/>
      <c r="R9274" s="1"/>
      <c r="Z9274" s="103"/>
      <c r="AA9274" s="103"/>
      <c r="AB9274" s="1"/>
    </row>
    <row r="9275" spans="15:28">
      <c r="O9275" s="1"/>
      <c r="P9275" s="1"/>
      <c r="Q9275" s="1"/>
      <c r="R9275" s="1"/>
      <c r="Z9275" s="103"/>
      <c r="AA9275" s="103"/>
      <c r="AB9275" s="1"/>
    </row>
    <row r="9276" spans="15:28">
      <c r="O9276" s="1"/>
      <c r="P9276" s="1"/>
      <c r="Q9276" s="1"/>
      <c r="R9276" s="1"/>
      <c r="Z9276" s="103"/>
      <c r="AA9276" s="103"/>
      <c r="AB9276" s="1"/>
    </row>
    <row r="9277" spans="15:28">
      <c r="O9277" s="1"/>
      <c r="P9277" s="1"/>
      <c r="Q9277" s="1"/>
      <c r="R9277" s="1"/>
      <c r="Z9277" s="103"/>
      <c r="AA9277" s="103"/>
      <c r="AB9277" s="1"/>
    </row>
    <row r="9278" spans="15:28">
      <c r="O9278" s="1"/>
      <c r="P9278" s="1"/>
      <c r="Q9278" s="1"/>
      <c r="R9278" s="1"/>
      <c r="Z9278" s="103"/>
      <c r="AA9278" s="103"/>
      <c r="AB9278" s="1"/>
    </row>
    <row r="9279" spans="15:28">
      <c r="O9279" s="1"/>
      <c r="P9279" s="1"/>
      <c r="Q9279" s="1"/>
      <c r="R9279" s="1"/>
      <c r="Z9279" s="103"/>
      <c r="AA9279" s="103"/>
      <c r="AB9279" s="1"/>
    </row>
    <row r="9280" spans="15:28">
      <c r="O9280" s="1"/>
      <c r="P9280" s="1"/>
      <c r="Q9280" s="1"/>
      <c r="R9280" s="1"/>
      <c r="Z9280" s="103"/>
      <c r="AA9280" s="103"/>
      <c r="AB9280" s="1"/>
    </row>
    <row r="9281" spans="15:28">
      <c r="O9281" s="1"/>
      <c r="P9281" s="1"/>
      <c r="Q9281" s="1"/>
      <c r="R9281" s="1"/>
      <c r="Z9281" s="103"/>
      <c r="AA9281" s="103"/>
      <c r="AB9281" s="1"/>
    </row>
    <row r="9282" spans="15:28">
      <c r="O9282" s="1"/>
      <c r="P9282" s="1"/>
      <c r="Q9282" s="1"/>
      <c r="R9282" s="1"/>
      <c r="Z9282" s="103"/>
      <c r="AA9282" s="103"/>
      <c r="AB9282" s="1"/>
    </row>
    <row r="9283" spans="15:28">
      <c r="O9283" s="1"/>
      <c r="P9283" s="1"/>
      <c r="Q9283" s="1"/>
      <c r="R9283" s="1"/>
      <c r="Z9283" s="103"/>
      <c r="AA9283" s="103"/>
      <c r="AB9283" s="1"/>
    </row>
    <row r="9284" spans="15:28">
      <c r="O9284" s="1"/>
      <c r="P9284" s="1"/>
      <c r="Q9284" s="1"/>
      <c r="R9284" s="1"/>
      <c r="Z9284" s="103"/>
      <c r="AA9284" s="103"/>
      <c r="AB9284" s="1"/>
    </row>
    <row r="9285" spans="15:28">
      <c r="O9285" s="1"/>
      <c r="P9285" s="1"/>
      <c r="Q9285" s="1"/>
      <c r="R9285" s="1"/>
      <c r="Z9285" s="103"/>
      <c r="AA9285" s="103"/>
      <c r="AB9285" s="1"/>
    </row>
    <row r="9286" spans="15:28">
      <c r="O9286" s="1"/>
      <c r="P9286" s="1"/>
      <c r="Q9286" s="1"/>
      <c r="R9286" s="1"/>
      <c r="Z9286" s="103"/>
      <c r="AA9286" s="103"/>
      <c r="AB9286" s="1"/>
    </row>
    <row r="9287" spans="15:28">
      <c r="O9287" s="1"/>
      <c r="P9287" s="1"/>
      <c r="Q9287" s="1"/>
      <c r="R9287" s="1"/>
      <c r="Z9287" s="103"/>
      <c r="AA9287" s="103"/>
      <c r="AB9287" s="1"/>
    </row>
    <row r="9288" spans="15:28">
      <c r="O9288" s="1"/>
      <c r="P9288" s="1"/>
      <c r="Q9288" s="1"/>
      <c r="R9288" s="1"/>
      <c r="Z9288" s="103"/>
      <c r="AA9288" s="103"/>
      <c r="AB9288" s="1"/>
    </row>
    <row r="9289" spans="15:28">
      <c r="O9289" s="1"/>
      <c r="P9289" s="1"/>
      <c r="Q9289" s="1"/>
      <c r="R9289" s="1"/>
      <c r="Z9289" s="103"/>
      <c r="AA9289" s="103"/>
      <c r="AB9289" s="1"/>
    </row>
    <row r="9290" spans="15:28">
      <c r="O9290" s="1"/>
      <c r="P9290" s="1"/>
      <c r="Q9290" s="1"/>
      <c r="R9290" s="1"/>
      <c r="Z9290" s="103"/>
      <c r="AA9290" s="103"/>
      <c r="AB9290" s="1"/>
    </row>
    <row r="9291" spans="15:28">
      <c r="O9291" s="1"/>
      <c r="P9291" s="1"/>
      <c r="Q9291" s="1"/>
      <c r="R9291" s="1"/>
      <c r="Z9291" s="103"/>
      <c r="AA9291" s="103"/>
      <c r="AB9291" s="1"/>
    </row>
    <row r="9292" spans="15:28">
      <c r="O9292" s="1"/>
      <c r="P9292" s="1"/>
      <c r="Q9292" s="1"/>
      <c r="R9292" s="1"/>
      <c r="Z9292" s="103"/>
      <c r="AA9292" s="103"/>
      <c r="AB9292" s="1"/>
    </row>
    <row r="9293" spans="15:28">
      <c r="O9293" s="1"/>
      <c r="P9293" s="1"/>
      <c r="Q9293" s="1"/>
      <c r="R9293" s="1"/>
      <c r="Z9293" s="103"/>
      <c r="AA9293" s="103"/>
      <c r="AB9293" s="1"/>
    </row>
    <row r="9294" spans="15:28">
      <c r="O9294" s="1"/>
      <c r="P9294" s="1"/>
      <c r="Q9294" s="1"/>
      <c r="R9294" s="1"/>
      <c r="Z9294" s="103"/>
      <c r="AA9294" s="103"/>
      <c r="AB9294" s="1"/>
    </row>
    <row r="9295" spans="15:28">
      <c r="O9295" s="1"/>
      <c r="P9295" s="1"/>
      <c r="Q9295" s="1"/>
      <c r="R9295" s="1"/>
      <c r="Z9295" s="103"/>
      <c r="AA9295" s="103"/>
      <c r="AB9295" s="1"/>
    </row>
    <row r="9296" spans="15:28">
      <c r="O9296" s="1"/>
      <c r="P9296" s="1"/>
      <c r="Q9296" s="1"/>
      <c r="R9296" s="1"/>
      <c r="Z9296" s="103"/>
      <c r="AA9296" s="103"/>
      <c r="AB9296" s="1"/>
    </row>
    <row r="9297" spans="15:28">
      <c r="O9297" s="1"/>
      <c r="P9297" s="1"/>
      <c r="Q9297" s="1"/>
      <c r="R9297" s="1"/>
      <c r="Z9297" s="103"/>
      <c r="AA9297" s="103"/>
      <c r="AB9297" s="1"/>
    </row>
    <row r="9298" spans="15:28">
      <c r="O9298" s="1"/>
      <c r="P9298" s="1"/>
      <c r="Q9298" s="1"/>
      <c r="R9298" s="1"/>
      <c r="Z9298" s="103"/>
      <c r="AA9298" s="103"/>
      <c r="AB9298" s="1"/>
    </row>
    <row r="9299" spans="15:28">
      <c r="O9299" s="1"/>
      <c r="P9299" s="1"/>
      <c r="Q9299" s="1"/>
      <c r="R9299" s="1"/>
      <c r="Z9299" s="103"/>
      <c r="AA9299" s="103"/>
      <c r="AB9299" s="1"/>
    </row>
    <row r="9300" spans="15:28">
      <c r="O9300" s="1"/>
      <c r="P9300" s="1"/>
      <c r="Q9300" s="1"/>
      <c r="R9300" s="1"/>
      <c r="Z9300" s="103"/>
      <c r="AA9300" s="103"/>
      <c r="AB9300" s="1"/>
    </row>
    <row r="9301" spans="15:28">
      <c r="O9301" s="1"/>
      <c r="P9301" s="1"/>
      <c r="Q9301" s="1"/>
      <c r="R9301" s="1"/>
      <c r="Z9301" s="103"/>
      <c r="AA9301" s="103"/>
      <c r="AB9301" s="1"/>
    </row>
    <row r="9302" spans="15:28">
      <c r="O9302" s="1"/>
      <c r="P9302" s="1"/>
      <c r="Q9302" s="1"/>
      <c r="R9302" s="1"/>
      <c r="Z9302" s="103"/>
      <c r="AA9302" s="103"/>
      <c r="AB9302" s="1"/>
    </row>
    <row r="9303" spans="15:28">
      <c r="O9303" s="1"/>
      <c r="P9303" s="1"/>
      <c r="Q9303" s="1"/>
      <c r="R9303" s="1"/>
      <c r="Z9303" s="103"/>
      <c r="AA9303" s="103"/>
      <c r="AB9303" s="1"/>
    </row>
    <row r="9304" spans="15:28">
      <c r="O9304" s="1"/>
      <c r="P9304" s="1"/>
      <c r="Q9304" s="1"/>
      <c r="R9304" s="1"/>
      <c r="Z9304" s="103"/>
      <c r="AA9304" s="103"/>
      <c r="AB9304" s="1"/>
    </row>
    <row r="9305" spans="15:28">
      <c r="O9305" s="1"/>
      <c r="P9305" s="1"/>
      <c r="Q9305" s="1"/>
      <c r="R9305" s="1"/>
      <c r="Z9305" s="103"/>
      <c r="AA9305" s="103"/>
      <c r="AB9305" s="1"/>
    </row>
    <row r="9306" spans="15:28">
      <c r="O9306" s="1"/>
      <c r="P9306" s="1"/>
      <c r="Q9306" s="1"/>
      <c r="R9306" s="1"/>
      <c r="Z9306" s="103"/>
      <c r="AA9306" s="103"/>
      <c r="AB9306" s="1"/>
    </row>
    <row r="9307" spans="15:28">
      <c r="O9307" s="1"/>
      <c r="P9307" s="1"/>
      <c r="Q9307" s="1"/>
      <c r="R9307" s="1"/>
      <c r="Z9307" s="103"/>
      <c r="AA9307" s="103"/>
      <c r="AB9307" s="1"/>
    </row>
    <row r="9308" spans="15:28">
      <c r="O9308" s="1"/>
      <c r="P9308" s="1"/>
      <c r="Q9308" s="1"/>
      <c r="R9308" s="1"/>
      <c r="Z9308" s="103"/>
      <c r="AA9308" s="103"/>
      <c r="AB9308" s="1"/>
    </row>
    <row r="9309" spans="15:28">
      <c r="O9309" s="1"/>
      <c r="P9309" s="1"/>
      <c r="Q9309" s="1"/>
      <c r="R9309" s="1"/>
      <c r="Z9309" s="103"/>
      <c r="AA9309" s="103"/>
      <c r="AB9309" s="1"/>
    </row>
    <row r="9310" spans="15:28">
      <c r="O9310" s="1"/>
      <c r="P9310" s="1"/>
      <c r="Q9310" s="1"/>
      <c r="R9310" s="1"/>
      <c r="Z9310" s="103"/>
      <c r="AA9310" s="103"/>
      <c r="AB9310" s="1"/>
    </row>
    <row r="9311" spans="15:28">
      <c r="O9311" s="1"/>
      <c r="P9311" s="1"/>
      <c r="Q9311" s="1"/>
      <c r="R9311" s="1"/>
      <c r="Z9311" s="103"/>
      <c r="AA9311" s="103"/>
      <c r="AB9311" s="1"/>
    </row>
    <row r="9312" spans="15:28">
      <c r="O9312" s="1"/>
      <c r="P9312" s="1"/>
      <c r="Q9312" s="1"/>
      <c r="R9312" s="1"/>
      <c r="Z9312" s="103"/>
      <c r="AA9312" s="103"/>
      <c r="AB9312" s="1"/>
    </row>
    <row r="9313" spans="15:28">
      <c r="O9313" s="1"/>
      <c r="P9313" s="1"/>
      <c r="Q9313" s="1"/>
      <c r="R9313" s="1"/>
      <c r="Z9313" s="103"/>
      <c r="AA9313" s="103"/>
      <c r="AB9313" s="1"/>
    </row>
    <row r="9314" spans="15:28">
      <c r="O9314" s="1"/>
      <c r="P9314" s="1"/>
      <c r="Q9314" s="1"/>
      <c r="R9314" s="1"/>
      <c r="Z9314" s="103"/>
      <c r="AA9314" s="103"/>
      <c r="AB9314" s="1"/>
    </row>
    <row r="9315" spans="15:28">
      <c r="O9315" s="1"/>
      <c r="P9315" s="1"/>
      <c r="Q9315" s="1"/>
      <c r="R9315" s="1"/>
      <c r="Z9315" s="103"/>
      <c r="AA9315" s="103"/>
      <c r="AB9315" s="1"/>
    </row>
    <row r="9316" spans="15:28">
      <c r="O9316" s="1"/>
      <c r="P9316" s="1"/>
      <c r="Q9316" s="1"/>
      <c r="R9316" s="1"/>
      <c r="Z9316" s="103"/>
      <c r="AA9316" s="103"/>
      <c r="AB9316" s="1"/>
    </row>
    <row r="9317" spans="15:28">
      <c r="O9317" s="1"/>
      <c r="P9317" s="1"/>
      <c r="Q9317" s="1"/>
      <c r="R9317" s="1"/>
      <c r="Z9317" s="103"/>
      <c r="AA9317" s="103"/>
      <c r="AB9317" s="1"/>
    </row>
    <row r="9318" spans="15:28">
      <c r="O9318" s="1"/>
      <c r="P9318" s="1"/>
      <c r="Q9318" s="1"/>
      <c r="R9318" s="1"/>
      <c r="Z9318" s="103"/>
      <c r="AA9318" s="103"/>
      <c r="AB9318" s="1"/>
    </row>
    <row r="9319" spans="15:28">
      <c r="O9319" s="1"/>
      <c r="P9319" s="1"/>
      <c r="Q9319" s="1"/>
      <c r="R9319" s="1"/>
      <c r="Z9319" s="103"/>
      <c r="AA9319" s="103"/>
      <c r="AB9319" s="1"/>
    </row>
    <row r="9320" spans="15:28">
      <c r="O9320" s="1"/>
      <c r="P9320" s="1"/>
      <c r="Q9320" s="1"/>
      <c r="R9320" s="1"/>
      <c r="Z9320" s="103"/>
      <c r="AA9320" s="103"/>
      <c r="AB9320" s="1"/>
    </row>
    <row r="9321" spans="15:28">
      <c r="O9321" s="1"/>
      <c r="P9321" s="1"/>
      <c r="Q9321" s="1"/>
      <c r="R9321" s="1"/>
      <c r="Z9321" s="103"/>
      <c r="AA9321" s="103"/>
      <c r="AB9321" s="1"/>
    </row>
    <row r="9322" spans="15:28">
      <c r="O9322" s="1"/>
      <c r="P9322" s="1"/>
      <c r="Q9322" s="1"/>
      <c r="R9322" s="1"/>
      <c r="Z9322" s="103"/>
      <c r="AA9322" s="103"/>
      <c r="AB9322" s="1"/>
    </row>
    <row r="9323" spans="15:28">
      <c r="O9323" s="1"/>
      <c r="P9323" s="1"/>
      <c r="Q9323" s="1"/>
      <c r="R9323" s="1"/>
      <c r="Z9323" s="103"/>
      <c r="AA9323" s="103"/>
      <c r="AB9323" s="1"/>
    </row>
    <row r="9324" spans="15:28">
      <c r="O9324" s="1"/>
      <c r="P9324" s="1"/>
      <c r="Q9324" s="1"/>
      <c r="R9324" s="1"/>
      <c r="Z9324" s="103"/>
      <c r="AA9324" s="103"/>
      <c r="AB9324" s="1"/>
    </row>
    <row r="9325" spans="15:28">
      <c r="O9325" s="1"/>
      <c r="P9325" s="1"/>
      <c r="Q9325" s="1"/>
      <c r="R9325" s="1"/>
      <c r="Z9325" s="103"/>
      <c r="AA9325" s="103"/>
      <c r="AB9325" s="1"/>
    </row>
    <row r="9326" spans="15:28">
      <c r="O9326" s="1"/>
      <c r="P9326" s="1"/>
      <c r="Q9326" s="1"/>
      <c r="R9326" s="1"/>
      <c r="Z9326" s="103"/>
      <c r="AA9326" s="103"/>
      <c r="AB9326" s="1"/>
    </row>
    <row r="9327" spans="15:28">
      <c r="O9327" s="1"/>
      <c r="P9327" s="1"/>
      <c r="Q9327" s="1"/>
      <c r="R9327" s="1"/>
      <c r="Z9327" s="103"/>
      <c r="AA9327" s="103"/>
      <c r="AB9327" s="1"/>
    </row>
    <row r="9328" spans="15:28">
      <c r="O9328" s="1"/>
      <c r="P9328" s="1"/>
      <c r="Q9328" s="1"/>
      <c r="R9328" s="1"/>
      <c r="Z9328" s="103"/>
      <c r="AA9328" s="103"/>
      <c r="AB9328" s="1"/>
    </row>
    <row r="9329" spans="15:28">
      <c r="O9329" s="1"/>
      <c r="P9329" s="1"/>
      <c r="Q9329" s="1"/>
      <c r="R9329" s="1"/>
      <c r="Z9329" s="103"/>
      <c r="AA9329" s="103"/>
      <c r="AB9329" s="1"/>
    </row>
    <row r="9330" spans="15:28">
      <c r="O9330" s="1"/>
      <c r="P9330" s="1"/>
      <c r="Q9330" s="1"/>
      <c r="R9330" s="1"/>
      <c r="Z9330" s="103"/>
      <c r="AA9330" s="103"/>
      <c r="AB9330" s="1"/>
    </row>
    <row r="9331" spans="15:28">
      <c r="O9331" s="1"/>
      <c r="P9331" s="1"/>
      <c r="Q9331" s="1"/>
      <c r="R9331" s="1"/>
      <c r="Z9331" s="103"/>
      <c r="AA9331" s="103"/>
      <c r="AB9331" s="1"/>
    </row>
    <row r="9332" spans="15:28">
      <c r="O9332" s="1"/>
      <c r="P9332" s="1"/>
      <c r="Q9332" s="1"/>
      <c r="R9332" s="1"/>
      <c r="Z9332" s="103"/>
      <c r="AA9332" s="103"/>
      <c r="AB9332" s="1"/>
    </row>
    <row r="9333" spans="15:28">
      <c r="O9333" s="1"/>
      <c r="P9333" s="1"/>
      <c r="Q9333" s="1"/>
      <c r="R9333" s="1"/>
      <c r="Z9333" s="103"/>
      <c r="AA9333" s="103"/>
      <c r="AB9333" s="1"/>
    </row>
    <row r="9334" spans="15:28">
      <c r="O9334" s="1"/>
      <c r="P9334" s="1"/>
      <c r="Q9334" s="1"/>
      <c r="R9334" s="1"/>
      <c r="Z9334" s="103"/>
      <c r="AA9334" s="103"/>
      <c r="AB9334" s="1"/>
    </row>
    <row r="9335" spans="15:28">
      <c r="O9335" s="1"/>
      <c r="P9335" s="1"/>
      <c r="Q9335" s="1"/>
      <c r="R9335" s="1"/>
      <c r="Z9335" s="103"/>
      <c r="AA9335" s="103"/>
      <c r="AB9335" s="1"/>
    </row>
    <row r="9336" spans="15:28">
      <c r="O9336" s="1"/>
      <c r="P9336" s="1"/>
      <c r="Q9336" s="1"/>
      <c r="R9336" s="1"/>
      <c r="Z9336" s="103"/>
      <c r="AA9336" s="103"/>
      <c r="AB9336" s="1"/>
    </row>
    <row r="9337" spans="15:28">
      <c r="O9337" s="1"/>
      <c r="P9337" s="1"/>
      <c r="Q9337" s="1"/>
      <c r="R9337" s="1"/>
      <c r="Z9337" s="103"/>
      <c r="AA9337" s="103"/>
      <c r="AB9337" s="1"/>
    </row>
    <row r="9338" spans="15:28">
      <c r="O9338" s="1"/>
      <c r="P9338" s="1"/>
      <c r="Q9338" s="1"/>
      <c r="R9338" s="1"/>
      <c r="Z9338" s="103"/>
      <c r="AA9338" s="103"/>
      <c r="AB9338" s="1"/>
    </row>
    <row r="9339" spans="15:28">
      <c r="O9339" s="1"/>
      <c r="P9339" s="1"/>
      <c r="Q9339" s="1"/>
      <c r="R9339" s="1"/>
      <c r="Z9339" s="103"/>
      <c r="AA9339" s="103"/>
      <c r="AB9339" s="1"/>
    </row>
    <row r="9340" spans="15:28">
      <c r="O9340" s="1"/>
      <c r="P9340" s="1"/>
      <c r="Q9340" s="1"/>
      <c r="R9340" s="1"/>
      <c r="Z9340" s="103"/>
      <c r="AA9340" s="103"/>
      <c r="AB9340" s="1"/>
    </row>
    <row r="9341" spans="15:28">
      <c r="O9341" s="1"/>
      <c r="P9341" s="1"/>
      <c r="Q9341" s="1"/>
      <c r="R9341" s="1"/>
      <c r="Z9341" s="103"/>
      <c r="AA9341" s="103"/>
      <c r="AB9341" s="1"/>
    </row>
    <row r="9342" spans="15:28">
      <c r="O9342" s="1"/>
      <c r="P9342" s="1"/>
      <c r="Q9342" s="1"/>
      <c r="R9342" s="1"/>
      <c r="Z9342" s="103"/>
      <c r="AA9342" s="103"/>
      <c r="AB9342" s="1"/>
    </row>
    <row r="9343" spans="15:28">
      <c r="O9343" s="1"/>
      <c r="P9343" s="1"/>
      <c r="Q9343" s="1"/>
      <c r="R9343" s="1"/>
      <c r="Z9343" s="103"/>
      <c r="AA9343" s="103"/>
      <c r="AB9343" s="1"/>
    </row>
    <row r="9344" spans="15:28">
      <c r="O9344" s="1"/>
      <c r="P9344" s="1"/>
      <c r="Q9344" s="1"/>
      <c r="R9344" s="1"/>
      <c r="Z9344" s="103"/>
      <c r="AA9344" s="103"/>
      <c r="AB9344" s="1"/>
    </row>
    <row r="9345" spans="15:28">
      <c r="O9345" s="1"/>
      <c r="P9345" s="1"/>
      <c r="Q9345" s="1"/>
      <c r="R9345" s="1"/>
      <c r="Z9345" s="103"/>
      <c r="AA9345" s="103"/>
      <c r="AB9345" s="1"/>
    </row>
    <row r="9346" spans="15:28">
      <c r="O9346" s="1"/>
      <c r="P9346" s="1"/>
      <c r="Q9346" s="1"/>
      <c r="R9346" s="1"/>
      <c r="Z9346" s="103"/>
      <c r="AA9346" s="103"/>
      <c r="AB9346" s="1"/>
    </row>
    <row r="9347" spans="15:28">
      <c r="O9347" s="1"/>
      <c r="P9347" s="1"/>
      <c r="Q9347" s="1"/>
      <c r="R9347" s="1"/>
      <c r="Z9347" s="103"/>
      <c r="AA9347" s="103"/>
      <c r="AB9347" s="1"/>
    </row>
    <row r="9348" spans="15:28">
      <c r="O9348" s="1"/>
      <c r="P9348" s="1"/>
      <c r="Q9348" s="1"/>
      <c r="R9348" s="1"/>
      <c r="Z9348" s="103"/>
      <c r="AA9348" s="103"/>
      <c r="AB9348" s="1"/>
    </row>
    <row r="9349" spans="15:28">
      <c r="O9349" s="1"/>
      <c r="P9349" s="1"/>
      <c r="Q9349" s="1"/>
      <c r="R9349" s="1"/>
      <c r="Z9349" s="103"/>
      <c r="AA9349" s="103"/>
      <c r="AB9349" s="1"/>
    </row>
    <row r="9350" spans="15:28">
      <c r="O9350" s="1"/>
      <c r="P9350" s="1"/>
      <c r="Q9350" s="1"/>
      <c r="R9350" s="1"/>
      <c r="Z9350" s="103"/>
      <c r="AA9350" s="103"/>
      <c r="AB9350" s="1"/>
    </row>
    <row r="9351" spans="15:28">
      <c r="O9351" s="1"/>
      <c r="P9351" s="1"/>
      <c r="Q9351" s="1"/>
      <c r="R9351" s="1"/>
      <c r="Z9351" s="103"/>
      <c r="AA9351" s="103"/>
      <c r="AB9351" s="1"/>
    </row>
    <row r="9352" spans="15:28">
      <c r="O9352" s="1"/>
      <c r="P9352" s="1"/>
      <c r="Q9352" s="1"/>
      <c r="R9352" s="1"/>
      <c r="Z9352" s="103"/>
      <c r="AA9352" s="103"/>
      <c r="AB9352" s="1"/>
    </row>
    <row r="9353" spans="15:28">
      <c r="O9353" s="1"/>
      <c r="P9353" s="1"/>
      <c r="Q9353" s="1"/>
      <c r="R9353" s="1"/>
      <c r="Z9353" s="103"/>
      <c r="AA9353" s="103"/>
      <c r="AB9353" s="1"/>
    </row>
    <row r="9354" spans="15:28">
      <c r="O9354" s="1"/>
      <c r="P9354" s="1"/>
      <c r="Q9354" s="1"/>
      <c r="R9354" s="1"/>
      <c r="Z9354" s="103"/>
      <c r="AA9354" s="103"/>
      <c r="AB9354" s="1"/>
    </row>
    <row r="9355" spans="15:28">
      <c r="O9355" s="1"/>
      <c r="P9355" s="1"/>
      <c r="Q9355" s="1"/>
      <c r="R9355" s="1"/>
      <c r="Z9355" s="103"/>
      <c r="AA9355" s="103"/>
      <c r="AB9355" s="1"/>
    </row>
    <row r="9356" spans="15:28">
      <c r="O9356" s="1"/>
      <c r="P9356" s="1"/>
      <c r="Q9356" s="1"/>
      <c r="R9356" s="1"/>
      <c r="Z9356" s="103"/>
      <c r="AA9356" s="103"/>
      <c r="AB9356" s="1"/>
    </row>
    <row r="9357" spans="15:28">
      <c r="O9357" s="1"/>
      <c r="P9357" s="1"/>
      <c r="Q9357" s="1"/>
      <c r="R9357" s="1"/>
      <c r="Z9357" s="103"/>
      <c r="AA9357" s="103"/>
      <c r="AB9357" s="1"/>
    </row>
    <row r="9358" spans="15:28">
      <c r="O9358" s="1"/>
      <c r="P9358" s="1"/>
      <c r="Q9358" s="1"/>
      <c r="R9358" s="1"/>
      <c r="Z9358" s="103"/>
      <c r="AA9358" s="103"/>
      <c r="AB9358" s="1"/>
    </row>
    <row r="9359" spans="15:28">
      <c r="O9359" s="1"/>
      <c r="P9359" s="1"/>
      <c r="Q9359" s="1"/>
      <c r="R9359" s="1"/>
      <c r="Z9359" s="103"/>
      <c r="AA9359" s="103"/>
      <c r="AB9359" s="1"/>
    </row>
    <row r="9360" spans="15:28">
      <c r="O9360" s="1"/>
      <c r="P9360" s="1"/>
      <c r="Q9360" s="1"/>
      <c r="R9360" s="1"/>
      <c r="Z9360" s="103"/>
      <c r="AA9360" s="103"/>
      <c r="AB9360" s="1"/>
    </row>
    <row r="9361" spans="15:28">
      <c r="O9361" s="1"/>
      <c r="P9361" s="1"/>
      <c r="Q9361" s="1"/>
      <c r="R9361" s="1"/>
      <c r="Z9361" s="103"/>
      <c r="AA9361" s="103"/>
      <c r="AB9361" s="1"/>
    </row>
    <row r="9362" spans="15:28">
      <c r="O9362" s="1"/>
      <c r="P9362" s="1"/>
      <c r="Q9362" s="1"/>
      <c r="R9362" s="1"/>
      <c r="Z9362" s="103"/>
      <c r="AA9362" s="103"/>
      <c r="AB9362" s="1"/>
    </row>
    <row r="9363" spans="15:28">
      <c r="O9363" s="1"/>
      <c r="P9363" s="1"/>
      <c r="Q9363" s="1"/>
      <c r="R9363" s="1"/>
      <c r="Z9363" s="103"/>
      <c r="AA9363" s="103"/>
      <c r="AB9363" s="1"/>
    </row>
    <row r="9364" spans="15:28">
      <c r="O9364" s="1"/>
      <c r="P9364" s="1"/>
      <c r="Q9364" s="1"/>
      <c r="R9364" s="1"/>
      <c r="Z9364" s="103"/>
      <c r="AA9364" s="103"/>
      <c r="AB9364" s="1"/>
    </row>
    <row r="9365" spans="15:28">
      <c r="O9365" s="1"/>
      <c r="P9365" s="1"/>
      <c r="Q9365" s="1"/>
      <c r="R9365" s="1"/>
      <c r="Z9365" s="103"/>
      <c r="AA9365" s="103"/>
      <c r="AB9365" s="1"/>
    </row>
    <row r="9366" spans="15:28">
      <c r="O9366" s="1"/>
      <c r="P9366" s="1"/>
      <c r="Q9366" s="1"/>
      <c r="R9366" s="1"/>
      <c r="Z9366" s="103"/>
      <c r="AA9366" s="103"/>
      <c r="AB9366" s="1"/>
    </row>
    <row r="9367" spans="15:28">
      <c r="O9367" s="1"/>
      <c r="P9367" s="1"/>
      <c r="Q9367" s="1"/>
      <c r="R9367" s="1"/>
      <c r="Z9367" s="103"/>
      <c r="AA9367" s="103"/>
      <c r="AB9367" s="1"/>
    </row>
    <row r="9368" spans="15:28">
      <c r="O9368" s="1"/>
      <c r="P9368" s="1"/>
      <c r="Q9368" s="1"/>
      <c r="R9368" s="1"/>
      <c r="Z9368" s="103"/>
      <c r="AA9368" s="103"/>
      <c r="AB9368" s="1"/>
    </row>
    <row r="9369" spans="15:28">
      <c r="O9369" s="1"/>
      <c r="P9369" s="1"/>
      <c r="Q9369" s="1"/>
      <c r="R9369" s="1"/>
      <c r="Z9369" s="103"/>
      <c r="AA9369" s="103"/>
      <c r="AB9369" s="1"/>
    </row>
    <row r="9370" spans="15:28">
      <c r="O9370" s="1"/>
      <c r="P9370" s="1"/>
      <c r="Q9370" s="1"/>
      <c r="R9370" s="1"/>
      <c r="Z9370" s="103"/>
      <c r="AA9370" s="103"/>
      <c r="AB9370" s="1"/>
    </row>
    <row r="9371" spans="15:28">
      <c r="O9371" s="1"/>
      <c r="P9371" s="1"/>
      <c r="Q9371" s="1"/>
      <c r="R9371" s="1"/>
      <c r="Z9371" s="103"/>
      <c r="AA9371" s="103"/>
      <c r="AB9371" s="1"/>
    </row>
    <row r="9372" spans="15:28">
      <c r="O9372" s="1"/>
      <c r="P9372" s="1"/>
      <c r="Q9372" s="1"/>
      <c r="R9372" s="1"/>
      <c r="Z9372" s="103"/>
      <c r="AA9372" s="103"/>
      <c r="AB9372" s="1"/>
    </row>
    <row r="9373" spans="15:28">
      <c r="O9373" s="1"/>
      <c r="P9373" s="1"/>
      <c r="Q9373" s="1"/>
      <c r="R9373" s="1"/>
      <c r="Z9373" s="103"/>
      <c r="AA9373" s="103"/>
      <c r="AB9373" s="1"/>
    </row>
    <row r="9374" spans="15:28">
      <c r="O9374" s="1"/>
      <c r="P9374" s="1"/>
      <c r="Q9374" s="1"/>
      <c r="R9374" s="1"/>
      <c r="Z9374" s="103"/>
      <c r="AA9374" s="103"/>
      <c r="AB9374" s="1"/>
    </row>
    <row r="9375" spans="15:28">
      <c r="O9375" s="1"/>
      <c r="P9375" s="1"/>
      <c r="Q9375" s="1"/>
      <c r="R9375" s="1"/>
      <c r="Z9375" s="103"/>
      <c r="AA9375" s="103"/>
      <c r="AB9375" s="1"/>
    </row>
    <row r="9376" spans="15:28">
      <c r="O9376" s="1"/>
      <c r="P9376" s="1"/>
      <c r="Q9376" s="1"/>
      <c r="R9376" s="1"/>
      <c r="Z9376" s="103"/>
      <c r="AA9376" s="103"/>
      <c r="AB9376" s="1"/>
    </row>
    <row r="9377" spans="15:28">
      <c r="O9377" s="1"/>
      <c r="P9377" s="1"/>
      <c r="Q9377" s="1"/>
      <c r="R9377" s="1"/>
      <c r="Z9377" s="103"/>
      <c r="AA9377" s="103"/>
      <c r="AB9377" s="1"/>
    </row>
    <row r="9378" spans="15:28">
      <c r="O9378" s="1"/>
      <c r="P9378" s="1"/>
      <c r="Q9378" s="1"/>
      <c r="R9378" s="1"/>
      <c r="Z9378" s="103"/>
      <c r="AA9378" s="103"/>
      <c r="AB9378" s="1"/>
    </row>
    <row r="9379" spans="15:28">
      <c r="O9379" s="1"/>
      <c r="P9379" s="1"/>
      <c r="Q9379" s="1"/>
      <c r="R9379" s="1"/>
      <c r="Z9379" s="103"/>
      <c r="AA9379" s="103"/>
      <c r="AB9379" s="1"/>
    </row>
    <row r="9380" spans="15:28">
      <c r="O9380" s="1"/>
      <c r="P9380" s="1"/>
      <c r="Q9380" s="1"/>
      <c r="R9380" s="1"/>
      <c r="Z9380" s="103"/>
      <c r="AA9380" s="103"/>
      <c r="AB9380" s="1"/>
    </row>
    <row r="9381" spans="15:28">
      <c r="O9381" s="1"/>
      <c r="P9381" s="1"/>
      <c r="Q9381" s="1"/>
      <c r="R9381" s="1"/>
      <c r="Z9381" s="103"/>
      <c r="AA9381" s="103"/>
      <c r="AB9381" s="1"/>
    </row>
    <row r="9382" spans="15:28">
      <c r="O9382" s="1"/>
      <c r="P9382" s="1"/>
      <c r="Q9382" s="1"/>
      <c r="R9382" s="1"/>
      <c r="Z9382" s="103"/>
      <c r="AA9382" s="103"/>
      <c r="AB9382" s="1"/>
    </row>
    <row r="9383" spans="15:28">
      <c r="O9383" s="1"/>
      <c r="P9383" s="1"/>
      <c r="Q9383" s="1"/>
      <c r="R9383" s="1"/>
      <c r="Z9383" s="103"/>
      <c r="AA9383" s="103"/>
      <c r="AB9383" s="1"/>
    </row>
    <row r="9384" spans="15:28">
      <c r="O9384" s="1"/>
      <c r="P9384" s="1"/>
      <c r="Q9384" s="1"/>
      <c r="R9384" s="1"/>
      <c r="Z9384" s="103"/>
      <c r="AA9384" s="103"/>
      <c r="AB9384" s="1"/>
    </row>
    <row r="9385" spans="15:28">
      <c r="O9385" s="1"/>
      <c r="P9385" s="1"/>
      <c r="Q9385" s="1"/>
      <c r="R9385" s="1"/>
      <c r="Z9385" s="103"/>
      <c r="AA9385" s="103"/>
      <c r="AB9385" s="1"/>
    </row>
    <row r="9386" spans="15:28">
      <c r="O9386" s="1"/>
      <c r="P9386" s="1"/>
      <c r="Q9386" s="1"/>
      <c r="R9386" s="1"/>
      <c r="Z9386" s="103"/>
      <c r="AA9386" s="103"/>
      <c r="AB9386" s="1"/>
    </row>
    <row r="9387" spans="15:28">
      <c r="O9387" s="1"/>
      <c r="P9387" s="1"/>
      <c r="Q9387" s="1"/>
      <c r="R9387" s="1"/>
      <c r="Z9387" s="103"/>
      <c r="AA9387" s="103"/>
      <c r="AB9387" s="1"/>
    </row>
    <row r="9388" spans="15:28">
      <c r="O9388" s="1"/>
      <c r="P9388" s="1"/>
      <c r="Q9388" s="1"/>
      <c r="R9388" s="1"/>
      <c r="Z9388" s="103"/>
      <c r="AA9388" s="103"/>
      <c r="AB9388" s="1"/>
    </row>
    <row r="9389" spans="15:28">
      <c r="O9389" s="1"/>
      <c r="P9389" s="1"/>
      <c r="Q9389" s="1"/>
      <c r="R9389" s="1"/>
      <c r="Z9389" s="103"/>
      <c r="AA9389" s="103"/>
      <c r="AB9389" s="1"/>
    </row>
    <row r="9390" spans="15:28">
      <c r="O9390" s="1"/>
      <c r="P9390" s="1"/>
      <c r="Q9390" s="1"/>
      <c r="R9390" s="1"/>
      <c r="Z9390" s="103"/>
      <c r="AA9390" s="103"/>
      <c r="AB9390" s="1"/>
    </row>
    <row r="9391" spans="15:28">
      <c r="O9391" s="1"/>
      <c r="P9391" s="1"/>
      <c r="Q9391" s="1"/>
      <c r="R9391" s="1"/>
      <c r="Z9391" s="103"/>
      <c r="AA9391" s="103"/>
      <c r="AB9391" s="1"/>
    </row>
    <row r="9392" spans="15:28">
      <c r="O9392" s="1"/>
      <c r="P9392" s="1"/>
      <c r="Q9392" s="1"/>
      <c r="R9392" s="1"/>
      <c r="Z9392" s="103"/>
      <c r="AA9392" s="103"/>
      <c r="AB9392" s="1"/>
    </row>
    <row r="9393" spans="15:28">
      <c r="O9393" s="1"/>
      <c r="P9393" s="1"/>
      <c r="Q9393" s="1"/>
      <c r="R9393" s="1"/>
      <c r="Z9393" s="103"/>
      <c r="AA9393" s="103"/>
      <c r="AB9393" s="1"/>
    </row>
    <row r="9394" spans="15:28">
      <c r="O9394" s="1"/>
      <c r="P9394" s="1"/>
      <c r="Q9394" s="1"/>
      <c r="R9394" s="1"/>
      <c r="Z9394" s="103"/>
      <c r="AA9394" s="103"/>
      <c r="AB9394" s="1"/>
    </row>
    <row r="9395" spans="15:28">
      <c r="O9395" s="1"/>
      <c r="P9395" s="1"/>
      <c r="Q9395" s="1"/>
      <c r="R9395" s="1"/>
      <c r="Z9395" s="103"/>
      <c r="AA9395" s="103"/>
      <c r="AB9395" s="1"/>
    </row>
    <row r="9396" spans="15:28">
      <c r="O9396" s="1"/>
      <c r="P9396" s="1"/>
      <c r="Q9396" s="1"/>
      <c r="R9396" s="1"/>
      <c r="Z9396" s="103"/>
      <c r="AA9396" s="103"/>
      <c r="AB9396" s="1"/>
    </row>
    <row r="9397" spans="15:28">
      <c r="O9397" s="1"/>
      <c r="P9397" s="1"/>
      <c r="Q9397" s="1"/>
      <c r="R9397" s="1"/>
      <c r="Z9397" s="103"/>
      <c r="AA9397" s="103"/>
      <c r="AB9397" s="1"/>
    </row>
    <row r="9398" spans="15:28">
      <c r="O9398" s="1"/>
      <c r="P9398" s="1"/>
      <c r="Q9398" s="1"/>
      <c r="R9398" s="1"/>
      <c r="Z9398" s="103"/>
      <c r="AA9398" s="103"/>
      <c r="AB9398" s="1"/>
    </row>
    <row r="9399" spans="15:28">
      <c r="O9399" s="1"/>
      <c r="P9399" s="1"/>
      <c r="Q9399" s="1"/>
      <c r="R9399" s="1"/>
      <c r="Z9399" s="103"/>
      <c r="AA9399" s="103"/>
      <c r="AB9399" s="1"/>
    </row>
    <row r="9400" spans="15:28">
      <c r="O9400" s="1"/>
      <c r="P9400" s="1"/>
      <c r="Q9400" s="1"/>
      <c r="R9400" s="1"/>
      <c r="Z9400" s="103"/>
      <c r="AA9400" s="103"/>
      <c r="AB9400" s="1"/>
    </row>
    <row r="9401" spans="15:28">
      <c r="O9401" s="1"/>
      <c r="P9401" s="1"/>
      <c r="Q9401" s="1"/>
      <c r="R9401" s="1"/>
      <c r="Z9401" s="103"/>
      <c r="AA9401" s="103"/>
      <c r="AB9401" s="1"/>
    </row>
    <row r="9402" spans="15:28">
      <c r="O9402" s="1"/>
      <c r="P9402" s="1"/>
      <c r="Q9402" s="1"/>
      <c r="R9402" s="1"/>
      <c r="Z9402" s="103"/>
      <c r="AA9402" s="103"/>
      <c r="AB9402" s="1"/>
    </row>
    <row r="9403" spans="15:28">
      <c r="O9403" s="1"/>
      <c r="P9403" s="1"/>
      <c r="Q9403" s="1"/>
      <c r="R9403" s="1"/>
      <c r="Z9403" s="103"/>
      <c r="AA9403" s="103"/>
      <c r="AB9403" s="1"/>
    </row>
    <row r="9404" spans="15:28">
      <c r="O9404" s="1"/>
      <c r="P9404" s="1"/>
      <c r="Q9404" s="1"/>
      <c r="R9404" s="1"/>
      <c r="Z9404" s="103"/>
      <c r="AA9404" s="103"/>
      <c r="AB9404" s="1"/>
    </row>
    <row r="9405" spans="15:28">
      <c r="O9405" s="1"/>
      <c r="P9405" s="1"/>
      <c r="Q9405" s="1"/>
      <c r="R9405" s="1"/>
      <c r="Z9405" s="103"/>
      <c r="AA9405" s="103"/>
      <c r="AB9405" s="1"/>
    </row>
    <row r="9406" spans="15:28">
      <c r="O9406" s="1"/>
      <c r="P9406" s="1"/>
      <c r="Q9406" s="1"/>
      <c r="R9406" s="1"/>
      <c r="Z9406" s="103"/>
      <c r="AA9406" s="103"/>
      <c r="AB9406" s="1"/>
    </row>
    <row r="9407" spans="15:28">
      <c r="O9407" s="1"/>
      <c r="P9407" s="1"/>
      <c r="Q9407" s="1"/>
      <c r="R9407" s="1"/>
      <c r="Z9407" s="103"/>
      <c r="AA9407" s="103"/>
      <c r="AB9407" s="1"/>
    </row>
    <row r="9408" spans="15:28">
      <c r="O9408" s="1"/>
      <c r="P9408" s="1"/>
      <c r="Q9408" s="1"/>
      <c r="R9408" s="1"/>
      <c r="Z9408" s="103"/>
      <c r="AA9408" s="103"/>
      <c r="AB9408" s="1"/>
    </row>
    <row r="9409" spans="15:28">
      <c r="O9409" s="1"/>
      <c r="P9409" s="1"/>
      <c r="Q9409" s="1"/>
      <c r="R9409" s="1"/>
      <c r="Z9409" s="103"/>
      <c r="AA9409" s="103"/>
      <c r="AB9409" s="1"/>
    </row>
    <row r="9410" spans="15:28">
      <c r="O9410" s="1"/>
      <c r="P9410" s="1"/>
      <c r="Q9410" s="1"/>
      <c r="R9410" s="1"/>
      <c r="Z9410" s="103"/>
      <c r="AA9410" s="103"/>
      <c r="AB9410" s="1"/>
    </row>
    <row r="9411" spans="15:28">
      <c r="O9411" s="1"/>
      <c r="P9411" s="1"/>
      <c r="Q9411" s="1"/>
      <c r="R9411" s="1"/>
      <c r="Z9411" s="103"/>
      <c r="AA9411" s="103"/>
      <c r="AB9411" s="1"/>
    </row>
    <row r="9412" spans="15:28">
      <c r="O9412" s="1"/>
      <c r="P9412" s="1"/>
      <c r="Q9412" s="1"/>
      <c r="R9412" s="1"/>
      <c r="Z9412" s="103"/>
      <c r="AA9412" s="103"/>
      <c r="AB9412" s="1"/>
    </row>
    <row r="9413" spans="15:28">
      <c r="O9413" s="1"/>
      <c r="P9413" s="1"/>
      <c r="Q9413" s="1"/>
      <c r="R9413" s="1"/>
      <c r="Z9413" s="103"/>
      <c r="AA9413" s="103"/>
      <c r="AB9413" s="1"/>
    </row>
    <row r="9414" spans="15:28">
      <c r="O9414" s="1"/>
      <c r="P9414" s="1"/>
      <c r="Q9414" s="1"/>
      <c r="R9414" s="1"/>
      <c r="Z9414" s="103"/>
      <c r="AA9414" s="103"/>
      <c r="AB9414" s="1"/>
    </row>
    <row r="9415" spans="15:28">
      <c r="O9415" s="1"/>
      <c r="P9415" s="1"/>
      <c r="Q9415" s="1"/>
      <c r="R9415" s="1"/>
      <c r="Z9415" s="103"/>
      <c r="AA9415" s="103"/>
      <c r="AB9415" s="1"/>
    </row>
    <row r="9416" spans="15:28">
      <c r="O9416" s="1"/>
      <c r="P9416" s="1"/>
      <c r="Q9416" s="1"/>
      <c r="R9416" s="1"/>
      <c r="Z9416" s="103"/>
      <c r="AA9416" s="103"/>
      <c r="AB9416" s="1"/>
    </row>
    <row r="9417" spans="15:28">
      <c r="O9417" s="1"/>
      <c r="P9417" s="1"/>
      <c r="Q9417" s="1"/>
      <c r="R9417" s="1"/>
      <c r="Z9417" s="103"/>
      <c r="AA9417" s="103"/>
      <c r="AB9417" s="1"/>
    </row>
    <row r="9418" spans="15:28">
      <c r="O9418" s="1"/>
      <c r="P9418" s="1"/>
      <c r="Q9418" s="1"/>
      <c r="R9418" s="1"/>
      <c r="Z9418" s="103"/>
      <c r="AA9418" s="103"/>
      <c r="AB9418" s="1"/>
    </row>
    <row r="9419" spans="15:28">
      <c r="O9419" s="1"/>
      <c r="P9419" s="1"/>
      <c r="Q9419" s="1"/>
      <c r="R9419" s="1"/>
      <c r="Z9419" s="103"/>
      <c r="AA9419" s="103"/>
      <c r="AB9419" s="1"/>
    </row>
    <row r="9420" spans="15:28">
      <c r="O9420" s="1"/>
      <c r="P9420" s="1"/>
      <c r="Q9420" s="1"/>
      <c r="R9420" s="1"/>
      <c r="Z9420" s="103"/>
      <c r="AA9420" s="103"/>
      <c r="AB9420" s="1"/>
    </row>
    <row r="9421" spans="15:28">
      <c r="O9421" s="1"/>
      <c r="P9421" s="1"/>
      <c r="Q9421" s="1"/>
      <c r="R9421" s="1"/>
      <c r="Z9421" s="103"/>
      <c r="AA9421" s="103"/>
      <c r="AB9421" s="1"/>
    </row>
    <row r="9422" spans="15:28">
      <c r="O9422" s="1"/>
      <c r="P9422" s="1"/>
      <c r="Q9422" s="1"/>
      <c r="R9422" s="1"/>
      <c r="Z9422" s="103"/>
      <c r="AA9422" s="103"/>
      <c r="AB9422" s="1"/>
    </row>
    <row r="9423" spans="15:28">
      <c r="O9423" s="1"/>
      <c r="P9423" s="1"/>
      <c r="Q9423" s="1"/>
      <c r="R9423" s="1"/>
      <c r="Z9423" s="103"/>
      <c r="AA9423" s="103"/>
      <c r="AB9423" s="1"/>
    </row>
    <row r="9424" spans="15:28">
      <c r="O9424" s="1"/>
      <c r="P9424" s="1"/>
      <c r="Q9424" s="1"/>
      <c r="R9424" s="1"/>
      <c r="Z9424" s="103"/>
      <c r="AA9424" s="103"/>
      <c r="AB9424" s="1"/>
    </row>
    <row r="9425" spans="15:28">
      <c r="O9425" s="1"/>
      <c r="P9425" s="1"/>
      <c r="Q9425" s="1"/>
      <c r="R9425" s="1"/>
      <c r="Z9425" s="103"/>
      <c r="AA9425" s="103"/>
      <c r="AB9425" s="1"/>
    </row>
    <row r="9426" spans="15:28">
      <c r="O9426" s="1"/>
      <c r="P9426" s="1"/>
      <c r="Q9426" s="1"/>
      <c r="R9426" s="1"/>
      <c r="Z9426" s="103"/>
      <c r="AA9426" s="103"/>
      <c r="AB9426" s="1"/>
    </row>
    <row r="9427" spans="15:28">
      <c r="O9427" s="1"/>
      <c r="P9427" s="1"/>
      <c r="Q9427" s="1"/>
      <c r="R9427" s="1"/>
      <c r="Z9427" s="103"/>
      <c r="AA9427" s="103"/>
      <c r="AB9427" s="1"/>
    </row>
    <row r="9428" spans="15:28">
      <c r="O9428" s="1"/>
      <c r="P9428" s="1"/>
      <c r="Q9428" s="1"/>
      <c r="R9428" s="1"/>
      <c r="Z9428" s="103"/>
      <c r="AA9428" s="103"/>
      <c r="AB9428" s="1"/>
    </row>
    <row r="9429" spans="15:28">
      <c r="O9429" s="1"/>
      <c r="P9429" s="1"/>
      <c r="Q9429" s="1"/>
      <c r="R9429" s="1"/>
      <c r="Z9429" s="103"/>
      <c r="AA9429" s="103"/>
      <c r="AB9429" s="1"/>
    </row>
    <row r="9430" spans="15:28">
      <c r="O9430" s="1"/>
      <c r="P9430" s="1"/>
      <c r="Q9430" s="1"/>
      <c r="R9430" s="1"/>
      <c r="Z9430" s="103"/>
      <c r="AA9430" s="103"/>
      <c r="AB9430" s="1"/>
    </row>
    <row r="9431" spans="15:28">
      <c r="O9431" s="1"/>
      <c r="P9431" s="1"/>
      <c r="Q9431" s="1"/>
      <c r="R9431" s="1"/>
      <c r="Z9431" s="103"/>
      <c r="AA9431" s="103"/>
      <c r="AB9431" s="1"/>
    </row>
    <row r="9432" spans="15:28">
      <c r="O9432" s="1"/>
      <c r="P9432" s="1"/>
      <c r="Q9432" s="1"/>
      <c r="R9432" s="1"/>
      <c r="Z9432" s="103"/>
      <c r="AA9432" s="103"/>
      <c r="AB9432" s="1"/>
    </row>
    <row r="9433" spans="15:28">
      <c r="O9433" s="1"/>
      <c r="P9433" s="1"/>
      <c r="Q9433" s="1"/>
      <c r="R9433" s="1"/>
      <c r="Z9433" s="103"/>
      <c r="AA9433" s="103"/>
      <c r="AB9433" s="1"/>
    </row>
    <row r="9434" spans="15:28">
      <c r="O9434" s="1"/>
      <c r="P9434" s="1"/>
      <c r="Q9434" s="1"/>
      <c r="R9434" s="1"/>
      <c r="Z9434" s="103"/>
      <c r="AA9434" s="103"/>
      <c r="AB9434" s="1"/>
    </row>
    <row r="9435" spans="15:28">
      <c r="O9435" s="1"/>
      <c r="P9435" s="1"/>
      <c r="Q9435" s="1"/>
      <c r="R9435" s="1"/>
      <c r="Z9435" s="103"/>
      <c r="AA9435" s="103"/>
      <c r="AB9435" s="1"/>
    </row>
    <row r="9436" spans="15:28">
      <c r="O9436" s="1"/>
      <c r="P9436" s="1"/>
      <c r="Q9436" s="1"/>
      <c r="R9436" s="1"/>
      <c r="Z9436" s="103"/>
      <c r="AA9436" s="103"/>
      <c r="AB9436" s="1"/>
    </row>
    <row r="9437" spans="15:28">
      <c r="O9437" s="1"/>
      <c r="P9437" s="1"/>
      <c r="Q9437" s="1"/>
      <c r="R9437" s="1"/>
      <c r="Z9437" s="103"/>
      <c r="AA9437" s="103"/>
      <c r="AB9437" s="1"/>
    </row>
    <row r="9438" spans="15:28">
      <c r="O9438" s="1"/>
      <c r="P9438" s="1"/>
      <c r="Q9438" s="1"/>
      <c r="R9438" s="1"/>
      <c r="Z9438" s="103"/>
      <c r="AA9438" s="103"/>
      <c r="AB9438" s="1"/>
    </row>
    <row r="9439" spans="15:28">
      <c r="O9439" s="1"/>
      <c r="P9439" s="1"/>
      <c r="Q9439" s="1"/>
      <c r="R9439" s="1"/>
      <c r="Z9439" s="103"/>
      <c r="AA9439" s="103"/>
      <c r="AB9439" s="1"/>
    </row>
    <row r="9440" spans="15:28">
      <c r="O9440" s="1"/>
      <c r="P9440" s="1"/>
      <c r="Q9440" s="1"/>
      <c r="R9440" s="1"/>
      <c r="Z9440" s="103"/>
      <c r="AA9440" s="103"/>
      <c r="AB9440" s="1"/>
    </row>
    <row r="9441" spans="15:28">
      <c r="O9441" s="1"/>
      <c r="P9441" s="1"/>
      <c r="Q9441" s="1"/>
      <c r="R9441" s="1"/>
      <c r="Z9441" s="103"/>
      <c r="AA9441" s="103"/>
      <c r="AB9441" s="1"/>
    </row>
    <row r="9442" spans="15:28">
      <c r="O9442" s="1"/>
      <c r="P9442" s="1"/>
      <c r="Q9442" s="1"/>
      <c r="R9442" s="1"/>
      <c r="Z9442" s="103"/>
      <c r="AA9442" s="103"/>
      <c r="AB9442" s="1"/>
    </row>
    <row r="9443" spans="15:28">
      <c r="O9443" s="1"/>
      <c r="P9443" s="1"/>
      <c r="Q9443" s="1"/>
      <c r="R9443" s="1"/>
      <c r="Z9443" s="103"/>
      <c r="AA9443" s="103"/>
      <c r="AB9443" s="1"/>
    </row>
    <row r="9444" spans="15:28">
      <c r="O9444" s="1"/>
      <c r="P9444" s="1"/>
      <c r="Q9444" s="1"/>
      <c r="R9444" s="1"/>
      <c r="Z9444" s="103"/>
      <c r="AA9444" s="103"/>
      <c r="AB9444" s="1"/>
    </row>
    <row r="9445" spans="15:28">
      <c r="O9445" s="1"/>
      <c r="P9445" s="1"/>
      <c r="Q9445" s="1"/>
      <c r="R9445" s="1"/>
      <c r="Z9445" s="103"/>
      <c r="AA9445" s="103"/>
      <c r="AB9445" s="1"/>
    </row>
    <row r="9446" spans="15:28">
      <c r="O9446" s="1"/>
      <c r="P9446" s="1"/>
      <c r="Q9446" s="1"/>
      <c r="R9446" s="1"/>
      <c r="Z9446" s="103"/>
      <c r="AA9446" s="103"/>
      <c r="AB9446" s="1"/>
    </row>
    <row r="9447" spans="15:28">
      <c r="O9447" s="1"/>
      <c r="P9447" s="1"/>
      <c r="Q9447" s="1"/>
      <c r="R9447" s="1"/>
      <c r="Z9447" s="103"/>
      <c r="AA9447" s="103"/>
      <c r="AB9447" s="1"/>
    </row>
    <row r="9448" spans="15:28">
      <c r="O9448" s="1"/>
      <c r="P9448" s="1"/>
      <c r="Q9448" s="1"/>
      <c r="R9448" s="1"/>
      <c r="Z9448" s="103"/>
      <c r="AA9448" s="103"/>
      <c r="AB9448" s="1"/>
    </row>
    <row r="9449" spans="15:28">
      <c r="O9449" s="1"/>
      <c r="P9449" s="1"/>
      <c r="Q9449" s="1"/>
      <c r="R9449" s="1"/>
      <c r="Z9449" s="103"/>
      <c r="AA9449" s="103"/>
      <c r="AB9449" s="1"/>
    </row>
    <row r="9450" spans="15:28">
      <c r="O9450" s="1"/>
      <c r="P9450" s="1"/>
      <c r="Q9450" s="1"/>
      <c r="R9450" s="1"/>
      <c r="Z9450" s="103"/>
      <c r="AA9450" s="103"/>
      <c r="AB9450" s="1"/>
    </row>
    <row r="9451" spans="15:28">
      <c r="O9451" s="1"/>
      <c r="P9451" s="1"/>
      <c r="Q9451" s="1"/>
      <c r="R9451" s="1"/>
      <c r="Z9451" s="103"/>
      <c r="AA9451" s="103"/>
      <c r="AB9451" s="1"/>
    </row>
    <row r="9452" spans="15:28">
      <c r="O9452" s="1"/>
      <c r="P9452" s="1"/>
      <c r="Q9452" s="1"/>
      <c r="R9452" s="1"/>
      <c r="Z9452" s="103"/>
      <c r="AA9452" s="103"/>
      <c r="AB9452" s="1"/>
    </row>
    <row r="9453" spans="15:28">
      <c r="O9453" s="1"/>
      <c r="P9453" s="1"/>
      <c r="Q9453" s="1"/>
      <c r="R9453" s="1"/>
      <c r="Z9453" s="103"/>
      <c r="AA9453" s="103"/>
      <c r="AB9453" s="1"/>
    </row>
    <row r="9454" spans="15:28">
      <c r="O9454" s="1"/>
      <c r="P9454" s="1"/>
      <c r="Q9454" s="1"/>
      <c r="R9454" s="1"/>
      <c r="Z9454" s="103"/>
      <c r="AA9454" s="103"/>
      <c r="AB9454" s="1"/>
    </row>
    <row r="9455" spans="15:28">
      <c r="O9455" s="1"/>
      <c r="P9455" s="1"/>
      <c r="Q9455" s="1"/>
      <c r="R9455" s="1"/>
      <c r="Z9455" s="103"/>
      <c r="AA9455" s="103"/>
      <c r="AB9455" s="1"/>
    </row>
    <row r="9456" spans="15:28">
      <c r="O9456" s="1"/>
      <c r="P9456" s="1"/>
      <c r="Q9456" s="1"/>
      <c r="R9456" s="1"/>
      <c r="Z9456" s="103"/>
      <c r="AA9456" s="103"/>
      <c r="AB9456" s="1"/>
    </row>
    <row r="9457" spans="15:28">
      <c r="O9457" s="1"/>
      <c r="P9457" s="1"/>
      <c r="Q9457" s="1"/>
      <c r="R9457" s="1"/>
      <c r="Z9457" s="103"/>
      <c r="AA9457" s="103"/>
      <c r="AB9457" s="1"/>
    </row>
    <row r="9458" spans="15:28">
      <c r="O9458" s="1"/>
      <c r="P9458" s="1"/>
      <c r="Q9458" s="1"/>
      <c r="R9458" s="1"/>
      <c r="Z9458" s="103"/>
      <c r="AA9458" s="103"/>
      <c r="AB9458" s="1"/>
    </row>
    <row r="9459" spans="15:28">
      <c r="O9459" s="1"/>
      <c r="P9459" s="1"/>
      <c r="Q9459" s="1"/>
      <c r="R9459" s="1"/>
      <c r="Z9459" s="103"/>
      <c r="AA9459" s="103"/>
      <c r="AB9459" s="1"/>
    </row>
    <row r="9460" spans="15:28">
      <c r="O9460" s="1"/>
      <c r="P9460" s="1"/>
      <c r="Q9460" s="1"/>
      <c r="R9460" s="1"/>
      <c r="Z9460" s="103"/>
      <c r="AA9460" s="103"/>
      <c r="AB9460" s="1"/>
    </row>
    <row r="9461" spans="15:28">
      <c r="O9461" s="1"/>
      <c r="P9461" s="1"/>
      <c r="Q9461" s="1"/>
      <c r="R9461" s="1"/>
      <c r="Z9461" s="103"/>
      <c r="AA9461" s="103"/>
      <c r="AB9461" s="1"/>
    </row>
    <row r="9462" spans="15:28">
      <c r="O9462" s="1"/>
      <c r="P9462" s="1"/>
      <c r="Q9462" s="1"/>
      <c r="R9462" s="1"/>
      <c r="Z9462" s="103"/>
      <c r="AA9462" s="103"/>
      <c r="AB9462" s="1"/>
    </row>
    <row r="9463" spans="15:28">
      <c r="O9463" s="1"/>
      <c r="P9463" s="1"/>
      <c r="Q9463" s="1"/>
      <c r="R9463" s="1"/>
      <c r="Z9463" s="103"/>
      <c r="AA9463" s="103"/>
      <c r="AB9463" s="1"/>
    </row>
    <row r="9464" spans="15:28">
      <c r="O9464" s="1"/>
      <c r="P9464" s="1"/>
      <c r="Q9464" s="1"/>
      <c r="R9464" s="1"/>
      <c r="Z9464" s="103"/>
      <c r="AA9464" s="103"/>
      <c r="AB9464" s="1"/>
    </row>
    <row r="9465" spans="15:28">
      <c r="O9465" s="1"/>
      <c r="P9465" s="1"/>
      <c r="Q9465" s="1"/>
      <c r="R9465" s="1"/>
      <c r="Z9465" s="103"/>
      <c r="AA9465" s="103"/>
      <c r="AB9465" s="1"/>
    </row>
    <row r="9466" spans="15:28">
      <c r="O9466" s="1"/>
      <c r="P9466" s="1"/>
      <c r="Q9466" s="1"/>
      <c r="R9466" s="1"/>
      <c r="Z9466" s="103"/>
      <c r="AA9466" s="103"/>
      <c r="AB9466" s="1"/>
    </row>
    <row r="9467" spans="15:28">
      <c r="O9467" s="1"/>
      <c r="P9467" s="1"/>
      <c r="Q9467" s="1"/>
      <c r="R9467" s="1"/>
      <c r="Z9467" s="103"/>
      <c r="AA9467" s="103"/>
      <c r="AB9467" s="1"/>
    </row>
    <row r="9468" spans="15:28">
      <c r="O9468" s="1"/>
      <c r="P9468" s="1"/>
      <c r="Q9468" s="1"/>
      <c r="R9468" s="1"/>
      <c r="Z9468" s="103"/>
      <c r="AA9468" s="103"/>
      <c r="AB9468" s="1"/>
    </row>
    <row r="9469" spans="15:28">
      <c r="O9469" s="1"/>
      <c r="P9469" s="1"/>
      <c r="Q9469" s="1"/>
      <c r="R9469" s="1"/>
      <c r="Z9469" s="103"/>
      <c r="AA9469" s="103"/>
      <c r="AB9469" s="1"/>
    </row>
    <row r="9470" spans="15:28">
      <c r="O9470" s="1"/>
      <c r="P9470" s="1"/>
      <c r="Q9470" s="1"/>
      <c r="R9470" s="1"/>
      <c r="Z9470" s="103"/>
      <c r="AA9470" s="103"/>
      <c r="AB9470" s="1"/>
    </row>
    <row r="9471" spans="15:28">
      <c r="O9471" s="1"/>
      <c r="P9471" s="1"/>
      <c r="Q9471" s="1"/>
      <c r="R9471" s="1"/>
      <c r="Z9471" s="103"/>
      <c r="AA9471" s="103"/>
      <c r="AB9471" s="1"/>
    </row>
    <row r="9472" spans="15:28">
      <c r="O9472" s="1"/>
      <c r="P9472" s="1"/>
      <c r="Q9472" s="1"/>
      <c r="R9472" s="1"/>
      <c r="Z9472" s="103"/>
      <c r="AA9472" s="103"/>
      <c r="AB9472" s="1"/>
    </row>
    <row r="9473" spans="15:28">
      <c r="O9473" s="1"/>
      <c r="P9473" s="1"/>
      <c r="Q9473" s="1"/>
      <c r="R9473" s="1"/>
      <c r="Z9473" s="103"/>
      <c r="AA9473" s="103"/>
      <c r="AB9473" s="1"/>
    </row>
    <row r="9474" spans="15:28">
      <c r="O9474" s="1"/>
      <c r="P9474" s="1"/>
      <c r="Q9474" s="1"/>
      <c r="R9474" s="1"/>
      <c r="Z9474" s="103"/>
      <c r="AA9474" s="103"/>
      <c r="AB9474" s="1"/>
    </row>
    <row r="9475" spans="15:28">
      <c r="O9475" s="1"/>
      <c r="P9475" s="1"/>
      <c r="Q9475" s="1"/>
      <c r="R9475" s="1"/>
      <c r="Z9475" s="103"/>
      <c r="AA9475" s="103"/>
      <c r="AB9475" s="1"/>
    </row>
    <row r="9476" spans="15:28">
      <c r="O9476" s="1"/>
      <c r="P9476" s="1"/>
      <c r="Q9476" s="1"/>
      <c r="R9476" s="1"/>
      <c r="Z9476" s="103"/>
      <c r="AA9476" s="103"/>
      <c r="AB9476" s="1"/>
    </row>
    <row r="9477" spans="15:28">
      <c r="O9477" s="1"/>
      <c r="P9477" s="1"/>
      <c r="Q9477" s="1"/>
      <c r="R9477" s="1"/>
      <c r="Z9477" s="103"/>
      <c r="AA9477" s="103"/>
      <c r="AB9477" s="1"/>
    </row>
    <row r="9478" spans="15:28">
      <c r="O9478" s="1"/>
      <c r="P9478" s="1"/>
      <c r="Q9478" s="1"/>
      <c r="R9478" s="1"/>
      <c r="Z9478" s="103"/>
      <c r="AA9478" s="103"/>
      <c r="AB9478" s="1"/>
    </row>
    <row r="9479" spans="15:28">
      <c r="O9479" s="1"/>
      <c r="P9479" s="1"/>
      <c r="Q9479" s="1"/>
      <c r="R9479" s="1"/>
      <c r="Z9479" s="103"/>
      <c r="AA9479" s="103"/>
      <c r="AB9479" s="1"/>
    </row>
    <row r="9480" spans="15:28">
      <c r="O9480" s="1"/>
      <c r="P9480" s="1"/>
      <c r="Q9480" s="1"/>
      <c r="R9480" s="1"/>
      <c r="Z9480" s="103"/>
      <c r="AA9480" s="103"/>
      <c r="AB9480" s="1"/>
    </row>
    <row r="9481" spans="15:28">
      <c r="O9481" s="1"/>
      <c r="P9481" s="1"/>
      <c r="Q9481" s="1"/>
      <c r="R9481" s="1"/>
      <c r="Z9481" s="103"/>
      <c r="AA9481" s="103"/>
      <c r="AB9481" s="1"/>
    </row>
    <row r="9482" spans="15:28">
      <c r="O9482" s="1"/>
      <c r="P9482" s="1"/>
      <c r="Q9482" s="1"/>
      <c r="R9482" s="1"/>
      <c r="Z9482" s="103"/>
      <c r="AA9482" s="103"/>
      <c r="AB9482" s="1"/>
    </row>
    <row r="9483" spans="15:28">
      <c r="O9483" s="1"/>
      <c r="P9483" s="1"/>
      <c r="Q9483" s="1"/>
      <c r="R9483" s="1"/>
      <c r="Z9483" s="103"/>
      <c r="AA9483" s="103"/>
      <c r="AB9483" s="1"/>
    </row>
    <row r="9484" spans="15:28">
      <c r="O9484" s="1"/>
      <c r="P9484" s="1"/>
      <c r="Q9484" s="1"/>
      <c r="R9484" s="1"/>
      <c r="Z9484" s="103"/>
      <c r="AA9484" s="103"/>
      <c r="AB9484" s="1"/>
    </row>
    <row r="9485" spans="15:28">
      <c r="O9485" s="1"/>
      <c r="P9485" s="1"/>
      <c r="Q9485" s="1"/>
      <c r="R9485" s="1"/>
      <c r="Z9485" s="103"/>
      <c r="AA9485" s="103"/>
      <c r="AB9485" s="1"/>
    </row>
    <row r="9486" spans="15:28">
      <c r="O9486" s="1"/>
      <c r="P9486" s="1"/>
      <c r="Q9486" s="1"/>
      <c r="R9486" s="1"/>
      <c r="Z9486" s="103"/>
      <c r="AA9486" s="103"/>
      <c r="AB9486" s="1"/>
    </row>
    <row r="9487" spans="15:28">
      <c r="O9487" s="1"/>
      <c r="P9487" s="1"/>
      <c r="Q9487" s="1"/>
      <c r="R9487" s="1"/>
      <c r="Z9487" s="103"/>
      <c r="AA9487" s="103"/>
      <c r="AB9487" s="1"/>
    </row>
    <row r="9488" spans="15:28">
      <c r="O9488" s="1"/>
      <c r="P9488" s="1"/>
      <c r="Q9488" s="1"/>
      <c r="R9488" s="1"/>
      <c r="Z9488" s="103"/>
      <c r="AA9488" s="103"/>
      <c r="AB9488" s="1"/>
    </row>
    <row r="9489" spans="15:28">
      <c r="O9489" s="1"/>
      <c r="P9489" s="1"/>
      <c r="Q9489" s="1"/>
      <c r="R9489" s="1"/>
      <c r="Z9489" s="103"/>
      <c r="AA9489" s="103"/>
      <c r="AB9489" s="1"/>
    </row>
    <row r="9490" spans="15:28">
      <c r="O9490" s="1"/>
      <c r="P9490" s="1"/>
      <c r="Q9490" s="1"/>
      <c r="R9490" s="1"/>
      <c r="Z9490" s="103"/>
      <c r="AA9490" s="103"/>
      <c r="AB9490" s="1"/>
    </row>
    <row r="9491" spans="15:28">
      <c r="O9491" s="1"/>
      <c r="P9491" s="1"/>
      <c r="Q9491" s="1"/>
      <c r="R9491" s="1"/>
      <c r="Z9491" s="103"/>
      <c r="AA9491" s="103"/>
      <c r="AB9491" s="1"/>
    </row>
    <row r="9492" spans="15:28">
      <c r="O9492" s="1"/>
      <c r="P9492" s="1"/>
      <c r="Q9492" s="1"/>
      <c r="R9492" s="1"/>
      <c r="Z9492" s="103"/>
      <c r="AA9492" s="103"/>
      <c r="AB9492" s="1"/>
    </row>
    <row r="9493" spans="15:28">
      <c r="O9493" s="1"/>
      <c r="P9493" s="1"/>
      <c r="Q9493" s="1"/>
      <c r="R9493" s="1"/>
      <c r="Z9493" s="103"/>
      <c r="AA9493" s="103"/>
      <c r="AB9493" s="1"/>
    </row>
    <row r="9494" spans="15:28">
      <c r="O9494" s="1"/>
      <c r="P9494" s="1"/>
      <c r="Q9494" s="1"/>
      <c r="R9494" s="1"/>
      <c r="Z9494" s="103"/>
      <c r="AA9494" s="103"/>
      <c r="AB9494" s="1"/>
    </row>
    <row r="9495" spans="15:28">
      <c r="O9495" s="1"/>
      <c r="P9495" s="1"/>
      <c r="Q9495" s="1"/>
      <c r="R9495" s="1"/>
      <c r="Z9495" s="103"/>
      <c r="AA9495" s="103"/>
      <c r="AB9495" s="1"/>
    </row>
    <row r="9496" spans="15:28">
      <c r="O9496" s="1"/>
      <c r="P9496" s="1"/>
      <c r="Q9496" s="1"/>
      <c r="R9496" s="1"/>
      <c r="Z9496" s="103"/>
      <c r="AA9496" s="103"/>
      <c r="AB9496" s="1"/>
    </row>
    <row r="9497" spans="15:28">
      <c r="O9497" s="1"/>
      <c r="P9497" s="1"/>
      <c r="Q9497" s="1"/>
      <c r="R9497" s="1"/>
      <c r="Z9497" s="103"/>
      <c r="AA9497" s="103"/>
      <c r="AB9497" s="1"/>
    </row>
    <row r="9498" spans="15:28">
      <c r="O9498" s="1"/>
      <c r="P9498" s="1"/>
      <c r="Q9498" s="1"/>
      <c r="R9498" s="1"/>
      <c r="Z9498" s="103"/>
      <c r="AA9498" s="103"/>
      <c r="AB9498" s="1"/>
    </row>
    <row r="9499" spans="15:28">
      <c r="O9499" s="1"/>
      <c r="P9499" s="1"/>
      <c r="Q9499" s="1"/>
      <c r="R9499" s="1"/>
      <c r="Z9499" s="103"/>
      <c r="AA9499" s="103"/>
      <c r="AB9499" s="1"/>
    </row>
    <row r="9500" spans="15:28">
      <c r="O9500" s="1"/>
      <c r="P9500" s="1"/>
      <c r="Q9500" s="1"/>
      <c r="R9500" s="1"/>
      <c r="Z9500" s="103"/>
      <c r="AA9500" s="103"/>
      <c r="AB9500" s="1"/>
    </row>
    <row r="9501" spans="15:28">
      <c r="O9501" s="1"/>
      <c r="P9501" s="1"/>
      <c r="Q9501" s="1"/>
      <c r="R9501" s="1"/>
      <c r="Z9501" s="103"/>
      <c r="AA9501" s="103"/>
      <c r="AB9501" s="1"/>
    </row>
    <row r="9502" spans="15:28">
      <c r="O9502" s="1"/>
      <c r="P9502" s="1"/>
      <c r="Q9502" s="1"/>
      <c r="R9502" s="1"/>
      <c r="Z9502" s="103"/>
      <c r="AA9502" s="103"/>
      <c r="AB9502" s="1"/>
    </row>
    <row r="9503" spans="15:28">
      <c r="O9503" s="1"/>
      <c r="P9503" s="1"/>
      <c r="Q9503" s="1"/>
      <c r="R9503" s="1"/>
      <c r="Z9503" s="103"/>
      <c r="AA9503" s="103"/>
      <c r="AB9503" s="1"/>
    </row>
    <row r="9504" spans="15:28">
      <c r="O9504" s="1"/>
      <c r="P9504" s="1"/>
      <c r="Q9504" s="1"/>
      <c r="R9504" s="1"/>
      <c r="Z9504" s="103"/>
      <c r="AA9504" s="103"/>
      <c r="AB9504" s="1"/>
    </row>
    <row r="9505" spans="15:28">
      <c r="O9505" s="1"/>
      <c r="P9505" s="1"/>
      <c r="Q9505" s="1"/>
      <c r="R9505" s="1"/>
      <c r="Z9505" s="103"/>
      <c r="AA9505" s="103"/>
      <c r="AB9505" s="1"/>
    </row>
    <row r="9506" spans="15:28">
      <c r="O9506" s="1"/>
      <c r="P9506" s="1"/>
      <c r="Q9506" s="1"/>
      <c r="R9506" s="1"/>
      <c r="Z9506" s="103"/>
      <c r="AA9506" s="103"/>
      <c r="AB9506" s="1"/>
    </row>
    <row r="9507" spans="15:28">
      <c r="O9507" s="1"/>
      <c r="P9507" s="1"/>
      <c r="Q9507" s="1"/>
      <c r="R9507" s="1"/>
      <c r="Z9507" s="103"/>
      <c r="AA9507" s="103"/>
      <c r="AB9507" s="1"/>
    </row>
    <row r="9508" spans="15:28">
      <c r="O9508" s="1"/>
      <c r="P9508" s="1"/>
      <c r="Q9508" s="1"/>
      <c r="R9508" s="1"/>
      <c r="Z9508" s="103"/>
      <c r="AA9508" s="103"/>
      <c r="AB9508" s="1"/>
    </row>
    <row r="9509" spans="15:28">
      <c r="O9509" s="1"/>
      <c r="P9509" s="1"/>
      <c r="Q9509" s="1"/>
      <c r="R9509" s="1"/>
      <c r="Z9509" s="103"/>
      <c r="AA9509" s="103"/>
      <c r="AB9509" s="1"/>
    </row>
    <row r="9510" spans="15:28">
      <c r="O9510" s="1"/>
      <c r="P9510" s="1"/>
      <c r="Q9510" s="1"/>
      <c r="R9510" s="1"/>
      <c r="Z9510" s="103"/>
      <c r="AA9510" s="103"/>
      <c r="AB9510" s="1"/>
    </row>
    <row r="9511" spans="15:28">
      <c r="O9511" s="1"/>
      <c r="P9511" s="1"/>
      <c r="Q9511" s="1"/>
      <c r="R9511" s="1"/>
      <c r="Z9511" s="103"/>
      <c r="AA9511" s="103"/>
      <c r="AB9511" s="1"/>
    </row>
    <row r="9512" spans="15:28">
      <c r="O9512" s="1"/>
      <c r="P9512" s="1"/>
      <c r="Q9512" s="1"/>
      <c r="R9512" s="1"/>
      <c r="Z9512" s="103"/>
      <c r="AA9512" s="103"/>
      <c r="AB9512" s="1"/>
    </row>
    <row r="9513" spans="15:28">
      <c r="O9513" s="1"/>
      <c r="P9513" s="1"/>
      <c r="Q9513" s="1"/>
      <c r="R9513" s="1"/>
      <c r="Z9513" s="103"/>
      <c r="AA9513" s="103"/>
      <c r="AB9513" s="1"/>
    </row>
    <row r="9514" spans="15:28">
      <c r="O9514" s="1"/>
      <c r="P9514" s="1"/>
      <c r="Q9514" s="1"/>
      <c r="R9514" s="1"/>
      <c r="Z9514" s="103"/>
      <c r="AA9514" s="103"/>
      <c r="AB9514" s="1"/>
    </row>
    <row r="9515" spans="15:28">
      <c r="O9515" s="1"/>
      <c r="P9515" s="1"/>
      <c r="Q9515" s="1"/>
      <c r="R9515" s="1"/>
      <c r="Z9515" s="103"/>
      <c r="AA9515" s="103"/>
      <c r="AB9515" s="1"/>
    </row>
    <row r="9516" spans="15:28">
      <c r="O9516" s="1"/>
      <c r="P9516" s="1"/>
      <c r="Q9516" s="1"/>
      <c r="R9516" s="1"/>
      <c r="Z9516" s="103"/>
      <c r="AA9516" s="103"/>
      <c r="AB9516" s="1"/>
    </row>
    <row r="9517" spans="15:28">
      <c r="O9517" s="1"/>
      <c r="P9517" s="1"/>
      <c r="Q9517" s="1"/>
      <c r="R9517" s="1"/>
      <c r="Z9517" s="103"/>
      <c r="AA9517" s="103"/>
      <c r="AB9517" s="1"/>
    </row>
    <row r="9518" spans="15:28">
      <c r="O9518" s="1"/>
      <c r="P9518" s="1"/>
      <c r="Q9518" s="1"/>
      <c r="R9518" s="1"/>
      <c r="Z9518" s="103"/>
      <c r="AA9518" s="103"/>
      <c r="AB9518" s="1"/>
    </row>
    <row r="9519" spans="15:28">
      <c r="O9519" s="1"/>
      <c r="P9519" s="1"/>
      <c r="Q9519" s="1"/>
      <c r="R9519" s="1"/>
      <c r="Z9519" s="103"/>
      <c r="AA9519" s="103"/>
      <c r="AB9519" s="1"/>
    </row>
    <row r="9520" spans="15:28">
      <c r="O9520" s="1"/>
      <c r="P9520" s="1"/>
      <c r="Q9520" s="1"/>
      <c r="R9520" s="1"/>
      <c r="Z9520" s="103"/>
      <c r="AA9520" s="103"/>
      <c r="AB9520" s="1"/>
    </row>
    <row r="9521" spans="15:28">
      <c r="O9521" s="1"/>
      <c r="P9521" s="1"/>
      <c r="Q9521" s="1"/>
      <c r="R9521" s="1"/>
      <c r="Z9521" s="103"/>
      <c r="AA9521" s="103"/>
      <c r="AB9521" s="1"/>
    </row>
    <row r="9522" spans="15:28">
      <c r="O9522" s="1"/>
      <c r="P9522" s="1"/>
      <c r="Q9522" s="1"/>
      <c r="R9522" s="1"/>
      <c r="Z9522" s="103"/>
      <c r="AA9522" s="103"/>
      <c r="AB9522" s="1"/>
    </row>
    <row r="9523" spans="15:28">
      <c r="O9523" s="1"/>
      <c r="P9523" s="1"/>
      <c r="Q9523" s="1"/>
      <c r="R9523" s="1"/>
      <c r="Z9523" s="103"/>
      <c r="AA9523" s="103"/>
      <c r="AB9523" s="1"/>
    </row>
    <row r="9524" spans="15:28">
      <c r="O9524" s="1"/>
      <c r="P9524" s="1"/>
      <c r="Q9524" s="1"/>
      <c r="R9524" s="1"/>
      <c r="Z9524" s="103"/>
      <c r="AA9524" s="103"/>
      <c r="AB9524" s="1"/>
    </row>
    <row r="9525" spans="15:28">
      <c r="O9525" s="1"/>
      <c r="P9525" s="1"/>
      <c r="Q9525" s="1"/>
      <c r="R9525" s="1"/>
      <c r="Z9525" s="103"/>
      <c r="AA9525" s="103"/>
      <c r="AB9525" s="1"/>
    </row>
    <row r="9526" spans="15:28">
      <c r="O9526" s="1"/>
      <c r="P9526" s="1"/>
      <c r="Q9526" s="1"/>
      <c r="R9526" s="1"/>
      <c r="Z9526" s="103"/>
      <c r="AA9526" s="103"/>
      <c r="AB9526" s="1"/>
    </row>
    <row r="9527" spans="15:28">
      <c r="O9527" s="1"/>
      <c r="P9527" s="1"/>
      <c r="Q9527" s="1"/>
      <c r="R9527" s="1"/>
      <c r="Z9527" s="103"/>
      <c r="AA9527" s="103"/>
      <c r="AB9527" s="1"/>
    </row>
    <row r="9528" spans="15:28">
      <c r="O9528" s="1"/>
      <c r="P9528" s="1"/>
      <c r="Q9528" s="1"/>
      <c r="R9528" s="1"/>
      <c r="Z9528" s="103"/>
      <c r="AA9528" s="103"/>
      <c r="AB9528" s="1"/>
    </row>
    <row r="9529" spans="15:28">
      <c r="O9529" s="1"/>
      <c r="P9529" s="1"/>
      <c r="Q9529" s="1"/>
      <c r="R9529" s="1"/>
      <c r="Z9529" s="103"/>
      <c r="AA9529" s="103"/>
      <c r="AB9529" s="1"/>
    </row>
    <row r="9530" spans="15:28">
      <c r="O9530" s="1"/>
      <c r="P9530" s="1"/>
      <c r="Q9530" s="1"/>
      <c r="R9530" s="1"/>
      <c r="Z9530" s="103"/>
      <c r="AA9530" s="103"/>
      <c r="AB9530" s="1"/>
    </row>
    <row r="9531" spans="15:28">
      <c r="O9531" s="1"/>
      <c r="P9531" s="1"/>
      <c r="Q9531" s="1"/>
      <c r="R9531" s="1"/>
      <c r="Z9531" s="103"/>
      <c r="AA9531" s="103"/>
      <c r="AB9531" s="1"/>
    </row>
    <row r="9532" spans="15:28">
      <c r="O9532" s="1"/>
      <c r="P9532" s="1"/>
      <c r="Q9532" s="1"/>
      <c r="R9532" s="1"/>
      <c r="Z9532" s="103"/>
      <c r="AA9532" s="103"/>
      <c r="AB9532" s="1"/>
    </row>
    <row r="9533" spans="15:28">
      <c r="O9533" s="1"/>
      <c r="P9533" s="1"/>
      <c r="Q9533" s="1"/>
      <c r="R9533" s="1"/>
      <c r="Z9533" s="103"/>
      <c r="AA9533" s="103"/>
      <c r="AB9533" s="1"/>
    </row>
    <row r="9534" spans="15:28">
      <c r="O9534" s="1"/>
      <c r="P9534" s="1"/>
      <c r="Q9534" s="1"/>
      <c r="R9534" s="1"/>
      <c r="Z9534" s="103"/>
      <c r="AA9534" s="103"/>
      <c r="AB9534" s="1"/>
    </row>
    <row r="9535" spans="15:28">
      <c r="O9535" s="1"/>
      <c r="P9535" s="1"/>
      <c r="Q9535" s="1"/>
      <c r="R9535" s="1"/>
      <c r="Z9535" s="103"/>
      <c r="AA9535" s="103"/>
      <c r="AB9535" s="1"/>
    </row>
    <row r="9536" spans="15:28">
      <c r="O9536" s="1"/>
      <c r="P9536" s="1"/>
      <c r="Q9536" s="1"/>
      <c r="R9536" s="1"/>
      <c r="Z9536" s="103"/>
      <c r="AA9536" s="103"/>
      <c r="AB9536" s="1"/>
    </row>
    <row r="9537" spans="15:28">
      <c r="O9537" s="1"/>
      <c r="P9537" s="1"/>
      <c r="Q9537" s="1"/>
      <c r="R9537" s="1"/>
      <c r="Z9537" s="103"/>
      <c r="AA9537" s="103"/>
      <c r="AB9537" s="1"/>
    </row>
    <row r="9538" spans="15:28">
      <c r="O9538" s="1"/>
      <c r="P9538" s="1"/>
      <c r="Q9538" s="1"/>
      <c r="R9538" s="1"/>
      <c r="Z9538" s="103"/>
      <c r="AA9538" s="103"/>
      <c r="AB9538" s="1"/>
    </row>
    <row r="9539" spans="15:28">
      <c r="O9539" s="1"/>
      <c r="P9539" s="1"/>
      <c r="Q9539" s="1"/>
      <c r="R9539" s="1"/>
      <c r="Z9539" s="103"/>
      <c r="AA9539" s="103"/>
      <c r="AB9539" s="1"/>
    </row>
    <row r="9540" spans="15:28">
      <c r="O9540" s="1"/>
      <c r="P9540" s="1"/>
      <c r="Q9540" s="1"/>
      <c r="R9540" s="1"/>
      <c r="Z9540" s="103"/>
      <c r="AA9540" s="103"/>
      <c r="AB9540" s="1"/>
    </row>
    <row r="9541" spans="15:28">
      <c r="O9541" s="1"/>
      <c r="P9541" s="1"/>
      <c r="Q9541" s="1"/>
      <c r="R9541" s="1"/>
      <c r="Z9541" s="103"/>
      <c r="AA9541" s="103"/>
      <c r="AB9541" s="1"/>
    </row>
    <row r="9542" spans="15:28">
      <c r="O9542" s="1"/>
      <c r="P9542" s="1"/>
      <c r="Q9542" s="1"/>
      <c r="R9542" s="1"/>
      <c r="Z9542" s="103"/>
      <c r="AA9542" s="103"/>
      <c r="AB9542" s="1"/>
    </row>
    <row r="9543" spans="15:28">
      <c r="O9543" s="1"/>
      <c r="P9543" s="1"/>
      <c r="Q9543" s="1"/>
      <c r="R9543" s="1"/>
      <c r="Z9543" s="103"/>
      <c r="AA9543" s="103"/>
      <c r="AB9543" s="1"/>
    </row>
    <row r="9544" spans="15:28">
      <c r="O9544" s="1"/>
      <c r="P9544" s="1"/>
      <c r="Q9544" s="1"/>
      <c r="R9544" s="1"/>
      <c r="Z9544" s="103"/>
      <c r="AA9544" s="103"/>
      <c r="AB9544" s="1"/>
    </row>
    <row r="9545" spans="15:28">
      <c r="O9545" s="1"/>
      <c r="P9545" s="1"/>
      <c r="Q9545" s="1"/>
      <c r="R9545" s="1"/>
      <c r="Z9545" s="103"/>
      <c r="AA9545" s="103"/>
      <c r="AB9545" s="1"/>
    </row>
    <row r="9546" spans="15:28">
      <c r="O9546" s="1"/>
      <c r="P9546" s="1"/>
      <c r="Q9546" s="1"/>
      <c r="R9546" s="1"/>
      <c r="Z9546" s="103"/>
      <c r="AA9546" s="103"/>
      <c r="AB9546" s="1"/>
    </row>
    <row r="9547" spans="15:28">
      <c r="O9547" s="1"/>
      <c r="P9547" s="1"/>
      <c r="Q9547" s="1"/>
      <c r="R9547" s="1"/>
      <c r="Z9547" s="103"/>
      <c r="AA9547" s="103"/>
      <c r="AB9547" s="1"/>
    </row>
    <row r="9548" spans="15:28">
      <c r="O9548" s="1"/>
      <c r="P9548" s="1"/>
      <c r="Q9548" s="1"/>
      <c r="R9548" s="1"/>
      <c r="Z9548" s="103"/>
      <c r="AA9548" s="103"/>
      <c r="AB9548" s="1"/>
    </row>
    <row r="9549" spans="15:28">
      <c r="O9549" s="1"/>
      <c r="P9549" s="1"/>
      <c r="Q9549" s="1"/>
      <c r="R9549" s="1"/>
      <c r="Z9549" s="103"/>
      <c r="AA9549" s="103"/>
      <c r="AB9549" s="1"/>
    </row>
    <row r="9550" spans="15:28">
      <c r="O9550" s="1"/>
      <c r="P9550" s="1"/>
      <c r="Q9550" s="1"/>
      <c r="R9550" s="1"/>
      <c r="Z9550" s="103"/>
      <c r="AA9550" s="103"/>
      <c r="AB9550" s="1"/>
    </row>
    <row r="9551" spans="15:28">
      <c r="O9551" s="1"/>
      <c r="P9551" s="1"/>
      <c r="Q9551" s="1"/>
      <c r="R9551" s="1"/>
      <c r="Z9551" s="103"/>
      <c r="AA9551" s="103"/>
      <c r="AB9551" s="1"/>
    </row>
    <row r="9552" spans="15:28">
      <c r="O9552" s="1"/>
      <c r="P9552" s="1"/>
      <c r="Q9552" s="1"/>
      <c r="R9552" s="1"/>
      <c r="Z9552" s="103"/>
      <c r="AA9552" s="103"/>
      <c r="AB9552" s="1"/>
    </row>
    <row r="9553" spans="15:28">
      <c r="O9553" s="1"/>
      <c r="P9553" s="1"/>
      <c r="Q9553" s="1"/>
      <c r="R9553" s="1"/>
      <c r="Z9553" s="103"/>
      <c r="AA9553" s="103"/>
      <c r="AB9553" s="1"/>
    </row>
    <row r="9554" spans="15:28">
      <c r="O9554" s="1"/>
      <c r="P9554" s="1"/>
      <c r="Q9554" s="1"/>
      <c r="R9554" s="1"/>
      <c r="Z9554" s="103"/>
      <c r="AA9554" s="103"/>
      <c r="AB9554" s="1"/>
    </row>
    <row r="9555" spans="15:28">
      <c r="O9555" s="1"/>
      <c r="P9555" s="1"/>
      <c r="Q9555" s="1"/>
      <c r="R9555" s="1"/>
      <c r="Z9555" s="103"/>
      <c r="AA9555" s="103"/>
      <c r="AB9555" s="1"/>
    </row>
    <row r="9556" spans="15:28">
      <c r="O9556" s="1"/>
      <c r="P9556" s="1"/>
      <c r="Q9556" s="1"/>
      <c r="R9556" s="1"/>
      <c r="Z9556" s="103"/>
      <c r="AA9556" s="103"/>
      <c r="AB9556" s="1"/>
    </row>
    <row r="9557" spans="15:28">
      <c r="O9557" s="1"/>
      <c r="P9557" s="1"/>
      <c r="Q9557" s="1"/>
      <c r="R9557" s="1"/>
      <c r="Z9557" s="103"/>
      <c r="AA9557" s="103"/>
      <c r="AB9557" s="1"/>
    </row>
    <row r="9558" spans="15:28">
      <c r="O9558" s="1"/>
      <c r="P9558" s="1"/>
      <c r="Q9558" s="1"/>
      <c r="R9558" s="1"/>
      <c r="Z9558" s="103"/>
      <c r="AA9558" s="103"/>
      <c r="AB9558" s="1"/>
    </row>
    <row r="9559" spans="15:28">
      <c r="O9559" s="1"/>
      <c r="P9559" s="1"/>
      <c r="Q9559" s="1"/>
      <c r="R9559" s="1"/>
      <c r="Z9559" s="103"/>
      <c r="AA9559" s="103"/>
      <c r="AB9559" s="1"/>
    </row>
    <row r="9560" spans="15:28">
      <c r="O9560" s="1"/>
      <c r="P9560" s="1"/>
      <c r="Q9560" s="1"/>
      <c r="R9560" s="1"/>
      <c r="Z9560" s="103"/>
      <c r="AA9560" s="103"/>
      <c r="AB9560" s="1"/>
    </row>
    <row r="9561" spans="15:28">
      <c r="O9561" s="1"/>
      <c r="P9561" s="1"/>
      <c r="Q9561" s="1"/>
      <c r="R9561" s="1"/>
      <c r="Z9561" s="103"/>
      <c r="AA9561" s="103"/>
      <c r="AB9561" s="1"/>
    </row>
    <row r="9562" spans="15:28">
      <c r="O9562" s="1"/>
      <c r="P9562" s="1"/>
      <c r="Q9562" s="1"/>
      <c r="R9562" s="1"/>
      <c r="Z9562" s="103"/>
      <c r="AA9562" s="103"/>
      <c r="AB9562" s="1"/>
    </row>
    <row r="9563" spans="15:28">
      <c r="O9563" s="1"/>
      <c r="P9563" s="1"/>
      <c r="Q9563" s="1"/>
      <c r="R9563" s="1"/>
      <c r="Z9563" s="103"/>
      <c r="AA9563" s="103"/>
      <c r="AB9563" s="1"/>
    </row>
    <row r="9564" spans="15:28">
      <c r="O9564" s="1"/>
      <c r="P9564" s="1"/>
      <c r="Q9564" s="1"/>
      <c r="R9564" s="1"/>
      <c r="Z9564" s="103"/>
      <c r="AA9564" s="103"/>
      <c r="AB9564" s="1"/>
    </row>
    <row r="9565" spans="15:28">
      <c r="O9565" s="1"/>
      <c r="P9565" s="1"/>
      <c r="Q9565" s="1"/>
      <c r="R9565" s="1"/>
      <c r="Z9565" s="103"/>
      <c r="AA9565" s="103"/>
      <c r="AB9565" s="1"/>
    </row>
    <row r="9566" spans="15:28">
      <c r="O9566" s="1"/>
      <c r="P9566" s="1"/>
      <c r="Q9566" s="1"/>
      <c r="R9566" s="1"/>
      <c r="Z9566" s="103"/>
      <c r="AA9566" s="103"/>
      <c r="AB9566" s="1"/>
    </row>
    <row r="9567" spans="15:28">
      <c r="O9567" s="1"/>
      <c r="P9567" s="1"/>
      <c r="Q9567" s="1"/>
      <c r="R9567" s="1"/>
      <c r="Z9567" s="103"/>
      <c r="AA9567" s="103"/>
      <c r="AB9567" s="1"/>
    </row>
    <row r="9568" spans="15:28">
      <c r="O9568" s="1"/>
      <c r="P9568" s="1"/>
      <c r="Q9568" s="1"/>
      <c r="R9568" s="1"/>
      <c r="Z9568" s="103"/>
      <c r="AA9568" s="103"/>
      <c r="AB9568" s="1"/>
    </row>
    <row r="9569" spans="15:28">
      <c r="O9569" s="1"/>
      <c r="P9569" s="1"/>
      <c r="Q9569" s="1"/>
      <c r="R9569" s="1"/>
      <c r="Z9569" s="103"/>
      <c r="AA9569" s="103"/>
      <c r="AB9569" s="1"/>
    </row>
    <row r="9570" spans="15:28">
      <c r="O9570" s="1"/>
      <c r="P9570" s="1"/>
      <c r="Q9570" s="1"/>
      <c r="R9570" s="1"/>
      <c r="Z9570" s="103"/>
      <c r="AA9570" s="103"/>
      <c r="AB9570" s="1"/>
    </row>
    <row r="9571" spans="15:28">
      <c r="O9571" s="1"/>
      <c r="P9571" s="1"/>
      <c r="Q9571" s="1"/>
      <c r="R9571" s="1"/>
      <c r="Z9571" s="103"/>
      <c r="AA9571" s="103"/>
      <c r="AB9571" s="1"/>
    </row>
    <row r="9572" spans="15:28">
      <c r="O9572" s="1"/>
      <c r="P9572" s="1"/>
      <c r="Q9572" s="1"/>
      <c r="R9572" s="1"/>
      <c r="Z9572" s="103"/>
      <c r="AA9572" s="103"/>
      <c r="AB9572" s="1"/>
    </row>
    <row r="9573" spans="15:28">
      <c r="O9573" s="1"/>
      <c r="P9573" s="1"/>
      <c r="Q9573" s="1"/>
      <c r="R9573" s="1"/>
      <c r="Z9573" s="103"/>
      <c r="AA9573" s="103"/>
      <c r="AB9573" s="1"/>
    </row>
    <row r="9574" spans="15:28">
      <c r="O9574" s="1"/>
      <c r="P9574" s="1"/>
      <c r="Q9574" s="1"/>
      <c r="R9574" s="1"/>
      <c r="Z9574" s="103"/>
      <c r="AA9574" s="103"/>
      <c r="AB9574" s="1"/>
    </row>
    <row r="9575" spans="15:28">
      <c r="O9575" s="1"/>
      <c r="P9575" s="1"/>
      <c r="Q9575" s="1"/>
      <c r="R9575" s="1"/>
      <c r="Z9575" s="103"/>
      <c r="AA9575" s="103"/>
      <c r="AB9575" s="1"/>
    </row>
    <row r="9576" spans="15:28">
      <c r="O9576" s="1"/>
      <c r="P9576" s="1"/>
      <c r="Q9576" s="1"/>
      <c r="R9576" s="1"/>
      <c r="Z9576" s="103"/>
      <c r="AA9576" s="103"/>
      <c r="AB9576" s="1"/>
    </row>
    <row r="9577" spans="15:28">
      <c r="O9577" s="1"/>
      <c r="P9577" s="1"/>
      <c r="Q9577" s="1"/>
      <c r="R9577" s="1"/>
      <c r="Z9577" s="103"/>
      <c r="AA9577" s="103"/>
      <c r="AB9577" s="1"/>
    </row>
    <row r="9578" spans="15:28">
      <c r="O9578" s="1"/>
      <c r="P9578" s="1"/>
      <c r="Q9578" s="1"/>
      <c r="R9578" s="1"/>
      <c r="Z9578" s="103"/>
      <c r="AA9578" s="103"/>
      <c r="AB9578" s="1"/>
    </row>
    <row r="9579" spans="15:28">
      <c r="O9579" s="1"/>
      <c r="P9579" s="1"/>
      <c r="Q9579" s="1"/>
      <c r="R9579" s="1"/>
      <c r="Z9579" s="103"/>
      <c r="AA9579" s="103"/>
      <c r="AB9579" s="1"/>
    </row>
    <row r="9580" spans="15:28">
      <c r="O9580" s="1"/>
      <c r="P9580" s="1"/>
      <c r="Q9580" s="1"/>
      <c r="R9580" s="1"/>
      <c r="Z9580" s="103"/>
      <c r="AA9580" s="103"/>
      <c r="AB9580" s="1"/>
    </row>
    <row r="9581" spans="15:28">
      <c r="O9581" s="1"/>
      <c r="P9581" s="1"/>
      <c r="Q9581" s="1"/>
      <c r="R9581" s="1"/>
      <c r="Z9581" s="103"/>
      <c r="AA9581" s="103"/>
      <c r="AB9581" s="1"/>
    </row>
    <row r="9582" spans="15:28">
      <c r="O9582" s="1"/>
      <c r="P9582" s="1"/>
      <c r="Q9582" s="1"/>
      <c r="R9582" s="1"/>
      <c r="Z9582" s="103"/>
      <c r="AA9582" s="103"/>
      <c r="AB9582" s="1"/>
    </row>
    <row r="9583" spans="15:28">
      <c r="O9583" s="1"/>
      <c r="P9583" s="1"/>
      <c r="Q9583" s="1"/>
      <c r="R9583" s="1"/>
      <c r="Z9583" s="103"/>
      <c r="AA9583" s="103"/>
      <c r="AB9583" s="1"/>
    </row>
    <row r="9584" spans="15:28">
      <c r="O9584" s="1"/>
      <c r="P9584" s="1"/>
      <c r="Q9584" s="1"/>
      <c r="R9584" s="1"/>
      <c r="Z9584" s="103"/>
      <c r="AA9584" s="103"/>
      <c r="AB9584" s="1"/>
    </row>
    <row r="9585" spans="15:28">
      <c r="O9585" s="1"/>
      <c r="P9585" s="1"/>
      <c r="Q9585" s="1"/>
      <c r="R9585" s="1"/>
      <c r="Z9585" s="103"/>
      <c r="AA9585" s="103"/>
      <c r="AB9585" s="1"/>
    </row>
    <row r="9586" spans="15:28">
      <c r="O9586" s="1"/>
      <c r="P9586" s="1"/>
      <c r="Q9586" s="1"/>
      <c r="R9586" s="1"/>
      <c r="Z9586" s="103"/>
      <c r="AA9586" s="103"/>
      <c r="AB9586" s="1"/>
    </row>
    <row r="9587" spans="15:28">
      <c r="O9587" s="1"/>
      <c r="P9587" s="1"/>
      <c r="Q9587" s="1"/>
      <c r="R9587" s="1"/>
      <c r="Z9587" s="103"/>
      <c r="AA9587" s="103"/>
      <c r="AB9587" s="1"/>
    </row>
    <row r="9588" spans="15:28">
      <c r="O9588" s="1"/>
      <c r="P9588" s="1"/>
      <c r="Q9588" s="1"/>
      <c r="R9588" s="1"/>
      <c r="Z9588" s="103"/>
      <c r="AA9588" s="103"/>
      <c r="AB9588" s="1"/>
    </row>
    <row r="9589" spans="15:28">
      <c r="O9589" s="1"/>
      <c r="P9589" s="1"/>
      <c r="Q9589" s="1"/>
      <c r="R9589" s="1"/>
      <c r="Z9589" s="103"/>
      <c r="AA9589" s="103"/>
      <c r="AB9589" s="1"/>
    </row>
    <row r="9590" spans="15:28">
      <c r="O9590" s="1"/>
      <c r="P9590" s="1"/>
      <c r="Q9590" s="1"/>
      <c r="R9590" s="1"/>
      <c r="Z9590" s="103"/>
      <c r="AA9590" s="103"/>
      <c r="AB9590" s="1"/>
    </row>
    <row r="9591" spans="15:28">
      <c r="O9591" s="1"/>
      <c r="P9591" s="1"/>
      <c r="Q9591" s="1"/>
      <c r="R9591" s="1"/>
      <c r="Z9591" s="103"/>
      <c r="AA9591" s="103"/>
      <c r="AB9591" s="1"/>
    </row>
    <row r="9592" spans="15:28">
      <c r="O9592" s="1"/>
      <c r="P9592" s="1"/>
      <c r="Q9592" s="1"/>
      <c r="R9592" s="1"/>
      <c r="Z9592" s="103"/>
      <c r="AA9592" s="103"/>
      <c r="AB9592" s="1"/>
    </row>
    <row r="9593" spans="15:28">
      <c r="O9593" s="1"/>
      <c r="P9593" s="1"/>
      <c r="Q9593" s="1"/>
      <c r="R9593" s="1"/>
      <c r="Z9593" s="103"/>
      <c r="AA9593" s="103"/>
      <c r="AB9593" s="1"/>
    </row>
    <row r="9594" spans="15:28">
      <c r="O9594" s="1"/>
      <c r="P9594" s="1"/>
      <c r="Q9594" s="1"/>
      <c r="R9594" s="1"/>
      <c r="Z9594" s="103"/>
      <c r="AA9594" s="103"/>
      <c r="AB9594" s="1"/>
    </row>
    <row r="9595" spans="15:28">
      <c r="O9595" s="1"/>
      <c r="P9595" s="1"/>
      <c r="Q9595" s="1"/>
      <c r="R9595" s="1"/>
      <c r="Z9595" s="103"/>
      <c r="AA9595" s="103"/>
      <c r="AB9595" s="1"/>
    </row>
    <row r="9596" spans="15:28">
      <c r="O9596" s="1"/>
      <c r="P9596" s="1"/>
      <c r="Q9596" s="1"/>
      <c r="R9596" s="1"/>
      <c r="Z9596" s="103"/>
      <c r="AA9596" s="103"/>
      <c r="AB9596" s="1"/>
    </row>
    <row r="9597" spans="15:28">
      <c r="O9597" s="1"/>
      <c r="P9597" s="1"/>
      <c r="Q9597" s="1"/>
      <c r="R9597" s="1"/>
      <c r="Z9597" s="103"/>
      <c r="AA9597" s="103"/>
      <c r="AB9597" s="1"/>
    </row>
    <row r="9598" spans="15:28">
      <c r="O9598" s="1"/>
      <c r="P9598" s="1"/>
      <c r="Q9598" s="1"/>
      <c r="R9598" s="1"/>
      <c r="Z9598" s="103"/>
      <c r="AA9598" s="103"/>
      <c r="AB9598" s="1"/>
    </row>
    <row r="9599" spans="15:28">
      <c r="O9599" s="1"/>
      <c r="P9599" s="1"/>
      <c r="Q9599" s="1"/>
      <c r="R9599" s="1"/>
      <c r="Z9599" s="103"/>
      <c r="AA9599" s="103"/>
      <c r="AB9599" s="1"/>
    </row>
    <row r="9600" spans="15:28">
      <c r="O9600" s="1"/>
      <c r="P9600" s="1"/>
      <c r="Q9600" s="1"/>
      <c r="R9600" s="1"/>
      <c r="Z9600" s="103"/>
      <c r="AA9600" s="103"/>
      <c r="AB9600" s="1"/>
    </row>
    <row r="9601" spans="15:28">
      <c r="O9601" s="1"/>
      <c r="P9601" s="1"/>
      <c r="Q9601" s="1"/>
      <c r="R9601" s="1"/>
      <c r="Z9601" s="103"/>
      <c r="AA9601" s="103"/>
      <c r="AB9601" s="1"/>
    </row>
    <row r="9602" spans="15:28">
      <c r="O9602" s="1"/>
      <c r="P9602" s="1"/>
      <c r="Q9602" s="1"/>
      <c r="R9602" s="1"/>
      <c r="Z9602" s="103"/>
      <c r="AA9602" s="103"/>
      <c r="AB9602" s="1"/>
    </row>
    <row r="9603" spans="15:28">
      <c r="O9603" s="1"/>
      <c r="P9603" s="1"/>
      <c r="Q9603" s="1"/>
      <c r="R9603" s="1"/>
      <c r="Z9603" s="103"/>
      <c r="AA9603" s="103"/>
      <c r="AB9603" s="1"/>
    </row>
    <row r="9604" spans="15:28">
      <c r="O9604" s="1"/>
      <c r="P9604" s="1"/>
      <c r="Q9604" s="1"/>
      <c r="R9604" s="1"/>
      <c r="Z9604" s="103"/>
      <c r="AA9604" s="103"/>
      <c r="AB9604" s="1"/>
    </row>
    <row r="9605" spans="15:28">
      <c r="O9605" s="1"/>
      <c r="P9605" s="1"/>
      <c r="Q9605" s="1"/>
      <c r="R9605" s="1"/>
      <c r="Z9605" s="103"/>
      <c r="AA9605" s="103"/>
      <c r="AB9605" s="1"/>
    </row>
    <row r="9606" spans="15:28">
      <c r="O9606" s="1"/>
      <c r="P9606" s="1"/>
      <c r="Q9606" s="1"/>
      <c r="R9606" s="1"/>
      <c r="Z9606" s="103"/>
      <c r="AA9606" s="103"/>
      <c r="AB9606" s="1"/>
    </row>
    <row r="9607" spans="15:28">
      <c r="O9607" s="1"/>
      <c r="P9607" s="1"/>
      <c r="Q9607" s="1"/>
      <c r="R9607" s="1"/>
      <c r="Z9607" s="103"/>
      <c r="AA9607" s="103"/>
      <c r="AB9607" s="1"/>
    </row>
    <row r="9608" spans="15:28">
      <c r="O9608" s="1"/>
      <c r="P9608" s="1"/>
      <c r="Q9608" s="1"/>
      <c r="R9608" s="1"/>
      <c r="Z9608" s="103"/>
      <c r="AA9608" s="103"/>
      <c r="AB9608" s="1"/>
    </row>
    <row r="9609" spans="15:28">
      <c r="O9609" s="1"/>
      <c r="P9609" s="1"/>
      <c r="Q9609" s="1"/>
      <c r="R9609" s="1"/>
      <c r="Z9609" s="103"/>
      <c r="AA9609" s="103"/>
      <c r="AB9609" s="1"/>
    </row>
    <row r="9610" spans="15:28">
      <c r="O9610" s="1"/>
      <c r="P9610" s="1"/>
      <c r="Q9610" s="1"/>
      <c r="R9610" s="1"/>
      <c r="Z9610" s="103"/>
      <c r="AA9610" s="103"/>
      <c r="AB9610" s="1"/>
    </row>
    <row r="9611" spans="15:28">
      <c r="O9611" s="1"/>
      <c r="P9611" s="1"/>
      <c r="Q9611" s="1"/>
      <c r="R9611" s="1"/>
      <c r="Z9611" s="103"/>
      <c r="AA9611" s="103"/>
      <c r="AB9611" s="1"/>
    </row>
    <row r="9612" spans="15:28">
      <c r="O9612" s="1"/>
      <c r="P9612" s="1"/>
      <c r="Q9612" s="1"/>
      <c r="R9612" s="1"/>
      <c r="Z9612" s="103"/>
      <c r="AA9612" s="103"/>
      <c r="AB9612" s="1"/>
    </row>
    <row r="9613" spans="15:28">
      <c r="O9613" s="1"/>
      <c r="P9613" s="1"/>
      <c r="Q9613" s="1"/>
      <c r="R9613" s="1"/>
      <c r="Z9613" s="103"/>
      <c r="AA9613" s="103"/>
      <c r="AB9613" s="1"/>
    </row>
    <row r="9614" spans="15:28">
      <c r="O9614" s="1"/>
      <c r="P9614" s="1"/>
      <c r="Q9614" s="1"/>
      <c r="R9614" s="1"/>
      <c r="Z9614" s="103"/>
      <c r="AA9614" s="103"/>
      <c r="AB9614" s="1"/>
    </row>
    <row r="9615" spans="15:28">
      <c r="O9615" s="1"/>
      <c r="P9615" s="1"/>
      <c r="Q9615" s="1"/>
      <c r="R9615" s="1"/>
      <c r="Z9615" s="103"/>
      <c r="AA9615" s="103"/>
      <c r="AB9615" s="1"/>
    </row>
    <row r="9616" spans="15:28">
      <c r="O9616" s="1"/>
      <c r="P9616" s="1"/>
      <c r="Q9616" s="1"/>
      <c r="R9616" s="1"/>
      <c r="Z9616" s="103"/>
      <c r="AA9616" s="103"/>
      <c r="AB9616" s="1"/>
    </row>
    <row r="9617" spans="15:28">
      <c r="O9617" s="1"/>
      <c r="P9617" s="1"/>
      <c r="Q9617" s="1"/>
      <c r="R9617" s="1"/>
      <c r="Z9617" s="103"/>
      <c r="AA9617" s="103"/>
      <c r="AB9617" s="1"/>
    </row>
    <row r="9618" spans="15:28">
      <c r="O9618" s="1"/>
      <c r="P9618" s="1"/>
      <c r="Q9618" s="1"/>
      <c r="R9618" s="1"/>
      <c r="Z9618" s="103"/>
      <c r="AA9618" s="103"/>
      <c r="AB9618" s="1"/>
    </row>
    <row r="9619" spans="15:28">
      <c r="O9619" s="1"/>
      <c r="P9619" s="1"/>
      <c r="Q9619" s="1"/>
      <c r="R9619" s="1"/>
      <c r="Z9619" s="103"/>
      <c r="AA9619" s="103"/>
      <c r="AB9619" s="1"/>
    </row>
    <row r="9620" spans="15:28">
      <c r="O9620" s="1"/>
      <c r="P9620" s="1"/>
      <c r="Q9620" s="1"/>
      <c r="R9620" s="1"/>
      <c r="Z9620" s="103"/>
      <c r="AA9620" s="103"/>
      <c r="AB9620" s="1"/>
    </row>
    <row r="9621" spans="15:28">
      <c r="O9621" s="1"/>
      <c r="P9621" s="1"/>
      <c r="Q9621" s="1"/>
      <c r="R9621" s="1"/>
      <c r="Z9621" s="103"/>
      <c r="AA9621" s="103"/>
      <c r="AB9621" s="1"/>
    </row>
    <row r="9622" spans="15:28">
      <c r="O9622" s="1"/>
      <c r="P9622" s="1"/>
      <c r="Q9622" s="1"/>
      <c r="R9622" s="1"/>
      <c r="Z9622" s="103"/>
      <c r="AA9622" s="103"/>
      <c r="AB9622" s="1"/>
    </row>
    <row r="9623" spans="15:28">
      <c r="O9623" s="1"/>
      <c r="P9623" s="1"/>
      <c r="Q9623" s="1"/>
      <c r="R9623" s="1"/>
      <c r="Z9623" s="103"/>
      <c r="AA9623" s="103"/>
      <c r="AB9623" s="1"/>
    </row>
    <row r="9624" spans="15:28">
      <c r="O9624" s="1"/>
      <c r="P9624" s="1"/>
      <c r="Q9624" s="1"/>
      <c r="R9624" s="1"/>
      <c r="Z9624" s="103"/>
      <c r="AA9624" s="103"/>
      <c r="AB9624" s="1"/>
    </row>
    <row r="9625" spans="15:28">
      <c r="O9625" s="1"/>
      <c r="P9625" s="1"/>
      <c r="Q9625" s="1"/>
      <c r="R9625" s="1"/>
      <c r="Z9625" s="103"/>
      <c r="AA9625" s="103"/>
      <c r="AB9625" s="1"/>
    </row>
    <row r="9626" spans="15:28">
      <c r="O9626" s="1"/>
      <c r="P9626" s="1"/>
      <c r="Q9626" s="1"/>
      <c r="R9626" s="1"/>
      <c r="Z9626" s="103"/>
      <c r="AA9626" s="103"/>
      <c r="AB9626" s="1"/>
    </row>
    <row r="9627" spans="15:28">
      <c r="O9627" s="1"/>
      <c r="P9627" s="1"/>
      <c r="Q9627" s="1"/>
      <c r="R9627" s="1"/>
      <c r="Z9627" s="103"/>
      <c r="AA9627" s="103"/>
      <c r="AB9627" s="1"/>
    </row>
    <row r="9628" spans="15:28">
      <c r="O9628" s="1"/>
      <c r="P9628" s="1"/>
      <c r="Q9628" s="1"/>
      <c r="R9628" s="1"/>
      <c r="Z9628" s="103"/>
      <c r="AA9628" s="103"/>
      <c r="AB9628" s="1"/>
    </row>
    <row r="9629" spans="15:28">
      <c r="O9629" s="1"/>
      <c r="P9629" s="1"/>
      <c r="Q9629" s="1"/>
      <c r="R9629" s="1"/>
      <c r="Z9629" s="103"/>
      <c r="AA9629" s="103"/>
      <c r="AB9629" s="1"/>
    </row>
    <row r="9630" spans="15:28">
      <c r="O9630" s="1"/>
      <c r="P9630" s="1"/>
      <c r="Q9630" s="1"/>
      <c r="R9630" s="1"/>
      <c r="Z9630" s="103"/>
      <c r="AA9630" s="103"/>
      <c r="AB9630" s="1"/>
    </row>
    <row r="9631" spans="15:28">
      <c r="O9631" s="1"/>
      <c r="P9631" s="1"/>
      <c r="Q9631" s="1"/>
      <c r="R9631" s="1"/>
      <c r="Z9631" s="103"/>
      <c r="AA9631" s="103"/>
      <c r="AB9631" s="1"/>
    </row>
    <row r="9632" spans="15:28">
      <c r="O9632" s="1"/>
      <c r="P9632" s="1"/>
      <c r="Q9632" s="1"/>
      <c r="R9632" s="1"/>
      <c r="Z9632" s="103"/>
      <c r="AA9632" s="103"/>
      <c r="AB9632" s="1"/>
    </row>
    <row r="9633" spans="15:28">
      <c r="O9633" s="1"/>
      <c r="P9633" s="1"/>
      <c r="Q9633" s="1"/>
      <c r="R9633" s="1"/>
      <c r="Z9633" s="103"/>
      <c r="AA9633" s="103"/>
      <c r="AB9633" s="1"/>
    </row>
    <row r="9634" spans="15:28">
      <c r="O9634" s="1"/>
      <c r="P9634" s="1"/>
      <c r="Q9634" s="1"/>
      <c r="R9634" s="1"/>
      <c r="Z9634" s="103"/>
      <c r="AA9634" s="103"/>
      <c r="AB9634" s="1"/>
    </row>
    <row r="9635" spans="15:28">
      <c r="O9635" s="1"/>
      <c r="P9635" s="1"/>
      <c r="Q9635" s="1"/>
      <c r="R9635" s="1"/>
      <c r="Z9635" s="103"/>
      <c r="AA9635" s="103"/>
      <c r="AB9635" s="1"/>
    </row>
    <row r="9636" spans="15:28">
      <c r="O9636" s="1"/>
      <c r="P9636" s="1"/>
      <c r="Q9636" s="1"/>
      <c r="R9636" s="1"/>
      <c r="Z9636" s="103"/>
      <c r="AA9636" s="103"/>
      <c r="AB9636" s="1"/>
    </row>
    <row r="9637" spans="15:28">
      <c r="O9637" s="1"/>
      <c r="P9637" s="1"/>
      <c r="Q9637" s="1"/>
      <c r="R9637" s="1"/>
      <c r="Z9637" s="103"/>
      <c r="AA9637" s="103"/>
      <c r="AB9637" s="1"/>
    </row>
    <row r="9638" spans="15:28">
      <c r="O9638" s="1"/>
      <c r="P9638" s="1"/>
      <c r="Q9638" s="1"/>
      <c r="R9638" s="1"/>
      <c r="Z9638" s="103"/>
      <c r="AA9638" s="103"/>
      <c r="AB9638" s="1"/>
    </row>
    <row r="9639" spans="15:28">
      <c r="O9639" s="1"/>
      <c r="P9639" s="1"/>
      <c r="Q9639" s="1"/>
      <c r="R9639" s="1"/>
      <c r="Z9639" s="103"/>
      <c r="AA9639" s="103"/>
      <c r="AB9639" s="1"/>
    </row>
    <row r="9640" spans="15:28">
      <c r="O9640" s="1"/>
      <c r="P9640" s="1"/>
      <c r="Q9640" s="1"/>
      <c r="R9640" s="1"/>
      <c r="Z9640" s="103"/>
      <c r="AA9640" s="103"/>
      <c r="AB9640" s="1"/>
    </row>
    <row r="9641" spans="15:28">
      <c r="O9641" s="1"/>
      <c r="P9641" s="1"/>
      <c r="Q9641" s="1"/>
      <c r="R9641" s="1"/>
      <c r="Z9641" s="103"/>
      <c r="AA9641" s="103"/>
      <c r="AB9641" s="1"/>
    </row>
    <row r="9642" spans="15:28">
      <c r="O9642" s="1"/>
      <c r="P9642" s="1"/>
      <c r="Q9642" s="1"/>
      <c r="R9642" s="1"/>
      <c r="Z9642" s="103"/>
      <c r="AA9642" s="103"/>
      <c r="AB9642" s="1"/>
    </row>
    <row r="9643" spans="15:28">
      <c r="O9643" s="1"/>
      <c r="P9643" s="1"/>
      <c r="Q9643" s="1"/>
      <c r="R9643" s="1"/>
      <c r="Z9643" s="103"/>
      <c r="AA9643" s="103"/>
      <c r="AB9643" s="1"/>
    </row>
    <row r="9644" spans="15:28">
      <c r="O9644" s="1"/>
      <c r="P9644" s="1"/>
      <c r="Q9644" s="1"/>
      <c r="R9644" s="1"/>
      <c r="Z9644" s="103"/>
      <c r="AA9644" s="103"/>
      <c r="AB9644" s="1"/>
    </row>
    <row r="9645" spans="15:28">
      <c r="O9645" s="1"/>
      <c r="P9645" s="1"/>
      <c r="Q9645" s="1"/>
      <c r="R9645" s="1"/>
      <c r="Z9645" s="103"/>
      <c r="AA9645" s="103"/>
      <c r="AB9645" s="1"/>
    </row>
    <row r="9646" spans="15:28">
      <c r="O9646" s="1"/>
      <c r="P9646" s="1"/>
      <c r="Q9646" s="1"/>
      <c r="R9646" s="1"/>
      <c r="Z9646" s="103"/>
      <c r="AA9646" s="103"/>
      <c r="AB9646" s="1"/>
    </row>
    <row r="9647" spans="15:28">
      <c r="O9647" s="1"/>
      <c r="P9647" s="1"/>
      <c r="Q9647" s="1"/>
      <c r="R9647" s="1"/>
      <c r="Z9647" s="103"/>
      <c r="AA9647" s="103"/>
      <c r="AB9647" s="1"/>
    </row>
    <row r="9648" spans="15:28">
      <c r="O9648" s="1"/>
      <c r="P9648" s="1"/>
      <c r="Q9648" s="1"/>
      <c r="R9648" s="1"/>
      <c r="Z9648" s="103"/>
      <c r="AA9648" s="103"/>
      <c r="AB9648" s="1"/>
    </row>
    <row r="9649" spans="15:28">
      <c r="O9649" s="1"/>
      <c r="P9649" s="1"/>
      <c r="Q9649" s="1"/>
      <c r="R9649" s="1"/>
      <c r="Z9649" s="103"/>
      <c r="AA9649" s="103"/>
      <c r="AB9649" s="1"/>
    </row>
    <row r="9650" spans="15:28">
      <c r="O9650" s="1"/>
      <c r="P9650" s="1"/>
      <c r="Q9650" s="1"/>
      <c r="R9650" s="1"/>
      <c r="Z9650" s="103"/>
      <c r="AA9650" s="103"/>
      <c r="AB9650" s="1"/>
    </row>
    <row r="9651" spans="15:28">
      <c r="O9651" s="1"/>
      <c r="P9651" s="1"/>
      <c r="Q9651" s="1"/>
      <c r="R9651" s="1"/>
      <c r="Z9651" s="103"/>
      <c r="AA9651" s="103"/>
      <c r="AB9651" s="1"/>
    </row>
    <row r="9652" spans="15:28">
      <c r="O9652" s="1"/>
      <c r="P9652" s="1"/>
      <c r="Q9652" s="1"/>
      <c r="R9652" s="1"/>
      <c r="Z9652" s="103"/>
      <c r="AA9652" s="103"/>
      <c r="AB9652" s="1"/>
    </row>
    <row r="9653" spans="15:28">
      <c r="O9653" s="1"/>
      <c r="P9653" s="1"/>
      <c r="Q9653" s="1"/>
      <c r="R9653" s="1"/>
      <c r="Z9653" s="103"/>
      <c r="AA9653" s="103"/>
      <c r="AB9653" s="1"/>
    </row>
    <row r="9654" spans="15:28">
      <c r="O9654" s="1"/>
      <c r="P9654" s="1"/>
      <c r="Q9654" s="1"/>
      <c r="R9654" s="1"/>
      <c r="Z9654" s="103"/>
      <c r="AA9654" s="103"/>
      <c r="AB9654" s="1"/>
    </row>
    <row r="9655" spans="15:28">
      <c r="O9655" s="1"/>
      <c r="P9655" s="1"/>
      <c r="Q9655" s="1"/>
      <c r="R9655" s="1"/>
      <c r="Z9655" s="103"/>
      <c r="AA9655" s="103"/>
      <c r="AB9655" s="1"/>
    </row>
    <row r="9656" spans="15:28">
      <c r="O9656" s="1"/>
      <c r="P9656" s="1"/>
      <c r="Q9656" s="1"/>
      <c r="R9656" s="1"/>
      <c r="Z9656" s="103"/>
      <c r="AA9656" s="103"/>
      <c r="AB9656" s="1"/>
    </row>
    <row r="9657" spans="15:28">
      <c r="O9657" s="1"/>
      <c r="P9657" s="1"/>
      <c r="Q9657" s="1"/>
      <c r="R9657" s="1"/>
      <c r="Z9657" s="103"/>
      <c r="AA9657" s="103"/>
      <c r="AB9657" s="1"/>
    </row>
    <row r="9658" spans="15:28">
      <c r="O9658" s="1"/>
      <c r="P9658" s="1"/>
      <c r="Q9658" s="1"/>
      <c r="R9658" s="1"/>
      <c r="Z9658" s="103"/>
      <c r="AA9658" s="103"/>
      <c r="AB9658" s="1"/>
    </row>
    <row r="9659" spans="15:28">
      <c r="O9659" s="1"/>
      <c r="P9659" s="1"/>
      <c r="Q9659" s="1"/>
      <c r="R9659" s="1"/>
      <c r="Z9659" s="103"/>
      <c r="AA9659" s="103"/>
      <c r="AB9659" s="1"/>
    </row>
    <row r="9660" spans="15:28">
      <c r="O9660" s="1"/>
      <c r="P9660" s="1"/>
      <c r="Q9660" s="1"/>
      <c r="R9660" s="1"/>
      <c r="Z9660" s="103"/>
      <c r="AA9660" s="103"/>
      <c r="AB9660" s="1"/>
    </row>
    <row r="9661" spans="15:28">
      <c r="O9661" s="1"/>
      <c r="P9661" s="1"/>
      <c r="Q9661" s="1"/>
      <c r="R9661" s="1"/>
      <c r="Z9661" s="103"/>
      <c r="AA9661" s="103"/>
      <c r="AB9661" s="1"/>
    </row>
    <row r="9662" spans="15:28">
      <c r="O9662" s="1"/>
      <c r="P9662" s="1"/>
      <c r="Q9662" s="1"/>
      <c r="R9662" s="1"/>
      <c r="Z9662" s="103"/>
      <c r="AA9662" s="103"/>
      <c r="AB9662" s="1"/>
    </row>
    <row r="9663" spans="15:28">
      <c r="O9663" s="1"/>
      <c r="P9663" s="1"/>
      <c r="Q9663" s="1"/>
      <c r="R9663" s="1"/>
      <c r="Z9663" s="103"/>
      <c r="AA9663" s="103"/>
      <c r="AB9663" s="1"/>
    </row>
    <row r="9664" spans="15:28">
      <c r="O9664" s="1"/>
      <c r="P9664" s="1"/>
      <c r="Q9664" s="1"/>
      <c r="R9664" s="1"/>
      <c r="Z9664" s="103"/>
      <c r="AA9664" s="103"/>
      <c r="AB9664" s="1"/>
    </row>
    <row r="9665" spans="15:28">
      <c r="O9665" s="1"/>
      <c r="P9665" s="1"/>
      <c r="Q9665" s="1"/>
      <c r="R9665" s="1"/>
      <c r="Z9665" s="103"/>
      <c r="AA9665" s="103"/>
      <c r="AB9665" s="1"/>
    </row>
    <row r="9666" spans="15:28">
      <c r="O9666" s="1"/>
      <c r="P9666" s="1"/>
      <c r="Q9666" s="1"/>
      <c r="R9666" s="1"/>
      <c r="Z9666" s="103"/>
      <c r="AA9666" s="103"/>
      <c r="AB9666" s="1"/>
    </row>
    <row r="9667" spans="15:28">
      <c r="O9667" s="1"/>
      <c r="P9667" s="1"/>
      <c r="Q9667" s="1"/>
      <c r="R9667" s="1"/>
      <c r="Z9667" s="103"/>
      <c r="AA9667" s="103"/>
      <c r="AB9667" s="1"/>
    </row>
    <row r="9668" spans="15:28">
      <c r="O9668" s="1"/>
      <c r="P9668" s="1"/>
      <c r="Q9668" s="1"/>
      <c r="R9668" s="1"/>
      <c r="Z9668" s="103"/>
      <c r="AA9668" s="103"/>
      <c r="AB9668" s="1"/>
    </row>
    <row r="9669" spans="15:28">
      <c r="O9669" s="1"/>
      <c r="P9669" s="1"/>
      <c r="Q9669" s="1"/>
      <c r="R9669" s="1"/>
      <c r="Z9669" s="103"/>
      <c r="AA9669" s="103"/>
      <c r="AB9669" s="1"/>
    </row>
    <row r="9670" spans="15:28">
      <c r="O9670" s="1"/>
      <c r="P9670" s="1"/>
      <c r="Q9670" s="1"/>
      <c r="R9670" s="1"/>
      <c r="Z9670" s="103"/>
      <c r="AA9670" s="103"/>
      <c r="AB9670" s="1"/>
    </row>
    <row r="9671" spans="15:28">
      <c r="O9671" s="1"/>
      <c r="P9671" s="1"/>
      <c r="Q9671" s="1"/>
      <c r="R9671" s="1"/>
      <c r="Z9671" s="103"/>
      <c r="AA9671" s="103"/>
      <c r="AB9671" s="1"/>
    </row>
    <row r="9672" spans="15:28">
      <c r="O9672" s="1"/>
      <c r="P9672" s="1"/>
      <c r="Q9672" s="1"/>
      <c r="R9672" s="1"/>
      <c r="Z9672" s="103"/>
      <c r="AA9672" s="103"/>
      <c r="AB9672" s="1"/>
    </row>
    <row r="9673" spans="15:28">
      <c r="O9673" s="1"/>
      <c r="P9673" s="1"/>
      <c r="Q9673" s="1"/>
      <c r="R9673" s="1"/>
      <c r="Z9673" s="103"/>
      <c r="AA9673" s="103"/>
      <c r="AB9673" s="1"/>
    </row>
    <row r="9674" spans="15:28">
      <c r="O9674" s="1"/>
      <c r="P9674" s="1"/>
      <c r="Q9674" s="1"/>
      <c r="R9674" s="1"/>
      <c r="Z9674" s="103"/>
      <c r="AA9674" s="103"/>
      <c r="AB9674" s="1"/>
    </row>
    <row r="9675" spans="15:28">
      <c r="O9675" s="1"/>
      <c r="P9675" s="1"/>
      <c r="Q9675" s="1"/>
      <c r="R9675" s="1"/>
      <c r="Z9675" s="103"/>
      <c r="AA9675" s="103"/>
      <c r="AB9675" s="1"/>
    </row>
    <row r="9676" spans="15:28">
      <c r="O9676" s="1"/>
      <c r="P9676" s="1"/>
      <c r="Q9676" s="1"/>
      <c r="R9676" s="1"/>
      <c r="Z9676" s="103"/>
      <c r="AA9676" s="103"/>
      <c r="AB9676" s="1"/>
    </row>
    <row r="9677" spans="15:28">
      <c r="O9677" s="1"/>
      <c r="P9677" s="1"/>
      <c r="Q9677" s="1"/>
      <c r="R9677" s="1"/>
      <c r="Z9677" s="103"/>
      <c r="AA9677" s="103"/>
      <c r="AB9677" s="1"/>
    </row>
    <row r="9678" spans="15:28">
      <c r="O9678" s="1"/>
      <c r="P9678" s="1"/>
      <c r="Q9678" s="1"/>
      <c r="R9678" s="1"/>
      <c r="Z9678" s="103"/>
      <c r="AA9678" s="103"/>
      <c r="AB9678" s="1"/>
    </row>
    <row r="9679" spans="15:28">
      <c r="O9679" s="1"/>
      <c r="P9679" s="1"/>
      <c r="Q9679" s="1"/>
      <c r="R9679" s="1"/>
      <c r="Z9679" s="103"/>
      <c r="AA9679" s="103"/>
      <c r="AB9679" s="1"/>
    </row>
    <row r="9680" spans="15:28">
      <c r="O9680" s="1"/>
      <c r="P9680" s="1"/>
      <c r="Q9680" s="1"/>
      <c r="R9680" s="1"/>
      <c r="Z9680" s="103"/>
      <c r="AA9680" s="103"/>
      <c r="AB9680" s="1"/>
    </row>
    <row r="9681" spans="15:28">
      <c r="O9681" s="1"/>
      <c r="P9681" s="1"/>
      <c r="Q9681" s="1"/>
      <c r="R9681" s="1"/>
      <c r="Z9681" s="103"/>
      <c r="AA9681" s="103"/>
      <c r="AB9681" s="1"/>
    </row>
    <row r="9682" spans="15:28">
      <c r="O9682" s="1"/>
      <c r="P9682" s="1"/>
      <c r="Q9682" s="1"/>
      <c r="R9682" s="1"/>
      <c r="Z9682" s="103"/>
      <c r="AA9682" s="103"/>
      <c r="AB9682" s="1"/>
    </row>
    <row r="9683" spans="15:28">
      <c r="O9683" s="1"/>
      <c r="P9683" s="1"/>
      <c r="Q9683" s="1"/>
      <c r="R9683" s="1"/>
      <c r="Z9683" s="103"/>
      <c r="AA9683" s="103"/>
      <c r="AB9683" s="1"/>
    </row>
    <row r="9684" spans="15:28">
      <c r="O9684" s="1"/>
      <c r="P9684" s="1"/>
      <c r="Q9684" s="1"/>
      <c r="R9684" s="1"/>
      <c r="Z9684" s="103"/>
      <c r="AA9684" s="103"/>
      <c r="AB9684" s="1"/>
    </row>
    <row r="9685" spans="15:28">
      <c r="O9685" s="1"/>
      <c r="P9685" s="1"/>
      <c r="Q9685" s="1"/>
      <c r="R9685" s="1"/>
      <c r="Z9685" s="103"/>
      <c r="AA9685" s="103"/>
      <c r="AB9685" s="1"/>
    </row>
    <row r="9686" spans="15:28">
      <c r="O9686" s="1"/>
      <c r="P9686" s="1"/>
      <c r="Q9686" s="1"/>
      <c r="R9686" s="1"/>
      <c r="Z9686" s="103"/>
      <c r="AA9686" s="103"/>
      <c r="AB9686" s="1"/>
    </row>
    <row r="9687" spans="15:28">
      <c r="O9687" s="1"/>
      <c r="P9687" s="1"/>
      <c r="Q9687" s="1"/>
      <c r="R9687" s="1"/>
      <c r="Z9687" s="103"/>
      <c r="AA9687" s="103"/>
      <c r="AB9687" s="1"/>
    </row>
    <row r="9688" spans="15:28">
      <c r="O9688" s="1"/>
      <c r="P9688" s="1"/>
      <c r="Q9688" s="1"/>
      <c r="R9688" s="1"/>
      <c r="Z9688" s="103"/>
      <c r="AA9688" s="103"/>
      <c r="AB9688" s="1"/>
    </row>
    <row r="9689" spans="15:28">
      <c r="O9689" s="1"/>
      <c r="P9689" s="1"/>
      <c r="Q9689" s="1"/>
      <c r="R9689" s="1"/>
      <c r="Z9689" s="103"/>
      <c r="AA9689" s="103"/>
      <c r="AB9689" s="1"/>
    </row>
    <row r="9690" spans="15:28">
      <c r="O9690" s="1"/>
      <c r="P9690" s="1"/>
      <c r="Q9690" s="1"/>
      <c r="R9690" s="1"/>
      <c r="Z9690" s="103"/>
      <c r="AA9690" s="103"/>
      <c r="AB9690" s="1"/>
    </row>
    <row r="9691" spans="15:28">
      <c r="O9691" s="1"/>
      <c r="P9691" s="1"/>
      <c r="Q9691" s="1"/>
      <c r="R9691" s="1"/>
      <c r="Z9691" s="103"/>
      <c r="AA9691" s="103"/>
      <c r="AB9691" s="1"/>
    </row>
    <row r="9692" spans="15:28">
      <c r="O9692" s="1"/>
      <c r="P9692" s="1"/>
      <c r="Q9692" s="1"/>
      <c r="R9692" s="1"/>
      <c r="Z9692" s="103"/>
      <c r="AA9692" s="103"/>
      <c r="AB9692" s="1"/>
    </row>
    <row r="9693" spans="15:28">
      <c r="O9693" s="1"/>
      <c r="P9693" s="1"/>
      <c r="Q9693" s="1"/>
      <c r="R9693" s="1"/>
      <c r="Z9693" s="103"/>
      <c r="AA9693" s="103"/>
      <c r="AB9693" s="1"/>
    </row>
    <row r="9694" spans="15:28">
      <c r="O9694" s="1"/>
      <c r="P9694" s="1"/>
      <c r="Q9694" s="1"/>
      <c r="R9694" s="1"/>
      <c r="Z9694" s="103"/>
      <c r="AA9694" s="103"/>
      <c r="AB9694" s="1"/>
    </row>
    <row r="9695" spans="15:28">
      <c r="O9695" s="1"/>
      <c r="P9695" s="1"/>
      <c r="Q9695" s="1"/>
      <c r="R9695" s="1"/>
      <c r="Z9695" s="103"/>
      <c r="AA9695" s="103"/>
      <c r="AB9695" s="1"/>
    </row>
    <row r="9696" spans="15:28">
      <c r="O9696" s="1"/>
      <c r="P9696" s="1"/>
      <c r="Q9696" s="1"/>
      <c r="R9696" s="1"/>
      <c r="Z9696" s="103"/>
      <c r="AA9696" s="103"/>
      <c r="AB9696" s="1"/>
    </row>
    <row r="9697" spans="15:28">
      <c r="O9697" s="1"/>
      <c r="P9697" s="1"/>
      <c r="Q9697" s="1"/>
      <c r="R9697" s="1"/>
      <c r="Z9697" s="103"/>
      <c r="AA9697" s="103"/>
      <c r="AB9697" s="1"/>
    </row>
    <row r="9698" spans="15:28">
      <c r="O9698" s="1"/>
      <c r="P9698" s="1"/>
      <c r="Q9698" s="1"/>
      <c r="R9698" s="1"/>
      <c r="Z9698" s="103"/>
      <c r="AA9698" s="103"/>
      <c r="AB9698" s="1"/>
    </row>
    <row r="9699" spans="15:28">
      <c r="O9699" s="1"/>
      <c r="P9699" s="1"/>
      <c r="Q9699" s="1"/>
      <c r="R9699" s="1"/>
      <c r="Z9699" s="103"/>
      <c r="AA9699" s="103"/>
      <c r="AB9699" s="1"/>
    </row>
    <row r="9700" spans="15:28">
      <c r="O9700" s="1"/>
      <c r="P9700" s="1"/>
      <c r="Q9700" s="1"/>
      <c r="R9700" s="1"/>
      <c r="Z9700" s="103"/>
      <c r="AA9700" s="103"/>
      <c r="AB9700" s="1"/>
    </row>
    <row r="9701" spans="15:28">
      <c r="O9701" s="1"/>
      <c r="P9701" s="1"/>
      <c r="Q9701" s="1"/>
      <c r="R9701" s="1"/>
      <c r="Z9701" s="103"/>
      <c r="AA9701" s="103"/>
      <c r="AB9701" s="1"/>
    </row>
    <row r="9702" spans="15:28">
      <c r="O9702" s="1"/>
      <c r="P9702" s="1"/>
      <c r="Q9702" s="1"/>
      <c r="R9702" s="1"/>
      <c r="Z9702" s="103"/>
      <c r="AA9702" s="103"/>
      <c r="AB9702" s="1"/>
    </row>
    <row r="9703" spans="15:28">
      <c r="O9703" s="1"/>
      <c r="P9703" s="1"/>
      <c r="Q9703" s="1"/>
      <c r="R9703" s="1"/>
      <c r="Z9703" s="103"/>
      <c r="AA9703" s="103"/>
      <c r="AB9703" s="1"/>
    </row>
    <row r="9704" spans="15:28">
      <c r="O9704" s="1"/>
      <c r="P9704" s="1"/>
      <c r="Q9704" s="1"/>
      <c r="R9704" s="1"/>
      <c r="Z9704" s="103"/>
      <c r="AA9704" s="103"/>
      <c r="AB9704" s="1"/>
    </row>
    <row r="9705" spans="15:28">
      <c r="O9705" s="1"/>
      <c r="P9705" s="1"/>
      <c r="Q9705" s="1"/>
      <c r="R9705" s="1"/>
      <c r="Z9705" s="103"/>
      <c r="AA9705" s="103"/>
      <c r="AB9705" s="1"/>
    </row>
    <row r="9706" spans="15:28">
      <c r="O9706" s="1"/>
      <c r="P9706" s="1"/>
      <c r="Q9706" s="1"/>
      <c r="R9706" s="1"/>
      <c r="Z9706" s="103"/>
      <c r="AA9706" s="103"/>
      <c r="AB9706" s="1"/>
    </row>
    <row r="9707" spans="15:28">
      <c r="O9707" s="1"/>
      <c r="P9707" s="1"/>
      <c r="Q9707" s="1"/>
      <c r="R9707" s="1"/>
      <c r="Z9707" s="103"/>
      <c r="AA9707" s="103"/>
      <c r="AB9707" s="1"/>
    </row>
    <row r="9708" spans="15:28">
      <c r="O9708" s="1"/>
      <c r="P9708" s="1"/>
      <c r="Q9708" s="1"/>
      <c r="R9708" s="1"/>
      <c r="Z9708" s="103"/>
      <c r="AA9708" s="103"/>
      <c r="AB9708" s="1"/>
    </row>
    <row r="9709" spans="15:28">
      <c r="O9709" s="1"/>
      <c r="P9709" s="1"/>
      <c r="Q9709" s="1"/>
      <c r="R9709" s="1"/>
      <c r="Z9709" s="103"/>
      <c r="AA9709" s="103"/>
      <c r="AB9709" s="1"/>
    </row>
    <row r="9710" spans="15:28">
      <c r="O9710" s="1"/>
      <c r="P9710" s="1"/>
      <c r="Q9710" s="1"/>
      <c r="R9710" s="1"/>
      <c r="Z9710" s="103"/>
      <c r="AA9710" s="103"/>
      <c r="AB9710" s="1"/>
    </row>
    <row r="9711" spans="15:28">
      <c r="O9711" s="1"/>
      <c r="P9711" s="1"/>
      <c r="Q9711" s="1"/>
      <c r="R9711" s="1"/>
      <c r="Z9711" s="103"/>
      <c r="AA9711" s="103"/>
      <c r="AB9711" s="1"/>
    </row>
    <row r="9712" spans="15:28">
      <c r="O9712" s="1"/>
      <c r="P9712" s="1"/>
      <c r="Q9712" s="1"/>
      <c r="R9712" s="1"/>
      <c r="Z9712" s="103"/>
      <c r="AA9712" s="103"/>
      <c r="AB9712" s="1"/>
    </row>
    <row r="9713" spans="15:28">
      <c r="O9713" s="1"/>
      <c r="P9713" s="1"/>
      <c r="Q9713" s="1"/>
      <c r="R9713" s="1"/>
      <c r="Z9713" s="103"/>
      <c r="AA9713" s="103"/>
      <c r="AB9713" s="1"/>
    </row>
    <row r="9714" spans="15:28">
      <c r="O9714" s="1"/>
      <c r="P9714" s="1"/>
      <c r="Q9714" s="1"/>
      <c r="R9714" s="1"/>
      <c r="Z9714" s="103"/>
      <c r="AA9714" s="103"/>
      <c r="AB9714" s="1"/>
    </row>
    <row r="9715" spans="15:28">
      <c r="O9715" s="1"/>
      <c r="P9715" s="1"/>
      <c r="Q9715" s="1"/>
      <c r="R9715" s="1"/>
      <c r="Z9715" s="103"/>
      <c r="AA9715" s="103"/>
      <c r="AB9715" s="1"/>
    </row>
    <row r="9716" spans="15:28">
      <c r="O9716" s="1"/>
      <c r="P9716" s="1"/>
      <c r="Q9716" s="1"/>
      <c r="R9716" s="1"/>
      <c r="Z9716" s="103"/>
      <c r="AA9716" s="103"/>
      <c r="AB9716" s="1"/>
    </row>
    <row r="9717" spans="15:28">
      <c r="O9717" s="1"/>
      <c r="P9717" s="1"/>
      <c r="Q9717" s="1"/>
      <c r="R9717" s="1"/>
      <c r="Z9717" s="103"/>
      <c r="AA9717" s="103"/>
      <c r="AB9717" s="1"/>
    </row>
    <row r="9718" spans="15:28">
      <c r="O9718" s="1"/>
      <c r="P9718" s="1"/>
      <c r="Q9718" s="1"/>
      <c r="R9718" s="1"/>
      <c r="Z9718" s="103"/>
      <c r="AA9718" s="103"/>
      <c r="AB9718" s="1"/>
    </row>
    <row r="9719" spans="15:28">
      <c r="O9719" s="1"/>
      <c r="P9719" s="1"/>
      <c r="Q9719" s="1"/>
      <c r="R9719" s="1"/>
      <c r="Z9719" s="103"/>
      <c r="AA9719" s="103"/>
      <c r="AB9719" s="1"/>
    </row>
    <row r="9720" spans="15:28">
      <c r="O9720" s="1"/>
      <c r="P9720" s="1"/>
      <c r="Q9720" s="1"/>
      <c r="R9720" s="1"/>
      <c r="Z9720" s="103"/>
      <c r="AA9720" s="103"/>
      <c r="AB9720" s="1"/>
    </row>
    <row r="9721" spans="15:28">
      <c r="O9721" s="1"/>
      <c r="P9721" s="1"/>
      <c r="Q9721" s="1"/>
      <c r="R9721" s="1"/>
      <c r="Z9721" s="103"/>
      <c r="AA9721" s="103"/>
      <c r="AB9721" s="1"/>
    </row>
    <row r="9722" spans="15:28">
      <c r="O9722" s="1"/>
      <c r="P9722" s="1"/>
      <c r="Q9722" s="1"/>
      <c r="R9722" s="1"/>
      <c r="Z9722" s="103"/>
      <c r="AA9722" s="103"/>
      <c r="AB9722" s="1"/>
    </row>
    <row r="9723" spans="15:28">
      <c r="O9723" s="1"/>
      <c r="P9723" s="1"/>
      <c r="Q9723" s="1"/>
      <c r="R9723" s="1"/>
      <c r="Z9723" s="103"/>
      <c r="AA9723" s="103"/>
      <c r="AB9723" s="1"/>
    </row>
    <row r="9724" spans="15:28">
      <c r="O9724" s="1"/>
      <c r="P9724" s="1"/>
      <c r="Q9724" s="1"/>
      <c r="R9724" s="1"/>
      <c r="Z9724" s="103"/>
      <c r="AA9724" s="103"/>
      <c r="AB9724" s="1"/>
    </row>
    <row r="9725" spans="15:28">
      <c r="O9725" s="1"/>
      <c r="P9725" s="1"/>
      <c r="Q9725" s="1"/>
      <c r="R9725" s="1"/>
      <c r="Z9725" s="103"/>
      <c r="AA9725" s="103"/>
      <c r="AB9725" s="1"/>
    </row>
    <row r="9726" spans="15:28">
      <c r="O9726" s="1"/>
      <c r="P9726" s="1"/>
      <c r="Q9726" s="1"/>
      <c r="R9726" s="1"/>
      <c r="Z9726" s="103"/>
      <c r="AA9726" s="103"/>
      <c r="AB9726" s="1"/>
    </row>
    <row r="9727" spans="15:28">
      <c r="O9727" s="1"/>
      <c r="P9727" s="1"/>
      <c r="Q9727" s="1"/>
      <c r="R9727" s="1"/>
      <c r="Z9727" s="103"/>
      <c r="AA9727" s="103"/>
      <c r="AB9727" s="1"/>
    </row>
    <row r="9728" spans="15:28">
      <c r="O9728" s="1"/>
      <c r="P9728" s="1"/>
      <c r="Q9728" s="1"/>
      <c r="R9728" s="1"/>
      <c r="Z9728" s="103"/>
      <c r="AA9728" s="103"/>
      <c r="AB9728" s="1"/>
    </row>
    <row r="9729" spans="15:28">
      <c r="O9729" s="1"/>
      <c r="P9729" s="1"/>
      <c r="Q9729" s="1"/>
      <c r="R9729" s="1"/>
      <c r="Z9729" s="103"/>
      <c r="AA9729" s="103"/>
      <c r="AB9729" s="1"/>
    </row>
    <row r="9730" spans="15:28">
      <c r="O9730" s="1"/>
      <c r="P9730" s="1"/>
      <c r="Q9730" s="1"/>
      <c r="R9730" s="1"/>
      <c r="Z9730" s="103"/>
      <c r="AA9730" s="103"/>
      <c r="AB9730" s="1"/>
    </row>
    <row r="9731" spans="15:28">
      <c r="O9731" s="1"/>
      <c r="P9731" s="1"/>
      <c r="Q9731" s="1"/>
      <c r="R9731" s="1"/>
      <c r="Z9731" s="103"/>
      <c r="AA9731" s="103"/>
      <c r="AB9731" s="1"/>
    </row>
    <row r="9732" spans="15:28">
      <c r="O9732" s="1"/>
      <c r="P9732" s="1"/>
      <c r="Q9732" s="1"/>
      <c r="R9732" s="1"/>
      <c r="Z9732" s="103"/>
      <c r="AA9732" s="103"/>
      <c r="AB9732" s="1"/>
    </row>
    <row r="9733" spans="15:28">
      <c r="O9733" s="1"/>
      <c r="P9733" s="1"/>
      <c r="Q9733" s="1"/>
      <c r="R9733" s="1"/>
      <c r="Z9733" s="103"/>
      <c r="AA9733" s="103"/>
      <c r="AB9733" s="1"/>
    </row>
    <row r="9734" spans="15:28">
      <c r="O9734" s="1"/>
      <c r="P9734" s="1"/>
      <c r="Q9734" s="1"/>
      <c r="R9734" s="1"/>
      <c r="Z9734" s="103"/>
      <c r="AA9734" s="103"/>
      <c r="AB9734" s="1"/>
    </row>
    <row r="9735" spans="15:28">
      <c r="O9735" s="1"/>
      <c r="P9735" s="1"/>
      <c r="Q9735" s="1"/>
      <c r="R9735" s="1"/>
      <c r="Z9735" s="103"/>
      <c r="AA9735" s="103"/>
      <c r="AB9735" s="1"/>
    </row>
    <row r="9736" spans="15:28">
      <c r="O9736" s="1"/>
      <c r="P9736" s="1"/>
      <c r="Q9736" s="1"/>
      <c r="R9736" s="1"/>
      <c r="Z9736" s="103"/>
      <c r="AA9736" s="103"/>
      <c r="AB9736" s="1"/>
    </row>
    <row r="9737" spans="15:28">
      <c r="O9737" s="1"/>
      <c r="P9737" s="1"/>
      <c r="Q9737" s="1"/>
      <c r="R9737" s="1"/>
      <c r="Z9737" s="103"/>
      <c r="AA9737" s="103"/>
      <c r="AB9737" s="1"/>
    </row>
    <row r="9738" spans="15:28">
      <c r="O9738" s="1"/>
      <c r="P9738" s="1"/>
      <c r="Q9738" s="1"/>
      <c r="R9738" s="1"/>
      <c r="Z9738" s="103"/>
      <c r="AA9738" s="103"/>
      <c r="AB9738" s="1"/>
    </row>
    <row r="9739" spans="15:28">
      <c r="O9739" s="1"/>
      <c r="P9739" s="1"/>
      <c r="Q9739" s="1"/>
      <c r="R9739" s="1"/>
      <c r="Z9739" s="103"/>
      <c r="AA9739" s="103"/>
      <c r="AB9739" s="1"/>
    </row>
    <row r="9740" spans="15:28">
      <c r="O9740" s="1"/>
      <c r="P9740" s="1"/>
      <c r="Q9740" s="1"/>
      <c r="R9740" s="1"/>
      <c r="Z9740" s="103"/>
      <c r="AA9740" s="103"/>
      <c r="AB9740" s="1"/>
    </row>
    <row r="9741" spans="15:28">
      <c r="O9741" s="1"/>
      <c r="P9741" s="1"/>
      <c r="Q9741" s="1"/>
      <c r="R9741" s="1"/>
      <c r="Z9741" s="103"/>
      <c r="AA9741" s="103"/>
      <c r="AB9741" s="1"/>
    </row>
    <row r="9742" spans="15:28">
      <c r="O9742" s="1"/>
      <c r="P9742" s="1"/>
      <c r="Q9742" s="1"/>
      <c r="R9742" s="1"/>
      <c r="Z9742" s="103"/>
      <c r="AA9742" s="103"/>
      <c r="AB9742" s="1"/>
    </row>
    <row r="9743" spans="15:28">
      <c r="O9743" s="1"/>
      <c r="P9743" s="1"/>
      <c r="Q9743" s="1"/>
      <c r="R9743" s="1"/>
      <c r="Z9743" s="103"/>
      <c r="AA9743" s="103"/>
      <c r="AB9743" s="1"/>
    </row>
    <row r="9744" spans="15:28">
      <c r="O9744" s="1"/>
      <c r="P9744" s="1"/>
      <c r="Q9744" s="1"/>
      <c r="R9744" s="1"/>
      <c r="Z9744" s="103"/>
      <c r="AA9744" s="103"/>
      <c r="AB9744" s="1"/>
    </row>
    <row r="9745" spans="15:28">
      <c r="O9745" s="1"/>
      <c r="P9745" s="1"/>
      <c r="Q9745" s="1"/>
      <c r="R9745" s="1"/>
      <c r="Z9745" s="103"/>
      <c r="AA9745" s="103"/>
      <c r="AB9745" s="1"/>
    </row>
    <row r="9746" spans="15:28">
      <c r="O9746" s="1"/>
      <c r="P9746" s="1"/>
      <c r="Q9746" s="1"/>
      <c r="R9746" s="1"/>
      <c r="Z9746" s="103"/>
      <c r="AA9746" s="103"/>
      <c r="AB9746" s="1"/>
    </row>
    <row r="9747" spans="15:28">
      <c r="O9747" s="1"/>
      <c r="P9747" s="1"/>
      <c r="Q9747" s="1"/>
      <c r="R9747" s="1"/>
      <c r="Z9747" s="103"/>
      <c r="AA9747" s="103"/>
      <c r="AB9747" s="1"/>
    </row>
    <row r="9748" spans="15:28">
      <c r="O9748" s="1"/>
      <c r="P9748" s="1"/>
      <c r="Q9748" s="1"/>
      <c r="R9748" s="1"/>
      <c r="Z9748" s="103"/>
      <c r="AA9748" s="103"/>
      <c r="AB9748" s="1"/>
    </row>
    <row r="9749" spans="15:28">
      <c r="O9749" s="1"/>
      <c r="P9749" s="1"/>
      <c r="Q9749" s="1"/>
      <c r="R9749" s="1"/>
      <c r="Z9749" s="103"/>
      <c r="AA9749" s="103"/>
      <c r="AB9749" s="1"/>
    </row>
    <row r="9750" spans="15:28">
      <c r="O9750" s="1"/>
      <c r="P9750" s="1"/>
      <c r="Q9750" s="1"/>
      <c r="R9750" s="1"/>
      <c r="Z9750" s="103"/>
      <c r="AA9750" s="103"/>
      <c r="AB9750" s="1"/>
    </row>
    <row r="9751" spans="15:28">
      <c r="O9751" s="1"/>
      <c r="P9751" s="1"/>
      <c r="Q9751" s="1"/>
      <c r="R9751" s="1"/>
      <c r="Z9751" s="103"/>
      <c r="AA9751" s="103"/>
      <c r="AB9751" s="1"/>
    </row>
    <row r="9752" spans="15:28">
      <c r="O9752" s="1"/>
      <c r="P9752" s="1"/>
      <c r="Q9752" s="1"/>
      <c r="R9752" s="1"/>
      <c r="Z9752" s="103"/>
      <c r="AA9752" s="103"/>
      <c r="AB9752" s="1"/>
    </row>
    <row r="9753" spans="15:28">
      <c r="O9753" s="1"/>
      <c r="P9753" s="1"/>
      <c r="Q9753" s="1"/>
      <c r="R9753" s="1"/>
      <c r="Z9753" s="103"/>
      <c r="AA9753" s="103"/>
      <c r="AB9753" s="1"/>
    </row>
    <row r="9754" spans="15:28">
      <c r="O9754" s="1"/>
      <c r="P9754" s="1"/>
      <c r="Q9754" s="1"/>
      <c r="R9754" s="1"/>
      <c r="Z9754" s="103"/>
      <c r="AA9754" s="103"/>
      <c r="AB9754" s="1"/>
    </row>
    <row r="9755" spans="15:28">
      <c r="O9755" s="1"/>
      <c r="P9755" s="1"/>
      <c r="Q9755" s="1"/>
      <c r="R9755" s="1"/>
      <c r="Z9755" s="103"/>
      <c r="AA9755" s="103"/>
      <c r="AB9755" s="1"/>
    </row>
    <row r="9756" spans="15:28">
      <c r="O9756" s="1"/>
      <c r="P9756" s="1"/>
      <c r="Q9756" s="1"/>
      <c r="R9756" s="1"/>
      <c r="Z9756" s="103"/>
      <c r="AA9756" s="103"/>
      <c r="AB9756" s="1"/>
    </row>
    <row r="9757" spans="15:28">
      <c r="O9757" s="1"/>
      <c r="P9757" s="1"/>
      <c r="Q9757" s="1"/>
      <c r="R9757" s="1"/>
      <c r="Z9757" s="103"/>
      <c r="AA9757" s="103"/>
      <c r="AB9757" s="1"/>
    </row>
    <row r="9758" spans="15:28">
      <c r="O9758" s="1"/>
      <c r="P9758" s="1"/>
      <c r="Q9758" s="1"/>
      <c r="R9758" s="1"/>
      <c r="Z9758" s="103"/>
      <c r="AA9758" s="103"/>
      <c r="AB9758" s="1"/>
    </row>
    <row r="9759" spans="15:28">
      <c r="O9759" s="1"/>
      <c r="P9759" s="1"/>
      <c r="Q9759" s="1"/>
      <c r="R9759" s="1"/>
      <c r="Z9759" s="103"/>
      <c r="AA9759" s="103"/>
      <c r="AB9759" s="1"/>
    </row>
    <row r="9760" spans="15:28">
      <c r="O9760" s="1"/>
      <c r="P9760" s="1"/>
      <c r="Q9760" s="1"/>
      <c r="R9760" s="1"/>
      <c r="Z9760" s="103"/>
      <c r="AA9760" s="103"/>
      <c r="AB9760" s="1"/>
    </row>
    <row r="9761" spans="15:28">
      <c r="O9761" s="1"/>
      <c r="P9761" s="1"/>
      <c r="Q9761" s="1"/>
      <c r="R9761" s="1"/>
      <c r="Z9761" s="103"/>
      <c r="AA9761" s="103"/>
      <c r="AB9761" s="1"/>
    </row>
    <row r="9762" spans="15:28">
      <c r="O9762" s="1"/>
      <c r="P9762" s="1"/>
      <c r="Q9762" s="1"/>
      <c r="R9762" s="1"/>
      <c r="Z9762" s="103"/>
      <c r="AA9762" s="103"/>
      <c r="AB9762" s="1"/>
    </row>
    <row r="9763" spans="15:28">
      <c r="O9763" s="1"/>
      <c r="P9763" s="1"/>
      <c r="Q9763" s="1"/>
      <c r="R9763" s="1"/>
      <c r="Z9763" s="103"/>
      <c r="AA9763" s="103"/>
      <c r="AB9763" s="1"/>
    </row>
    <row r="9764" spans="15:28">
      <c r="O9764" s="1"/>
      <c r="P9764" s="1"/>
      <c r="Q9764" s="1"/>
      <c r="R9764" s="1"/>
      <c r="Z9764" s="103"/>
      <c r="AA9764" s="103"/>
      <c r="AB9764" s="1"/>
    </row>
    <row r="9765" spans="15:28">
      <c r="O9765" s="1"/>
      <c r="P9765" s="1"/>
      <c r="Q9765" s="1"/>
      <c r="R9765" s="1"/>
      <c r="Z9765" s="103"/>
      <c r="AA9765" s="103"/>
      <c r="AB9765" s="1"/>
    </row>
    <row r="9766" spans="15:28">
      <c r="O9766" s="1"/>
      <c r="P9766" s="1"/>
      <c r="Q9766" s="1"/>
      <c r="R9766" s="1"/>
      <c r="Z9766" s="103"/>
      <c r="AA9766" s="103"/>
      <c r="AB9766" s="1"/>
    </row>
    <row r="9767" spans="15:28">
      <c r="O9767" s="1"/>
      <c r="P9767" s="1"/>
      <c r="Q9767" s="1"/>
      <c r="R9767" s="1"/>
      <c r="Z9767" s="103"/>
      <c r="AA9767" s="103"/>
      <c r="AB9767" s="1"/>
    </row>
    <row r="9768" spans="15:28">
      <c r="O9768" s="1"/>
      <c r="P9768" s="1"/>
      <c r="Q9768" s="1"/>
      <c r="R9768" s="1"/>
      <c r="Z9768" s="103"/>
      <c r="AA9768" s="103"/>
      <c r="AB9768" s="1"/>
    </row>
    <row r="9769" spans="15:28">
      <c r="O9769" s="1"/>
      <c r="P9769" s="1"/>
      <c r="Q9769" s="1"/>
      <c r="R9769" s="1"/>
      <c r="Z9769" s="103"/>
      <c r="AA9769" s="103"/>
      <c r="AB9769" s="1"/>
    </row>
    <row r="9770" spans="15:28">
      <c r="O9770" s="1"/>
      <c r="P9770" s="1"/>
      <c r="Q9770" s="1"/>
      <c r="R9770" s="1"/>
      <c r="Z9770" s="103"/>
      <c r="AA9770" s="103"/>
      <c r="AB9770" s="1"/>
    </row>
    <row r="9771" spans="15:28">
      <c r="O9771" s="1"/>
      <c r="P9771" s="1"/>
      <c r="Q9771" s="1"/>
      <c r="R9771" s="1"/>
      <c r="Z9771" s="103"/>
      <c r="AA9771" s="103"/>
      <c r="AB9771" s="1"/>
    </row>
    <row r="9772" spans="15:28">
      <c r="O9772" s="1"/>
      <c r="P9772" s="1"/>
      <c r="Q9772" s="1"/>
      <c r="R9772" s="1"/>
      <c r="Z9772" s="103"/>
      <c r="AA9772" s="103"/>
      <c r="AB9772" s="1"/>
    </row>
    <row r="9773" spans="15:28">
      <c r="O9773" s="1"/>
      <c r="P9773" s="1"/>
      <c r="Q9773" s="1"/>
      <c r="R9773" s="1"/>
      <c r="Z9773" s="103"/>
      <c r="AA9773" s="103"/>
      <c r="AB9773" s="1"/>
    </row>
    <row r="9774" spans="15:28">
      <c r="O9774" s="1"/>
      <c r="P9774" s="1"/>
      <c r="Q9774" s="1"/>
      <c r="R9774" s="1"/>
      <c r="Z9774" s="103"/>
      <c r="AA9774" s="103"/>
      <c r="AB9774" s="1"/>
    </row>
    <row r="9775" spans="15:28">
      <c r="O9775" s="1"/>
      <c r="P9775" s="1"/>
      <c r="Q9775" s="1"/>
      <c r="R9775" s="1"/>
      <c r="Z9775" s="103"/>
      <c r="AA9775" s="103"/>
      <c r="AB9775" s="1"/>
    </row>
    <row r="9776" spans="15:28">
      <c r="O9776" s="1"/>
      <c r="P9776" s="1"/>
      <c r="Q9776" s="1"/>
      <c r="R9776" s="1"/>
      <c r="Z9776" s="103"/>
      <c r="AA9776" s="103"/>
      <c r="AB9776" s="1"/>
    </row>
    <row r="9777" spans="15:28">
      <c r="O9777" s="1"/>
      <c r="P9777" s="1"/>
      <c r="Q9777" s="1"/>
      <c r="R9777" s="1"/>
      <c r="Z9777" s="103"/>
      <c r="AA9777" s="103"/>
      <c r="AB9777" s="1"/>
    </row>
    <row r="9778" spans="15:28">
      <c r="O9778" s="1"/>
      <c r="P9778" s="1"/>
      <c r="Q9778" s="1"/>
      <c r="R9778" s="1"/>
      <c r="Z9778" s="103"/>
      <c r="AA9778" s="103"/>
      <c r="AB9778" s="1"/>
    </row>
    <row r="9779" spans="15:28">
      <c r="O9779" s="1"/>
      <c r="P9779" s="1"/>
      <c r="Q9779" s="1"/>
      <c r="R9779" s="1"/>
      <c r="Z9779" s="103"/>
      <c r="AA9779" s="103"/>
      <c r="AB9779" s="1"/>
    </row>
    <row r="9780" spans="15:28">
      <c r="O9780" s="1"/>
      <c r="P9780" s="1"/>
      <c r="Q9780" s="1"/>
      <c r="R9780" s="1"/>
      <c r="Z9780" s="103"/>
      <c r="AA9780" s="103"/>
      <c r="AB9780" s="1"/>
    </row>
    <row r="9781" spans="15:28">
      <c r="O9781" s="1"/>
      <c r="P9781" s="1"/>
      <c r="Q9781" s="1"/>
      <c r="R9781" s="1"/>
      <c r="Z9781" s="103"/>
      <c r="AA9781" s="103"/>
      <c r="AB9781" s="1"/>
    </row>
    <row r="9782" spans="15:28">
      <c r="O9782" s="1"/>
      <c r="P9782" s="1"/>
      <c r="Q9782" s="1"/>
      <c r="R9782" s="1"/>
      <c r="Z9782" s="103"/>
      <c r="AA9782" s="103"/>
      <c r="AB9782" s="1"/>
    </row>
    <row r="9783" spans="15:28">
      <c r="O9783" s="1"/>
      <c r="P9783" s="1"/>
      <c r="Q9783" s="1"/>
      <c r="R9783" s="1"/>
      <c r="Z9783" s="103"/>
      <c r="AA9783" s="103"/>
      <c r="AB9783" s="1"/>
    </row>
    <row r="9784" spans="15:28">
      <c r="O9784" s="1"/>
      <c r="P9784" s="1"/>
      <c r="Q9784" s="1"/>
      <c r="R9784" s="1"/>
      <c r="Z9784" s="103"/>
      <c r="AA9784" s="103"/>
      <c r="AB9784" s="1"/>
    </row>
    <row r="9785" spans="15:28">
      <c r="O9785" s="1"/>
      <c r="P9785" s="1"/>
      <c r="Q9785" s="1"/>
      <c r="R9785" s="1"/>
      <c r="Z9785" s="103"/>
      <c r="AA9785" s="103"/>
      <c r="AB9785" s="1"/>
    </row>
    <row r="9786" spans="15:28">
      <c r="O9786" s="1"/>
      <c r="P9786" s="1"/>
      <c r="Q9786" s="1"/>
      <c r="R9786" s="1"/>
      <c r="Z9786" s="103"/>
      <c r="AA9786" s="103"/>
      <c r="AB9786" s="1"/>
    </row>
    <row r="9787" spans="15:28">
      <c r="O9787" s="1"/>
      <c r="P9787" s="1"/>
      <c r="Q9787" s="1"/>
      <c r="R9787" s="1"/>
      <c r="Z9787" s="103"/>
      <c r="AA9787" s="103"/>
      <c r="AB9787" s="1"/>
    </row>
    <row r="9788" spans="15:28">
      <c r="O9788" s="1"/>
      <c r="P9788" s="1"/>
      <c r="Q9788" s="1"/>
      <c r="R9788" s="1"/>
      <c r="Z9788" s="103"/>
      <c r="AA9788" s="103"/>
      <c r="AB9788" s="1"/>
    </row>
    <row r="9789" spans="15:28">
      <c r="O9789" s="1"/>
      <c r="P9789" s="1"/>
      <c r="Q9789" s="1"/>
      <c r="R9789" s="1"/>
      <c r="Z9789" s="103"/>
      <c r="AA9789" s="103"/>
      <c r="AB9789" s="1"/>
    </row>
    <row r="9790" spans="15:28">
      <c r="O9790" s="1"/>
      <c r="P9790" s="1"/>
      <c r="Q9790" s="1"/>
      <c r="R9790" s="1"/>
      <c r="Z9790" s="103"/>
      <c r="AA9790" s="103"/>
      <c r="AB9790" s="1"/>
    </row>
    <row r="9791" spans="15:28">
      <c r="O9791" s="1"/>
      <c r="P9791" s="1"/>
      <c r="Q9791" s="1"/>
      <c r="R9791" s="1"/>
      <c r="Z9791" s="103"/>
      <c r="AA9791" s="103"/>
      <c r="AB9791" s="1"/>
    </row>
    <row r="9792" spans="15:28">
      <c r="O9792" s="1"/>
      <c r="P9792" s="1"/>
      <c r="Q9792" s="1"/>
      <c r="R9792" s="1"/>
      <c r="Z9792" s="103"/>
      <c r="AA9792" s="103"/>
      <c r="AB9792" s="1"/>
    </row>
    <row r="9793" spans="15:28">
      <c r="O9793" s="1"/>
      <c r="P9793" s="1"/>
      <c r="Q9793" s="1"/>
      <c r="R9793" s="1"/>
      <c r="Z9793" s="103"/>
      <c r="AA9793" s="103"/>
      <c r="AB9793" s="1"/>
    </row>
    <row r="9794" spans="15:28">
      <c r="O9794" s="1"/>
      <c r="P9794" s="1"/>
      <c r="Q9794" s="1"/>
      <c r="R9794" s="1"/>
      <c r="Z9794" s="103"/>
      <c r="AA9794" s="103"/>
      <c r="AB9794" s="1"/>
    </row>
    <row r="9795" spans="15:28">
      <c r="O9795" s="1"/>
      <c r="P9795" s="1"/>
      <c r="Q9795" s="1"/>
      <c r="R9795" s="1"/>
      <c r="Z9795" s="103"/>
      <c r="AA9795" s="103"/>
      <c r="AB9795" s="1"/>
    </row>
    <row r="9796" spans="15:28">
      <c r="O9796" s="1"/>
      <c r="P9796" s="1"/>
      <c r="Q9796" s="1"/>
      <c r="R9796" s="1"/>
      <c r="Z9796" s="103"/>
      <c r="AA9796" s="103"/>
      <c r="AB9796" s="1"/>
    </row>
    <row r="9797" spans="15:28">
      <c r="O9797" s="1"/>
      <c r="P9797" s="1"/>
      <c r="Q9797" s="1"/>
      <c r="R9797" s="1"/>
      <c r="Z9797" s="103"/>
      <c r="AA9797" s="103"/>
      <c r="AB9797" s="1"/>
    </row>
    <row r="9798" spans="15:28">
      <c r="O9798" s="1"/>
      <c r="P9798" s="1"/>
      <c r="Q9798" s="1"/>
      <c r="R9798" s="1"/>
      <c r="Z9798" s="103"/>
      <c r="AA9798" s="103"/>
      <c r="AB9798" s="1"/>
    </row>
    <row r="9799" spans="15:28">
      <c r="O9799" s="1"/>
      <c r="P9799" s="1"/>
      <c r="Q9799" s="1"/>
      <c r="R9799" s="1"/>
      <c r="Z9799" s="103"/>
      <c r="AA9799" s="103"/>
      <c r="AB9799" s="1"/>
    </row>
    <row r="9800" spans="15:28">
      <c r="O9800" s="1"/>
      <c r="P9800" s="1"/>
      <c r="Q9800" s="1"/>
      <c r="R9800" s="1"/>
      <c r="Z9800" s="103"/>
      <c r="AA9800" s="103"/>
      <c r="AB9800" s="1"/>
    </row>
    <row r="9801" spans="15:28">
      <c r="O9801" s="1"/>
      <c r="P9801" s="1"/>
      <c r="Q9801" s="1"/>
      <c r="R9801" s="1"/>
      <c r="Z9801" s="103"/>
      <c r="AA9801" s="103"/>
      <c r="AB9801" s="1"/>
    </row>
    <row r="9802" spans="15:28">
      <c r="O9802" s="1"/>
      <c r="P9802" s="1"/>
      <c r="Q9802" s="1"/>
      <c r="R9802" s="1"/>
      <c r="Z9802" s="103"/>
      <c r="AA9802" s="103"/>
      <c r="AB9802" s="1"/>
    </row>
    <row r="9803" spans="15:28">
      <c r="O9803" s="1"/>
      <c r="P9803" s="1"/>
      <c r="Q9803" s="1"/>
      <c r="R9803" s="1"/>
      <c r="Z9803" s="103"/>
      <c r="AA9803" s="103"/>
      <c r="AB9803" s="1"/>
    </row>
    <row r="9804" spans="15:28">
      <c r="O9804" s="1"/>
      <c r="P9804" s="1"/>
      <c r="Q9804" s="1"/>
      <c r="R9804" s="1"/>
      <c r="Z9804" s="103"/>
      <c r="AA9804" s="103"/>
      <c r="AB9804" s="1"/>
    </row>
    <row r="9805" spans="15:28">
      <c r="O9805" s="1"/>
      <c r="P9805" s="1"/>
      <c r="Q9805" s="1"/>
      <c r="R9805" s="1"/>
      <c r="Z9805" s="103"/>
      <c r="AA9805" s="103"/>
      <c r="AB9805" s="1"/>
    </row>
    <row r="9806" spans="15:28">
      <c r="O9806" s="1"/>
      <c r="P9806" s="1"/>
      <c r="Q9806" s="1"/>
      <c r="R9806" s="1"/>
      <c r="Z9806" s="103"/>
      <c r="AA9806" s="103"/>
      <c r="AB9806" s="1"/>
    </row>
    <row r="9807" spans="15:28">
      <c r="O9807" s="1"/>
      <c r="P9807" s="1"/>
      <c r="Q9807" s="1"/>
      <c r="R9807" s="1"/>
      <c r="Z9807" s="103"/>
      <c r="AA9807" s="103"/>
      <c r="AB9807" s="1"/>
    </row>
    <row r="9808" spans="15:28">
      <c r="O9808" s="1"/>
      <c r="P9808" s="1"/>
      <c r="Q9808" s="1"/>
      <c r="R9808" s="1"/>
      <c r="Z9808" s="103"/>
      <c r="AA9808" s="103"/>
      <c r="AB9808" s="1"/>
    </row>
    <row r="9809" spans="15:28">
      <c r="O9809" s="1"/>
      <c r="P9809" s="1"/>
      <c r="Q9809" s="1"/>
      <c r="R9809" s="1"/>
      <c r="Z9809" s="103"/>
      <c r="AA9809" s="103"/>
      <c r="AB9809" s="1"/>
    </row>
    <row r="9810" spans="15:28">
      <c r="O9810" s="1"/>
      <c r="P9810" s="1"/>
      <c r="Q9810" s="1"/>
      <c r="R9810" s="1"/>
      <c r="Z9810" s="103"/>
      <c r="AA9810" s="103"/>
      <c r="AB9810" s="1"/>
    </row>
    <row r="9811" spans="15:28">
      <c r="O9811" s="1"/>
      <c r="P9811" s="1"/>
      <c r="Q9811" s="1"/>
      <c r="R9811" s="1"/>
      <c r="Z9811" s="103"/>
      <c r="AA9811" s="103"/>
      <c r="AB9811" s="1"/>
    </row>
    <row r="9812" spans="15:28">
      <c r="O9812" s="1"/>
      <c r="P9812" s="1"/>
      <c r="Q9812" s="1"/>
      <c r="R9812" s="1"/>
      <c r="Z9812" s="103"/>
      <c r="AA9812" s="103"/>
      <c r="AB9812" s="1"/>
    </row>
    <row r="9813" spans="15:28">
      <c r="O9813" s="1"/>
      <c r="P9813" s="1"/>
      <c r="Q9813" s="1"/>
      <c r="R9813" s="1"/>
      <c r="Z9813" s="103"/>
      <c r="AA9813" s="103"/>
      <c r="AB9813" s="1"/>
    </row>
    <row r="9814" spans="15:28">
      <c r="O9814" s="1"/>
      <c r="P9814" s="1"/>
      <c r="Q9814" s="1"/>
      <c r="R9814" s="1"/>
      <c r="Z9814" s="103"/>
      <c r="AA9814" s="103"/>
      <c r="AB9814" s="1"/>
    </row>
    <row r="9815" spans="15:28">
      <c r="O9815" s="1"/>
      <c r="P9815" s="1"/>
      <c r="Q9815" s="1"/>
      <c r="R9815" s="1"/>
      <c r="Z9815" s="103"/>
      <c r="AA9815" s="103"/>
      <c r="AB9815" s="1"/>
    </row>
    <row r="9816" spans="15:28">
      <c r="O9816" s="1"/>
      <c r="P9816" s="1"/>
      <c r="Q9816" s="1"/>
      <c r="R9816" s="1"/>
      <c r="Z9816" s="103"/>
      <c r="AA9816" s="103"/>
      <c r="AB9816" s="1"/>
    </row>
    <row r="9817" spans="15:28">
      <c r="O9817" s="1"/>
      <c r="P9817" s="1"/>
      <c r="Q9817" s="1"/>
      <c r="R9817" s="1"/>
      <c r="Z9817" s="103"/>
      <c r="AA9817" s="103"/>
      <c r="AB9817" s="1"/>
    </row>
    <row r="9818" spans="15:28">
      <c r="O9818" s="1"/>
      <c r="P9818" s="1"/>
      <c r="Q9818" s="1"/>
      <c r="R9818" s="1"/>
      <c r="Z9818" s="103"/>
      <c r="AA9818" s="103"/>
      <c r="AB9818" s="1"/>
    </row>
    <row r="9819" spans="15:28">
      <c r="O9819" s="1"/>
      <c r="P9819" s="1"/>
      <c r="Q9819" s="1"/>
      <c r="R9819" s="1"/>
      <c r="Z9819" s="103"/>
      <c r="AA9819" s="103"/>
      <c r="AB9819" s="1"/>
    </row>
    <row r="9820" spans="15:28">
      <c r="O9820" s="1"/>
      <c r="P9820" s="1"/>
      <c r="Q9820" s="1"/>
      <c r="R9820" s="1"/>
      <c r="Z9820" s="103"/>
      <c r="AA9820" s="103"/>
      <c r="AB9820" s="1"/>
    </row>
    <row r="9821" spans="15:28">
      <c r="O9821" s="1"/>
      <c r="P9821" s="1"/>
      <c r="Q9821" s="1"/>
      <c r="R9821" s="1"/>
      <c r="Z9821" s="103"/>
      <c r="AA9821" s="103"/>
      <c r="AB9821" s="1"/>
    </row>
    <row r="9822" spans="15:28">
      <c r="O9822" s="1"/>
      <c r="P9822" s="1"/>
      <c r="Q9822" s="1"/>
      <c r="R9822" s="1"/>
      <c r="Z9822" s="103"/>
      <c r="AA9822" s="103"/>
      <c r="AB9822" s="1"/>
    </row>
    <row r="9823" spans="15:28">
      <c r="O9823" s="1"/>
      <c r="P9823" s="1"/>
      <c r="Q9823" s="1"/>
      <c r="R9823" s="1"/>
      <c r="Z9823" s="103"/>
      <c r="AA9823" s="103"/>
      <c r="AB9823" s="1"/>
    </row>
    <row r="9824" spans="15:28">
      <c r="O9824" s="1"/>
      <c r="P9824" s="1"/>
      <c r="Q9824" s="1"/>
      <c r="R9824" s="1"/>
      <c r="Z9824" s="103"/>
      <c r="AA9824" s="103"/>
      <c r="AB9824" s="1"/>
    </row>
    <row r="9825" spans="15:30">
      <c r="O9825" s="1"/>
      <c r="P9825" s="1"/>
      <c r="Q9825" s="1"/>
      <c r="R9825" s="1"/>
      <c r="Z9825" s="103"/>
      <c r="AA9825" s="103"/>
      <c r="AB9825" s="1"/>
    </row>
    <row r="9826" spans="15:30">
      <c r="O9826" s="1"/>
      <c r="P9826" s="1"/>
      <c r="Q9826" s="1"/>
      <c r="R9826" s="1"/>
      <c r="Z9826" s="103"/>
      <c r="AA9826" s="103"/>
      <c r="AB9826" s="1"/>
    </row>
    <row r="9827" spans="15:30">
      <c r="O9827" s="1"/>
      <c r="P9827" s="1"/>
      <c r="Q9827" s="1"/>
      <c r="R9827" s="1"/>
      <c r="Z9827" s="103"/>
      <c r="AA9827" s="103"/>
      <c r="AB9827" s="1"/>
      <c r="AD9827" s="102"/>
    </row>
    <row r="9828" spans="15:30">
      <c r="O9828" s="1"/>
      <c r="P9828" s="1"/>
      <c r="Q9828" s="1"/>
      <c r="R9828" s="1"/>
      <c r="Z9828" s="103"/>
      <c r="AA9828" s="103"/>
      <c r="AB9828" s="1"/>
    </row>
    <row r="9829" spans="15:30">
      <c r="O9829" s="1"/>
      <c r="P9829" s="1"/>
      <c r="Q9829" s="1"/>
      <c r="R9829" s="1"/>
      <c r="Z9829" s="103"/>
      <c r="AA9829" s="103"/>
      <c r="AB9829" s="1"/>
    </row>
    <row r="9830" spans="15:30">
      <c r="O9830" s="1"/>
      <c r="P9830" s="1"/>
      <c r="Q9830" s="1"/>
      <c r="R9830" s="1"/>
      <c r="Z9830" s="103"/>
      <c r="AA9830" s="103"/>
      <c r="AB9830" s="1"/>
    </row>
    <row r="9831" spans="15:30">
      <c r="O9831" s="1"/>
      <c r="P9831" s="1"/>
      <c r="Q9831" s="1"/>
      <c r="R9831" s="1"/>
      <c r="Z9831" s="103"/>
      <c r="AA9831" s="103"/>
      <c r="AB9831" s="1"/>
    </row>
    <row r="9832" spans="15:30">
      <c r="O9832" s="1"/>
      <c r="P9832" s="1"/>
      <c r="Q9832" s="1"/>
      <c r="R9832" s="1"/>
      <c r="Z9832" s="103"/>
      <c r="AA9832" s="103"/>
      <c r="AB9832" s="1"/>
    </row>
    <row r="9833" spans="15:30">
      <c r="O9833" s="1"/>
      <c r="P9833" s="1"/>
      <c r="Q9833" s="1"/>
      <c r="R9833" s="1"/>
      <c r="Z9833" s="103"/>
      <c r="AA9833" s="103"/>
      <c r="AB9833" s="1"/>
    </row>
    <row r="9834" spans="15:30">
      <c r="O9834" s="1"/>
      <c r="P9834" s="1"/>
      <c r="Q9834" s="1"/>
      <c r="R9834" s="1"/>
      <c r="Z9834" s="103"/>
      <c r="AA9834" s="103"/>
      <c r="AB9834" s="1"/>
    </row>
    <row r="9835" spans="15:30">
      <c r="O9835" s="1"/>
      <c r="P9835" s="1"/>
      <c r="Q9835" s="1"/>
      <c r="R9835" s="1"/>
      <c r="Z9835" s="103"/>
      <c r="AA9835" s="103"/>
      <c r="AB9835" s="1"/>
    </row>
    <row r="9836" spans="15:30">
      <c r="O9836" s="1"/>
      <c r="P9836" s="1"/>
      <c r="Q9836" s="1"/>
      <c r="R9836" s="1"/>
      <c r="Z9836" s="103"/>
      <c r="AA9836" s="103"/>
      <c r="AB9836" s="1"/>
    </row>
    <row r="9837" spans="15:30">
      <c r="O9837" s="1"/>
      <c r="P9837" s="1"/>
      <c r="Q9837" s="1"/>
      <c r="R9837" s="1"/>
      <c r="Z9837" s="103"/>
      <c r="AA9837" s="103"/>
      <c r="AB9837" s="1"/>
    </row>
    <row r="9838" spans="15:30">
      <c r="O9838" s="1"/>
      <c r="P9838" s="1"/>
      <c r="Q9838" s="1"/>
      <c r="R9838" s="1"/>
      <c r="Z9838" s="103"/>
      <c r="AA9838" s="103"/>
      <c r="AB9838" s="1"/>
    </row>
    <row r="9839" spans="15:30">
      <c r="O9839" s="1"/>
      <c r="P9839" s="1"/>
      <c r="Q9839" s="1"/>
      <c r="R9839" s="1"/>
      <c r="Z9839" s="103"/>
      <c r="AA9839" s="103"/>
      <c r="AB9839" s="1"/>
    </row>
    <row r="9840" spans="15:30">
      <c r="O9840" s="1"/>
      <c r="P9840" s="1"/>
      <c r="Q9840" s="1"/>
      <c r="R9840" s="1"/>
      <c r="Z9840" s="103"/>
      <c r="AA9840" s="103"/>
      <c r="AB9840" s="1"/>
    </row>
    <row r="9841" spans="15:28">
      <c r="O9841" s="1"/>
      <c r="P9841" s="1"/>
      <c r="Q9841" s="1"/>
      <c r="R9841" s="1"/>
      <c r="Z9841" s="103"/>
      <c r="AA9841" s="103"/>
      <c r="AB9841" s="1"/>
    </row>
    <row r="9842" spans="15:28">
      <c r="O9842" s="1"/>
      <c r="P9842" s="1"/>
      <c r="Q9842" s="1"/>
      <c r="R9842" s="1"/>
      <c r="Z9842" s="103"/>
      <c r="AA9842" s="103"/>
      <c r="AB9842" s="1"/>
    </row>
    <row r="9843" spans="15:28">
      <c r="O9843" s="1"/>
      <c r="P9843" s="1"/>
      <c r="Q9843" s="1"/>
      <c r="R9843" s="1"/>
      <c r="Z9843" s="103"/>
      <c r="AA9843" s="103"/>
      <c r="AB9843" s="1"/>
    </row>
    <row r="9844" spans="15:28">
      <c r="O9844" s="1"/>
      <c r="P9844" s="1"/>
      <c r="Q9844" s="1"/>
      <c r="R9844" s="1"/>
      <c r="Z9844" s="103"/>
      <c r="AA9844" s="103"/>
      <c r="AB9844" s="1"/>
    </row>
    <row r="9845" spans="15:28">
      <c r="O9845" s="1"/>
      <c r="P9845" s="1"/>
      <c r="Q9845" s="1"/>
      <c r="R9845" s="1"/>
      <c r="Z9845" s="103"/>
      <c r="AA9845" s="103"/>
      <c r="AB9845" s="1"/>
    </row>
    <row r="9846" spans="15:28">
      <c r="O9846" s="1"/>
      <c r="P9846" s="1"/>
      <c r="Q9846" s="1"/>
      <c r="R9846" s="1"/>
      <c r="Z9846" s="103"/>
      <c r="AA9846" s="103"/>
      <c r="AB9846" s="1"/>
    </row>
    <row r="9847" spans="15:28">
      <c r="O9847" s="1"/>
      <c r="P9847" s="1"/>
      <c r="Q9847" s="1"/>
      <c r="R9847" s="1"/>
      <c r="Z9847" s="103"/>
      <c r="AA9847" s="103"/>
      <c r="AB9847" s="1"/>
    </row>
    <row r="9848" spans="15:28">
      <c r="O9848" s="1"/>
      <c r="P9848" s="1"/>
      <c r="Q9848" s="1"/>
      <c r="R9848" s="1"/>
      <c r="Z9848" s="103"/>
      <c r="AA9848" s="103"/>
      <c r="AB9848" s="1"/>
    </row>
    <row r="9849" spans="15:28">
      <c r="O9849" s="1"/>
      <c r="P9849" s="1"/>
      <c r="Q9849" s="1"/>
      <c r="R9849" s="1"/>
      <c r="Z9849" s="103"/>
      <c r="AA9849" s="103"/>
      <c r="AB9849" s="1"/>
    </row>
    <row r="9850" spans="15:28">
      <c r="O9850" s="1"/>
      <c r="P9850" s="1"/>
      <c r="Q9850" s="1"/>
      <c r="R9850" s="1"/>
      <c r="Z9850" s="103"/>
      <c r="AA9850" s="103"/>
      <c r="AB9850" s="1"/>
    </row>
    <row r="9851" spans="15:28">
      <c r="O9851" s="1"/>
      <c r="P9851" s="1"/>
      <c r="Q9851" s="1"/>
      <c r="R9851" s="1"/>
      <c r="Z9851" s="103"/>
      <c r="AA9851" s="103"/>
      <c r="AB9851" s="1"/>
    </row>
    <row r="9852" spans="15:28">
      <c r="O9852" s="1"/>
      <c r="P9852" s="1"/>
      <c r="Q9852" s="1"/>
      <c r="R9852" s="1"/>
      <c r="Z9852" s="103"/>
      <c r="AA9852" s="103"/>
      <c r="AB9852" s="1"/>
    </row>
    <row r="9853" spans="15:28">
      <c r="O9853" s="1"/>
      <c r="P9853" s="1"/>
      <c r="Q9853" s="1"/>
      <c r="R9853" s="1"/>
      <c r="Z9853" s="103"/>
      <c r="AA9853" s="103"/>
      <c r="AB9853" s="1"/>
    </row>
    <row r="9854" spans="15:28">
      <c r="O9854" s="1"/>
      <c r="P9854" s="1"/>
      <c r="Q9854" s="1"/>
      <c r="R9854" s="1"/>
      <c r="Z9854" s="103"/>
      <c r="AA9854" s="103"/>
      <c r="AB9854" s="1"/>
    </row>
    <row r="9855" spans="15:28">
      <c r="O9855" s="1"/>
      <c r="P9855" s="1"/>
      <c r="Q9855" s="1"/>
      <c r="R9855" s="1"/>
      <c r="Z9855" s="103"/>
      <c r="AA9855" s="103"/>
      <c r="AB9855" s="1"/>
    </row>
    <row r="9856" spans="15:28">
      <c r="O9856" s="1"/>
      <c r="P9856" s="1"/>
      <c r="Q9856" s="1"/>
      <c r="R9856" s="1"/>
      <c r="Z9856" s="103"/>
      <c r="AA9856" s="103"/>
      <c r="AB9856" s="1"/>
    </row>
    <row r="9857" spans="15:28">
      <c r="O9857" s="1"/>
      <c r="P9857" s="1"/>
      <c r="Q9857" s="1"/>
      <c r="R9857" s="1"/>
      <c r="Z9857" s="103"/>
      <c r="AA9857" s="103"/>
      <c r="AB9857" s="1"/>
    </row>
    <row r="9858" spans="15:28">
      <c r="O9858" s="1"/>
      <c r="P9858" s="1"/>
      <c r="Q9858" s="1"/>
      <c r="R9858" s="1"/>
      <c r="Z9858" s="103"/>
      <c r="AA9858" s="103"/>
      <c r="AB9858" s="1"/>
    </row>
    <row r="9859" spans="15:28">
      <c r="O9859" s="1"/>
      <c r="P9859" s="1"/>
      <c r="Q9859" s="1"/>
      <c r="R9859" s="1"/>
      <c r="Z9859" s="103"/>
      <c r="AA9859" s="103"/>
      <c r="AB9859" s="1"/>
    </row>
    <row r="9860" spans="15:28">
      <c r="O9860" s="1"/>
      <c r="P9860" s="1"/>
      <c r="Q9860" s="1"/>
      <c r="R9860" s="1"/>
      <c r="Z9860" s="103"/>
      <c r="AA9860" s="103"/>
      <c r="AB9860" s="1"/>
    </row>
    <row r="9861" spans="15:28">
      <c r="O9861" s="1"/>
      <c r="P9861" s="1"/>
      <c r="Q9861" s="1"/>
      <c r="R9861" s="1"/>
      <c r="Z9861" s="103"/>
      <c r="AA9861" s="103"/>
      <c r="AB9861" s="1"/>
    </row>
    <row r="9862" spans="15:28">
      <c r="O9862" s="1"/>
      <c r="P9862" s="1"/>
      <c r="Q9862" s="1"/>
      <c r="R9862" s="1"/>
      <c r="Z9862" s="103"/>
      <c r="AA9862" s="103"/>
      <c r="AB9862" s="1"/>
    </row>
    <row r="9863" spans="15:28">
      <c r="O9863" s="1"/>
      <c r="P9863" s="1"/>
      <c r="Q9863" s="1"/>
      <c r="R9863" s="1"/>
      <c r="Z9863" s="103"/>
      <c r="AA9863" s="103"/>
      <c r="AB9863" s="1"/>
    </row>
    <row r="9864" spans="15:28">
      <c r="O9864" s="1"/>
      <c r="P9864" s="1"/>
      <c r="Q9864" s="1"/>
      <c r="R9864" s="1"/>
      <c r="Z9864" s="103"/>
      <c r="AA9864" s="103"/>
      <c r="AB9864" s="1"/>
    </row>
    <row r="9865" spans="15:28">
      <c r="O9865" s="1"/>
      <c r="P9865" s="1"/>
      <c r="Q9865" s="1"/>
      <c r="R9865" s="1"/>
      <c r="Z9865" s="103"/>
      <c r="AA9865" s="103"/>
      <c r="AB9865" s="1"/>
    </row>
    <row r="9866" spans="15:28">
      <c r="O9866" s="1"/>
      <c r="P9866" s="1"/>
      <c r="Q9866" s="1"/>
      <c r="R9866" s="1"/>
      <c r="Z9866" s="103"/>
      <c r="AA9866" s="103"/>
      <c r="AB9866" s="1"/>
    </row>
    <row r="9867" spans="15:28">
      <c r="O9867" s="1"/>
      <c r="P9867" s="1"/>
      <c r="Q9867" s="1"/>
      <c r="R9867" s="1"/>
      <c r="Z9867" s="103"/>
      <c r="AA9867" s="103"/>
      <c r="AB9867" s="1"/>
    </row>
    <row r="9868" spans="15:28">
      <c r="O9868" s="1"/>
      <c r="P9868" s="1"/>
      <c r="Q9868" s="1"/>
      <c r="R9868" s="1"/>
      <c r="Z9868" s="103"/>
      <c r="AA9868" s="103"/>
      <c r="AB9868" s="1"/>
    </row>
    <row r="9869" spans="15:28">
      <c r="O9869" s="1"/>
      <c r="P9869" s="1"/>
      <c r="Q9869" s="1"/>
      <c r="R9869" s="1"/>
      <c r="Z9869" s="103"/>
      <c r="AA9869" s="103"/>
      <c r="AB9869" s="1"/>
    </row>
    <row r="9870" spans="15:28">
      <c r="O9870" s="1"/>
      <c r="P9870" s="1"/>
      <c r="Q9870" s="1"/>
      <c r="R9870" s="1"/>
      <c r="Z9870" s="103"/>
      <c r="AA9870" s="103"/>
      <c r="AB9870" s="1"/>
    </row>
    <row r="9871" spans="15:28">
      <c r="O9871" s="1"/>
      <c r="P9871" s="1"/>
      <c r="Q9871" s="1"/>
      <c r="R9871" s="1"/>
      <c r="Z9871" s="103"/>
      <c r="AA9871" s="103"/>
      <c r="AB9871" s="1"/>
    </row>
    <row r="9872" spans="15:28">
      <c r="O9872" s="1"/>
      <c r="P9872" s="1"/>
      <c r="Q9872" s="1"/>
      <c r="R9872" s="1"/>
      <c r="Z9872" s="103"/>
      <c r="AA9872" s="103"/>
      <c r="AB9872" s="1"/>
    </row>
    <row r="9873" spans="15:28">
      <c r="O9873" s="1"/>
      <c r="P9873" s="1"/>
      <c r="Q9873" s="1"/>
      <c r="R9873" s="1"/>
      <c r="Z9873" s="103"/>
      <c r="AA9873" s="103"/>
      <c r="AB9873" s="1"/>
    </row>
    <row r="9874" spans="15:28">
      <c r="O9874" s="1"/>
      <c r="P9874" s="1"/>
      <c r="Q9874" s="1"/>
      <c r="R9874" s="1"/>
      <c r="Z9874" s="103"/>
      <c r="AA9874" s="103"/>
      <c r="AB9874" s="1"/>
    </row>
    <row r="9875" spans="15:28">
      <c r="O9875" s="1"/>
      <c r="P9875" s="1"/>
      <c r="Q9875" s="1"/>
      <c r="R9875" s="1"/>
      <c r="Z9875" s="103"/>
      <c r="AA9875" s="103"/>
      <c r="AB9875" s="1"/>
    </row>
    <row r="9876" spans="15:28">
      <c r="O9876" s="1"/>
      <c r="P9876" s="1"/>
      <c r="Q9876" s="1"/>
      <c r="R9876" s="1"/>
      <c r="Z9876" s="103"/>
      <c r="AA9876" s="103"/>
      <c r="AB9876" s="1"/>
    </row>
    <row r="9877" spans="15:28">
      <c r="O9877" s="1"/>
      <c r="P9877" s="1"/>
      <c r="Q9877" s="1"/>
      <c r="R9877" s="1"/>
      <c r="Z9877" s="103"/>
      <c r="AA9877" s="103"/>
      <c r="AB9877" s="1"/>
    </row>
    <row r="9878" spans="15:28">
      <c r="O9878" s="1"/>
      <c r="P9878" s="1"/>
      <c r="Q9878" s="1"/>
      <c r="R9878" s="1"/>
      <c r="Z9878" s="103"/>
      <c r="AA9878" s="103"/>
      <c r="AB9878" s="1"/>
    </row>
    <row r="9879" spans="15:28">
      <c r="O9879" s="1"/>
      <c r="P9879" s="1"/>
      <c r="Q9879" s="1"/>
      <c r="R9879" s="1"/>
      <c r="Z9879" s="103"/>
      <c r="AA9879" s="103"/>
      <c r="AB9879" s="1"/>
    </row>
    <row r="9880" spans="15:28">
      <c r="O9880" s="1"/>
      <c r="P9880" s="1"/>
      <c r="Q9880" s="1"/>
      <c r="R9880" s="1"/>
      <c r="Z9880" s="103"/>
      <c r="AA9880" s="103"/>
      <c r="AB9880" s="1"/>
    </row>
    <row r="9881" spans="15:28">
      <c r="O9881" s="1"/>
      <c r="P9881" s="1"/>
      <c r="Q9881" s="1"/>
      <c r="R9881" s="1"/>
      <c r="Z9881" s="103"/>
      <c r="AA9881" s="103"/>
      <c r="AB9881" s="1"/>
    </row>
    <row r="9882" spans="15:28">
      <c r="O9882" s="1"/>
      <c r="P9882" s="1"/>
      <c r="Q9882" s="1"/>
      <c r="R9882" s="1"/>
      <c r="Z9882" s="103"/>
      <c r="AA9882" s="103"/>
      <c r="AB9882" s="1"/>
    </row>
    <row r="9883" spans="15:28">
      <c r="O9883" s="1"/>
      <c r="P9883" s="1"/>
      <c r="Q9883" s="1"/>
      <c r="R9883" s="1"/>
      <c r="Z9883" s="103"/>
      <c r="AA9883" s="103"/>
      <c r="AB9883" s="1"/>
    </row>
    <row r="9884" spans="15:28">
      <c r="O9884" s="1"/>
      <c r="P9884" s="1"/>
      <c r="Q9884" s="1"/>
      <c r="R9884" s="1"/>
      <c r="Z9884" s="103"/>
      <c r="AA9884" s="103"/>
      <c r="AB9884" s="1"/>
    </row>
    <row r="9885" spans="15:28">
      <c r="O9885" s="1"/>
      <c r="P9885" s="1"/>
      <c r="Q9885" s="1"/>
      <c r="R9885" s="1"/>
      <c r="Z9885" s="103"/>
      <c r="AA9885" s="103"/>
      <c r="AB9885" s="1"/>
    </row>
    <row r="9886" spans="15:28">
      <c r="O9886" s="1"/>
      <c r="P9886" s="1"/>
      <c r="Q9886" s="1"/>
      <c r="R9886" s="1"/>
      <c r="Z9886" s="103"/>
      <c r="AA9886" s="103"/>
      <c r="AB9886" s="1"/>
    </row>
    <row r="9887" spans="15:28">
      <c r="O9887" s="1"/>
      <c r="P9887" s="1"/>
      <c r="Q9887" s="1"/>
      <c r="R9887" s="1"/>
      <c r="Z9887" s="103"/>
      <c r="AA9887" s="103"/>
      <c r="AB9887" s="1"/>
    </row>
    <row r="9888" spans="15:28">
      <c r="O9888" s="1"/>
      <c r="P9888" s="1"/>
      <c r="Q9888" s="1"/>
      <c r="R9888" s="1"/>
      <c r="Z9888" s="103"/>
      <c r="AA9888" s="103"/>
      <c r="AB9888" s="1"/>
    </row>
    <row r="9889" spans="15:28">
      <c r="O9889" s="1"/>
      <c r="P9889" s="1"/>
      <c r="Q9889" s="1"/>
      <c r="R9889" s="1"/>
      <c r="Z9889" s="103"/>
      <c r="AA9889" s="103"/>
      <c r="AB9889" s="1"/>
    </row>
    <row r="9890" spans="15:28">
      <c r="O9890" s="1"/>
      <c r="P9890" s="1"/>
      <c r="Q9890" s="1"/>
      <c r="R9890" s="1"/>
      <c r="Z9890" s="103"/>
      <c r="AA9890" s="103"/>
      <c r="AB9890" s="1"/>
    </row>
    <row r="9891" spans="15:28">
      <c r="O9891" s="1"/>
      <c r="P9891" s="1"/>
      <c r="Q9891" s="1"/>
      <c r="R9891" s="1"/>
      <c r="Z9891" s="103"/>
      <c r="AA9891" s="103"/>
      <c r="AB9891" s="1"/>
    </row>
    <row r="9892" spans="15:28">
      <c r="O9892" s="1"/>
      <c r="P9892" s="1"/>
      <c r="Q9892" s="1"/>
      <c r="R9892" s="1"/>
      <c r="Z9892" s="103"/>
      <c r="AA9892" s="103"/>
      <c r="AB9892" s="1"/>
    </row>
    <row r="9893" spans="15:28">
      <c r="O9893" s="1"/>
      <c r="P9893" s="1"/>
      <c r="Q9893" s="1"/>
      <c r="R9893" s="1"/>
      <c r="Z9893" s="103"/>
      <c r="AA9893" s="103"/>
      <c r="AB9893" s="1"/>
    </row>
    <row r="9894" spans="15:28">
      <c r="O9894" s="1"/>
      <c r="P9894" s="1"/>
      <c r="Q9894" s="1"/>
      <c r="R9894" s="1"/>
      <c r="Z9894" s="103"/>
      <c r="AA9894" s="103"/>
      <c r="AB9894" s="1"/>
    </row>
    <row r="9895" spans="15:28">
      <c r="O9895" s="1"/>
      <c r="P9895" s="1"/>
      <c r="Q9895" s="1"/>
      <c r="R9895" s="1"/>
      <c r="Z9895" s="103"/>
      <c r="AA9895" s="103"/>
      <c r="AB9895" s="1"/>
    </row>
    <row r="9896" spans="15:28">
      <c r="O9896" s="1"/>
      <c r="P9896" s="1"/>
      <c r="Q9896" s="1"/>
      <c r="R9896" s="1"/>
      <c r="Z9896" s="103"/>
      <c r="AA9896" s="103"/>
      <c r="AB9896" s="1"/>
    </row>
    <row r="9897" spans="15:28">
      <c r="O9897" s="1"/>
      <c r="P9897" s="1"/>
      <c r="Q9897" s="1"/>
      <c r="R9897" s="1"/>
      <c r="Z9897" s="103"/>
      <c r="AA9897" s="103"/>
      <c r="AB9897" s="1"/>
    </row>
    <row r="9898" spans="15:28">
      <c r="O9898" s="1"/>
      <c r="P9898" s="1"/>
      <c r="Q9898" s="1"/>
      <c r="R9898" s="1"/>
      <c r="Z9898" s="103"/>
      <c r="AA9898" s="103"/>
      <c r="AB9898" s="1"/>
    </row>
    <row r="9899" spans="15:28">
      <c r="O9899" s="1"/>
      <c r="P9899" s="1"/>
      <c r="Q9899" s="1"/>
      <c r="R9899" s="1"/>
      <c r="Z9899" s="103"/>
      <c r="AA9899" s="103"/>
      <c r="AB9899" s="1"/>
    </row>
    <row r="9900" spans="15:28">
      <c r="O9900" s="1"/>
      <c r="P9900" s="1"/>
      <c r="Q9900" s="1"/>
      <c r="R9900" s="1"/>
      <c r="Z9900" s="103"/>
      <c r="AA9900" s="103"/>
      <c r="AB9900" s="1"/>
    </row>
    <row r="9901" spans="15:28">
      <c r="O9901" s="1"/>
      <c r="P9901" s="1"/>
      <c r="Q9901" s="1"/>
      <c r="R9901" s="1"/>
      <c r="Z9901" s="103"/>
      <c r="AA9901" s="103"/>
      <c r="AB9901" s="1"/>
    </row>
    <row r="9902" spans="15:28">
      <c r="O9902" s="1"/>
      <c r="P9902" s="1"/>
      <c r="Q9902" s="1"/>
      <c r="R9902" s="1"/>
      <c r="Z9902" s="103"/>
      <c r="AA9902" s="103"/>
      <c r="AB9902" s="1"/>
    </row>
    <row r="9903" spans="15:28">
      <c r="O9903" s="1"/>
      <c r="P9903" s="1"/>
      <c r="Q9903" s="1"/>
      <c r="R9903" s="1"/>
      <c r="Z9903" s="103"/>
      <c r="AA9903" s="103"/>
      <c r="AB9903" s="1"/>
    </row>
    <row r="9904" spans="15:28">
      <c r="O9904" s="1"/>
      <c r="P9904" s="1"/>
      <c r="Q9904" s="1"/>
      <c r="R9904" s="1"/>
      <c r="Z9904" s="103"/>
      <c r="AA9904" s="103"/>
      <c r="AB9904" s="1"/>
    </row>
    <row r="9905" spans="15:28">
      <c r="O9905" s="1"/>
      <c r="P9905" s="1"/>
      <c r="Q9905" s="1"/>
      <c r="R9905" s="1"/>
      <c r="Z9905" s="103"/>
      <c r="AA9905" s="103"/>
      <c r="AB9905" s="1"/>
    </row>
    <row r="9906" spans="15:28">
      <c r="O9906" s="1"/>
      <c r="P9906" s="1"/>
      <c r="Q9906" s="1"/>
      <c r="R9906" s="1"/>
      <c r="Z9906" s="103"/>
      <c r="AA9906" s="103"/>
      <c r="AB9906" s="1"/>
    </row>
    <row r="9907" spans="15:28">
      <c r="O9907" s="1"/>
      <c r="P9907" s="1"/>
      <c r="Q9907" s="1"/>
      <c r="R9907" s="1"/>
      <c r="Z9907" s="103"/>
      <c r="AA9907" s="103"/>
      <c r="AB9907" s="1"/>
    </row>
    <row r="9908" spans="15:28">
      <c r="O9908" s="1"/>
      <c r="P9908" s="1"/>
      <c r="Q9908" s="1"/>
      <c r="R9908" s="1"/>
      <c r="Z9908" s="103"/>
      <c r="AA9908" s="103"/>
      <c r="AB9908" s="1"/>
    </row>
    <row r="9909" spans="15:28">
      <c r="O9909" s="1"/>
      <c r="P9909" s="1"/>
      <c r="Q9909" s="1"/>
      <c r="R9909" s="1"/>
      <c r="Z9909" s="103"/>
      <c r="AA9909" s="103"/>
      <c r="AB9909" s="1"/>
    </row>
    <row r="9910" spans="15:28">
      <c r="O9910" s="1"/>
      <c r="P9910" s="1"/>
      <c r="Q9910" s="1"/>
      <c r="R9910" s="1"/>
      <c r="Z9910" s="103"/>
      <c r="AA9910" s="103"/>
      <c r="AB9910" s="1"/>
    </row>
    <row r="9911" spans="15:28">
      <c r="O9911" s="1"/>
      <c r="P9911" s="1"/>
      <c r="Q9911" s="1"/>
      <c r="R9911" s="1"/>
      <c r="Z9911" s="103"/>
      <c r="AA9911" s="103"/>
      <c r="AB9911" s="1"/>
    </row>
    <row r="9912" spans="15:28">
      <c r="O9912" s="1"/>
      <c r="P9912" s="1"/>
      <c r="Q9912" s="1"/>
      <c r="R9912" s="1"/>
      <c r="Z9912" s="103"/>
      <c r="AA9912" s="103"/>
      <c r="AB9912" s="1"/>
    </row>
    <row r="9913" spans="15:28">
      <c r="O9913" s="1"/>
      <c r="P9913" s="1"/>
      <c r="Q9913" s="1"/>
      <c r="R9913" s="1"/>
      <c r="Z9913" s="103"/>
      <c r="AA9913" s="103"/>
      <c r="AB9913" s="1"/>
    </row>
    <row r="9914" spans="15:28">
      <c r="O9914" s="1"/>
      <c r="P9914" s="1"/>
      <c r="Q9914" s="1"/>
      <c r="R9914" s="1"/>
      <c r="Z9914" s="103"/>
      <c r="AA9914" s="103"/>
      <c r="AB9914" s="1"/>
    </row>
    <row r="9915" spans="15:28">
      <c r="O9915" s="1"/>
      <c r="P9915" s="1"/>
      <c r="Q9915" s="1"/>
      <c r="R9915" s="1"/>
      <c r="Z9915" s="103"/>
      <c r="AA9915" s="103"/>
      <c r="AB9915" s="1"/>
    </row>
    <row r="9916" spans="15:28">
      <c r="O9916" s="1"/>
      <c r="P9916" s="1"/>
      <c r="Q9916" s="1"/>
      <c r="R9916" s="1"/>
      <c r="Z9916" s="103"/>
      <c r="AA9916" s="103"/>
      <c r="AB9916" s="1"/>
    </row>
    <row r="9917" spans="15:28">
      <c r="O9917" s="1"/>
      <c r="P9917" s="1"/>
      <c r="Q9917" s="1"/>
      <c r="R9917" s="1"/>
      <c r="Z9917" s="103"/>
      <c r="AA9917" s="103"/>
      <c r="AB9917" s="1"/>
    </row>
    <row r="9918" spans="15:28">
      <c r="O9918" s="1"/>
      <c r="P9918" s="1"/>
      <c r="Q9918" s="1"/>
      <c r="R9918" s="1"/>
      <c r="Z9918" s="103"/>
      <c r="AA9918" s="103"/>
      <c r="AB9918" s="1"/>
    </row>
    <row r="9919" spans="15:28">
      <c r="O9919" s="1"/>
      <c r="P9919" s="1"/>
      <c r="Q9919" s="1"/>
      <c r="R9919" s="1"/>
      <c r="Z9919" s="103"/>
      <c r="AA9919" s="103"/>
      <c r="AB9919" s="1"/>
    </row>
    <row r="9920" spans="15:28">
      <c r="O9920" s="1"/>
      <c r="P9920" s="1"/>
      <c r="Q9920" s="1"/>
      <c r="R9920" s="1"/>
      <c r="Z9920" s="103"/>
      <c r="AA9920" s="103"/>
      <c r="AB9920" s="1"/>
    </row>
    <row r="9921" spans="15:28">
      <c r="O9921" s="1"/>
      <c r="P9921" s="1"/>
      <c r="Q9921" s="1"/>
      <c r="R9921" s="1"/>
      <c r="Z9921" s="103"/>
      <c r="AA9921" s="103"/>
      <c r="AB9921" s="1"/>
    </row>
    <row r="9922" spans="15:28">
      <c r="O9922" s="1"/>
      <c r="P9922" s="1"/>
      <c r="Q9922" s="1"/>
      <c r="R9922" s="1"/>
      <c r="Z9922" s="103"/>
      <c r="AA9922" s="103"/>
      <c r="AB9922" s="1"/>
    </row>
    <row r="9923" spans="15:28">
      <c r="O9923" s="1"/>
      <c r="P9923" s="1"/>
      <c r="Q9923" s="1"/>
      <c r="R9923" s="1"/>
      <c r="Z9923" s="103"/>
      <c r="AA9923" s="103"/>
      <c r="AB9923" s="1"/>
    </row>
    <row r="9924" spans="15:28">
      <c r="O9924" s="1"/>
      <c r="P9924" s="1"/>
      <c r="Q9924" s="1"/>
      <c r="R9924" s="1"/>
      <c r="Z9924" s="103"/>
      <c r="AA9924" s="103"/>
      <c r="AB9924" s="1"/>
    </row>
    <row r="9925" spans="15:28">
      <c r="O9925" s="1"/>
      <c r="P9925" s="1"/>
      <c r="Q9925" s="1"/>
      <c r="R9925" s="1"/>
      <c r="Z9925" s="103"/>
      <c r="AA9925" s="103"/>
      <c r="AB9925" s="1"/>
    </row>
    <row r="9926" spans="15:28">
      <c r="O9926" s="1"/>
      <c r="P9926" s="1"/>
      <c r="Q9926" s="1"/>
      <c r="R9926" s="1"/>
      <c r="Z9926" s="103"/>
      <c r="AA9926" s="103"/>
      <c r="AB9926" s="1"/>
    </row>
    <row r="9927" spans="15:28">
      <c r="O9927" s="1"/>
      <c r="P9927" s="1"/>
      <c r="Q9927" s="1"/>
      <c r="R9927" s="1"/>
      <c r="Z9927" s="103"/>
      <c r="AA9927" s="103"/>
      <c r="AB9927" s="1"/>
    </row>
    <row r="9928" spans="15:28">
      <c r="O9928" s="1"/>
      <c r="P9928" s="1"/>
      <c r="Q9928" s="1"/>
      <c r="R9928" s="1"/>
      <c r="Z9928" s="103"/>
      <c r="AA9928" s="103"/>
      <c r="AB9928" s="1"/>
    </row>
    <row r="9929" spans="15:28">
      <c r="O9929" s="1"/>
      <c r="P9929" s="1"/>
      <c r="Q9929" s="1"/>
      <c r="R9929" s="1"/>
      <c r="Z9929" s="103"/>
      <c r="AA9929" s="103"/>
      <c r="AB9929" s="1"/>
    </row>
    <row r="9930" spans="15:28">
      <c r="O9930" s="1"/>
      <c r="P9930" s="1"/>
      <c r="Q9930" s="1"/>
      <c r="R9930" s="1"/>
      <c r="Z9930" s="103"/>
      <c r="AA9930" s="103"/>
      <c r="AB9930" s="1"/>
    </row>
    <row r="9931" spans="15:28">
      <c r="O9931" s="1"/>
      <c r="P9931" s="1"/>
      <c r="Q9931" s="1"/>
      <c r="R9931" s="1"/>
      <c r="Z9931" s="103"/>
      <c r="AA9931" s="103"/>
      <c r="AB9931" s="1"/>
    </row>
    <row r="9932" spans="15:28">
      <c r="O9932" s="1"/>
      <c r="P9932" s="1"/>
      <c r="Q9932" s="1"/>
      <c r="R9932" s="1"/>
      <c r="Z9932" s="103"/>
      <c r="AA9932" s="103"/>
      <c r="AB9932" s="1"/>
    </row>
    <row r="9933" spans="15:28">
      <c r="O9933" s="1"/>
      <c r="P9933" s="1"/>
      <c r="Q9933" s="1"/>
      <c r="R9933" s="1"/>
      <c r="Z9933" s="103"/>
      <c r="AA9933" s="103"/>
      <c r="AB9933" s="1"/>
    </row>
    <row r="9934" spans="15:28">
      <c r="O9934" s="1"/>
      <c r="P9934" s="1"/>
      <c r="Q9934" s="1"/>
      <c r="R9934" s="1"/>
      <c r="Z9934" s="103"/>
      <c r="AA9934" s="103"/>
      <c r="AB9934" s="1"/>
    </row>
    <row r="9935" spans="15:28">
      <c r="O9935" s="1"/>
      <c r="P9935" s="1"/>
      <c r="Q9935" s="1"/>
      <c r="R9935" s="1"/>
      <c r="Z9935" s="103"/>
      <c r="AA9935" s="103"/>
      <c r="AB9935" s="1"/>
    </row>
    <row r="9936" spans="15:28">
      <c r="O9936" s="1"/>
      <c r="P9936" s="1"/>
      <c r="Q9936" s="1"/>
      <c r="R9936" s="1"/>
      <c r="Z9936" s="103"/>
      <c r="AA9936" s="103"/>
      <c r="AB9936" s="1"/>
    </row>
    <row r="9937" spans="15:28">
      <c r="O9937" s="1"/>
      <c r="P9937" s="1"/>
      <c r="Q9937" s="1"/>
      <c r="R9937" s="1"/>
      <c r="Z9937" s="103"/>
      <c r="AA9937" s="103"/>
      <c r="AB9937" s="1"/>
    </row>
    <row r="9938" spans="15:28">
      <c r="O9938" s="1"/>
      <c r="P9938" s="1"/>
      <c r="Q9938" s="1"/>
      <c r="R9938" s="1"/>
      <c r="Z9938" s="103"/>
      <c r="AA9938" s="103"/>
      <c r="AB9938" s="1"/>
    </row>
    <row r="9939" spans="15:28">
      <c r="O9939" s="1"/>
      <c r="P9939" s="1"/>
      <c r="Q9939" s="1"/>
      <c r="R9939" s="1"/>
      <c r="Z9939" s="103"/>
      <c r="AA9939" s="103"/>
      <c r="AB9939" s="1"/>
    </row>
    <row r="9940" spans="15:28">
      <c r="O9940" s="1"/>
      <c r="P9940" s="1"/>
      <c r="Q9940" s="1"/>
      <c r="R9940" s="1"/>
      <c r="Z9940" s="103"/>
      <c r="AA9940" s="103"/>
      <c r="AB9940" s="1"/>
    </row>
    <row r="9941" spans="15:28">
      <c r="O9941" s="1"/>
      <c r="P9941" s="1"/>
      <c r="Q9941" s="1"/>
      <c r="R9941" s="1"/>
      <c r="Z9941" s="103"/>
      <c r="AA9941" s="103"/>
      <c r="AB9941" s="1"/>
    </row>
    <row r="9942" spans="15:28">
      <c r="O9942" s="1"/>
      <c r="P9942" s="1"/>
      <c r="Q9942" s="1"/>
      <c r="R9942" s="1"/>
      <c r="Z9942" s="103"/>
      <c r="AA9942" s="103"/>
      <c r="AB9942" s="1"/>
    </row>
    <row r="9943" spans="15:28">
      <c r="O9943" s="1"/>
      <c r="P9943" s="1"/>
      <c r="Q9943" s="1"/>
      <c r="R9943" s="1"/>
      <c r="Z9943" s="103"/>
      <c r="AA9943" s="103"/>
      <c r="AB9943" s="1"/>
    </row>
    <row r="9944" spans="15:28">
      <c r="O9944" s="1"/>
      <c r="P9944" s="1"/>
      <c r="Q9944" s="1"/>
      <c r="R9944" s="1"/>
      <c r="Z9944" s="103"/>
      <c r="AA9944" s="103"/>
      <c r="AB9944" s="1"/>
    </row>
    <row r="9945" spans="15:28">
      <c r="O9945" s="1"/>
      <c r="P9945" s="1"/>
      <c r="Q9945" s="1"/>
      <c r="R9945" s="1"/>
      <c r="Z9945" s="103"/>
      <c r="AA9945" s="103"/>
      <c r="AB9945" s="1"/>
    </row>
    <row r="9946" spans="15:28">
      <c r="O9946" s="1"/>
      <c r="P9946" s="1"/>
      <c r="Q9946" s="1"/>
      <c r="R9946" s="1"/>
      <c r="Z9946" s="103"/>
      <c r="AA9946" s="103"/>
      <c r="AB9946" s="1"/>
    </row>
    <row r="9947" spans="15:28">
      <c r="O9947" s="1"/>
      <c r="P9947" s="1"/>
      <c r="Q9947" s="1"/>
      <c r="R9947" s="1"/>
      <c r="Z9947" s="103"/>
      <c r="AA9947" s="103"/>
      <c r="AB9947" s="1"/>
    </row>
    <row r="9948" spans="15:28">
      <c r="O9948" s="1"/>
      <c r="P9948" s="1"/>
      <c r="Q9948" s="1"/>
      <c r="R9948" s="1"/>
      <c r="Z9948" s="103"/>
      <c r="AA9948" s="103"/>
      <c r="AB9948" s="1"/>
    </row>
    <row r="9949" spans="15:28">
      <c r="O9949" s="1"/>
      <c r="P9949" s="1"/>
      <c r="Q9949" s="1"/>
      <c r="R9949" s="1"/>
      <c r="Z9949" s="103"/>
      <c r="AA9949" s="103"/>
      <c r="AB9949" s="1"/>
    </row>
    <row r="9950" spans="15:28">
      <c r="O9950" s="1"/>
      <c r="P9950" s="1"/>
      <c r="Q9950" s="1"/>
      <c r="R9950" s="1"/>
      <c r="Z9950" s="103"/>
      <c r="AA9950" s="103"/>
      <c r="AB9950" s="1"/>
    </row>
    <row r="9951" spans="15:28">
      <c r="O9951" s="1"/>
      <c r="P9951" s="1"/>
      <c r="Q9951" s="1"/>
      <c r="R9951" s="1"/>
      <c r="Z9951" s="103"/>
      <c r="AA9951" s="103"/>
      <c r="AB9951" s="1"/>
    </row>
    <row r="9952" spans="15:28">
      <c r="O9952" s="1"/>
      <c r="P9952" s="1"/>
      <c r="Q9952" s="1"/>
      <c r="R9952" s="1"/>
      <c r="Z9952" s="103"/>
      <c r="AA9952" s="103"/>
      <c r="AB9952" s="1"/>
    </row>
    <row r="9953" spans="15:28">
      <c r="O9953" s="1"/>
      <c r="P9953" s="1"/>
      <c r="Q9953" s="1"/>
      <c r="R9953" s="1"/>
      <c r="Z9953" s="103"/>
      <c r="AA9953" s="103"/>
      <c r="AB9953" s="1"/>
    </row>
    <row r="9954" spans="15:28">
      <c r="O9954" s="1"/>
      <c r="P9954" s="1"/>
      <c r="Q9954" s="1"/>
      <c r="R9954" s="1"/>
      <c r="Z9954" s="103"/>
      <c r="AA9954" s="103"/>
      <c r="AB9954" s="1"/>
    </row>
    <row r="9955" spans="15:28">
      <c r="O9955" s="1"/>
      <c r="P9955" s="1"/>
      <c r="Q9955" s="1"/>
      <c r="R9955" s="1"/>
      <c r="Z9955" s="103"/>
      <c r="AA9955" s="103"/>
      <c r="AB9955" s="1"/>
    </row>
    <row r="9956" spans="15:28">
      <c r="O9956" s="1"/>
      <c r="P9956" s="1"/>
      <c r="Q9956" s="1"/>
      <c r="R9956" s="1"/>
      <c r="Z9956" s="103"/>
      <c r="AA9956" s="103"/>
      <c r="AB9956" s="1"/>
    </row>
    <row r="9957" spans="15:28">
      <c r="O9957" s="1"/>
      <c r="P9957" s="1"/>
      <c r="Q9957" s="1"/>
      <c r="R9957" s="1"/>
      <c r="Z9957" s="103"/>
      <c r="AA9957" s="103"/>
      <c r="AB9957" s="1"/>
    </row>
    <row r="9958" spans="15:28">
      <c r="O9958" s="1"/>
      <c r="P9958" s="1"/>
      <c r="Q9958" s="1"/>
      <c r="R9958" s="1"/>
      <c r="Z9958" s="103"/>
      <c r="AA9958" s="103"/>
      <c r="AB9958" s="1"/>
    </row>
    <row r="9959" spans="15:28">
      <c r="O9959" s="1"/>
      <c r="P9959" s="1"/>
      <c r="Q9959" s="1"/>
      <c r="R9959" s="1"/>
      <c r="Z9959" s="103"/>
      <c r="AA9959" s="103"/>
      <c r="AB9959" s="1"/>
    </row>
    <row r="9960" spans="15:28">
      <c r="O9960" s="1"/>
      <c r="P9960" s="1"/>
      <c r="Q9960" s="1"/>
      <c r="R9960" s="1"/>
      <c r="Z9960" s="103"/>
      <c r="AA9960" s="103"/>
      <c r="AB9960" s="1"/>
    </row>
    <row r="9961" spans="15:28">
      <c r="O9961" s="1"/>
      <c r="P9961" s="1"/>
      <c r="Q9961" s="1"/>
      <c r="R9961" s="1"/>
      <c r="Z9961" s="103"/>
      <c r="AA9961" s="103"/>
      <c r="AB9961" s="1"/>
    </row>
    <row r="9962" spans="15:28">
      <c r="O9962" s="1"/>
      <c r="P9962" s="1"/>
      <c r="Q9962" s="1"/>
      <c r="R9962" s="1"/>
      <c r="Z9962" s="103"/>
      <c r="AA9962" s="103"/>
      <c r="AB9962" s="1"/>
    </row>
    <row r="9963" spans="15:28">
      <c r="O9963" s="1"/>
      <c r="P9963" s="1"/>
      <c r="Q9963" s="1"/>
      <c r="R9963" s="1"/>
      <c r="Z9963" s="103"/>
      <c r="AA9963" s="103"/>
      <c r="AB9963" s="1"/>
    </row>
    <row r="9964" spans="15:28">
      <c r="O9964" s="1"/>
      <c r="P9964" s="1"/>
      <c r="Q9964" s="1"/>
      <c r="R9964" s="1"/>
      <c r="Z9964" s="103"/>
      <c r="AA9964" s="103"/>
      <c r="AB9964" s="1"/>
    </row>
    <row r="9965" spans="15:28">
      <c r="O9965" s="1"/>
      <c r="P9965" s="1"/>
      <c r="Q9965" s="1"/>
      <c r="R9965" s="1"/>
      <c r="Z9965" s="103"/>
      <c r="AA9965" s="103"/>
      <c r="AB9965" s="1"/>
    </row>
    <row r="9966" spans="15:28">
      <c r="O9966" s="1"/>
      <c r="P9966" s="1"/>
      <c r="Q9966" s="1"/>
      <c r="R9966" s="1"/>
      <c r="Z9966" s="103"/>
      <c r="AA9966" s="103"/>
      <c r="AB9966" s="1"/>
    </row>
    <row r="9967" spans="15:28">
      <c r="O9967" s="1"/>
      <c r="P9967" s="1"/>
      <c r="Q9967" s="1"/>
      <c r="R9967" s="1"/>
      <c r="Z9967" s="103"/>
      <c r="AA9967" s="103"/>
      <c r="AB9967" s="1"/>
    </row>
    <row r="9968" spans="15:28">
      <c r="O9968" s="1"/>
      <c r="P9968" s="1"/>
      <c r="Q9968" s="1"/>
      <c r="R9968" s="1"/>
      <c r="Z9968" s="103"/>
      <c r="AA9968" s="103"/>
      <c r="AB9968" s="1"/>
    </row>
    <row r="9969" spans="15:28">
      <c r="O9969" s="1"/>
      <c r="P9969" s="1"/>
      <c r="Q9969" s="1"/>
      <c r="R9969" s="1"/>
      <c r="Z9969" s="103"/>
      <c r="AA9969" s="103"/>
      <c r="AB9969" s="1"/>
    </row>
    <row r="9970" spans="15:28">
      <c r="O9970" s="1"/>
      <c r="P9970" s="1"/>
      <c r="Q9970" s="1"/>
      <c r="R9970" s="1"/>
      <c r="Z9970" s="103"/>
      <c r="AA9970" s="103"/>
      <c r="AB9970" s="1"/>
    </row>
    <row r="9971" spans="15:28">
      <c r="O9971" s="1"/>
      <c r="P9971" s="1"/>
      <c r="Q9971" s="1"/>
      <c r="R9971" s="1"/>
      <c r="Z9971" s="103"/>
      <c r="AA9971" s="103"/>
      <c r="AB9971" s="1"/>
    </row>
    <row r="9972" spans="15:28">
      <c r="O9972" s="1"/>
      <c r="P9972" s="1"/>
      <c r="Q9972" s="1"/>
      <c r="R9972" s="1"/>
      <c r="Z9972" s="103"/>
      <c r="AA9972" s="103"/>
      <c r="AB9972" s="1"/>
    </row>
    <row r="9973" spans="15:28">
      <c r="O9973" s="1"/>
      <c r="P9973" s="1"/>
      <c r="Q9973" s="1"/>
      <c r="R9973" s="1"/>
      <c r="Z9973" s="103"/>
      <c r="AA9973" s="103"/>
      <c r="AB9973" s="1"/>
    </row>
    <row r="9974" spans="15:28">
      <c r="O9974" s="1"/>
      <c r="P9974" s="1"/>
      <c r="Q9974" s="1"/>
      <c r="R9974" s="1"/>
      <c r="Z9974" s="103"/>
      <c r="AA9974" s="103"/>
      <c r="AB9974" s="1"/>
    </row>
    <row r="9975" spans="15:28">
      <c r="O9975" s="1"/>
      <c r="P9975" s="1"/>
      <c r="Q9975" s="1"/>
      <c r="R9975" s="1"/>
      <c r="Z9975" s="103"/>
      <c r="AA9975" s="103"/>
      <c r="AB9975" s="1"/>
    </row>
    <row r="9976" spans="15:28">
      <c r="O9976" s="1"/>
      <c r="P9976" s="1"/>
      <c r="Q9976" s="1"/>
      <c r="R9976" s="1"/>
      <c r="Z9976" s="103"/>
      <c r="AA9976" s="103"/>
      <c r="AB9976" s="1"/>
    </row>
    <row r="9977" spans="15:28">
      <c r="O9977" s="1"/>
      <c r="P9977" s="1"/>
      <c r="Q9977" s="1"/>
      <c r="R9977" s="1"/>
      <c r="Z9977" s="103"/>
      <c r="AA9977" s="103"/>
      <c r="AB9977" s="1"/>
    </row>
    <row r="9978" spans="15:28">
      <c r="O9978" s="1"/>
      <c r="P9978" s="1"/>
      <c r="Q9978" s="1"/>
      <c r="R9978" s="1"/>
      <c r="Z9978" s="103"/>
      <c r="AA9978" s="103"/>
      <c r="AB9978" s="1"/>
    </row>
    <row r="9979" spans="15:28">
      <c r="O9979" s="1"/>
      <c r="P9979" s="1"/>
      <c r="Q9979" s="1"/>
      <c r="R9979" s="1"/>
      <c r="Z9979" s="103"/>
      <c r="AA9979" s="103"/>
      <c r="AB9979" s="1"/>
    </row>
    <row r="9980" spans="15:28">
      <c r="O9980" s="1"/>
      <c r="P9980" s="1"/>
      <c r="Q9980" s="1"/>
      <c r="R9980" s="1"/>
      <c r="Z9980" s="103"/>
      <c r="AA9980" s="103"/>
      <c r="AB9980" s="1"/>
    </row>
    <row r="9981" spans="15:28">
      <c r="O9981" s="1"/>
      <c r="P9981" s="1"/>
      <c r="Q9981" s="1"/>
      <c r="R9981" s="1"/>
      <c r="Z9981" s="103"/>
      <c r="AA9981" s="103"/>
      <c r="AB9981" s="1"/>
    </row>
    <row r="9982" spans="15:28">
      <c r="O9982" s="1"/>
      <c r="P9982" s="1"/>
      <c r="Q9982" s="1"/>
      <c r="R9982" s="1"/>
      <c r="Z9982" s="103"/>
      <c r="AA9982" s="103"/>
      <c r="AB9982" s="1"/>
    </row>
    <row r="9983" spans="15:28">
      <c r="O9983" s="1"/>
      <c r="P9983" s="1"/>
      <c r="Q9983" s="1"/>
      <c r="R9983" s="1"/>
      <c r="Z9983" s="103"/>
      <c r="AA9983" s="103"/>
      <c r="AB9983" s="1"/>
    </row>
    <row r="9984" spans="15:28">
      <c r="O9984" s="1"/>
      <c r="P9984" s="1"/>
      <c r="Q9984" s="1"/>
      <c r="R9984" s="1"/>
      <c r="Z9984" s="103"/>
      <c r="AA9984" s="103"/>
      <c r="AB9984" s="1"/>
    </row>
    <row r="9985" spans="15:28">
      <c r="O9985" s="1"/>
      <c r="P9985" s="1"/>
      <c r="Q9985" s="1"/>
      <c r="R9985" s="1"/>
      <c r="Z9985" s="103"/>
      <c r="AA9985" s="103"/>
      <c r="AB9985" s="1"/>
    </row>
    <row r="9986" spans="15:28">
      <c r="O9986" s="1"/>
      <c r="P9986" s="1"/>
      <c r="Q9986" s="1"/>
      <c r="R9986" s="1"/>
      <c r="Z9986" s="103"/>
      <c r="AA9986" s="103"/>
      <c r="AB9986" s="1"/>
    </row>
    <row r="9987" spans="15:28">
      <c r="O9987" s="1"/>
      <c r="P9987" s="1"/>
      <c r="Q9987" s="1"/>
      <c r="R9987" s="1"/>
      <c r="Z9987" s="103"/>
      <c r="AA9987" s="103"/>
      <c r="AB9987" s="1"/>
    </row>
    <row r="9988" spans="15:28">
      <c r="O9988" s="1"/>
      <c r="P9988" s="1"/>
      <c r="Q9988" s="1"/>
      <c r="R9988" s="1"/>
      <c r="Z9988" s="103"/>
      <c r="AA9988" s="103"/>
      <c r="AB9988" s="1"/>
    </row>
    <row r="9989" spans="15:28">
      <c r="O9989" s="1"/>
      <c r="P9989" s="1"/>
      <c r="Q9989" s="1"/>
      <c r="R9989" s="1"/>
      <c r="Z9989" s="103"/>
      <c r="AA9989" s="103"/>
      <c r="AB9989" s="1"/>
    </row>
    <row r="9990" spans="15:28">
      <c r="O9990" s="1"/>
      <c r="P9990" s="1"/>
      <c r="Q9990" s="1"/>
      <c r="R9990" s="1"/>
      <c r="Z9990" s="103"/>
      <c r="AA9990" s="103"/>
      <c r="AB9990" s="1"/>
    </row>
    <row r="9991" spans="15:28">
      <c r="O9991" s="1"/>
      <c r="P9991" s="1"/>
      <c r="Q9991" s="1"/>
      <c r="R9991" s="1"/>
      <c r="Z9991" s="103"/>
      <c r="AA9991" s="103"/>
      <c r="AB9991" s="1"/>
    </row>
    <row r="9992" spans="15:28">
      <c r="O9992" s="1"/>
      <c r="P9992" s="1"/>
      <c r="Q9992" s="1"/>
      <c r="R9992" s="1"/>
      <c r="Z9992" s="103"/>
      <c r="AA9992" s="103"/>
      <c r="AB9992" s="1"/>
    </row>
    <row r="9993" spans="15:28">
      <c r="O9993" s="1"/>
      <c r="P9993" s="1"/>
      <c r="Q9993" s="1"/>
      <c r="R9993" s="1"/>
      <c r="Z9993" s="103"/>
      <c r="AA9993" s="103"/>
      <c r="AB9993" s="1"/>
    </row>
    <row r="9994" spans="15:28">
      <c r="O9994" s="1"/>
      <c r="P9994" s="1"/>
      <c r="Q9994" s="1"/>
      <c r="R9994" s="1"/>
      <c r="Z9994" s="103"/>
      <c r="AA9994" s="103"/>
      <c r="AB9994" s="1"/>
    </row>
    <row r="9995" spans="15:28">
      <c r="O9995" s="1"/>
      <c r="P9995" s="1"/>
      <c r="Q9995" s="1"/>
      <c r="R9995" s="1"/>
      <c r="Z9995" s="103"/>
      <c r="AA9995" s="103"/>
      <c r="AB9995" s="1"/>
    </row>
    <row r="9996" spans="15:28">
      <c r="O9996" s="1"/>
      <c r="P9996" s="1"/>
      <c r="Q9996" s="1"/>
      <c r="R9996" s="1"/>
      <c r="Z9996" s="103"/>
      <c r="AA9996" s="103"/>
      <c r="AB9996" s="1"/>
    </row>
    <row r="9997" spans="15:28">
      <c r="O9997" s="1"/>
      <c r="P9997" s="1"/>
      <c r="Q9997" s="1"/>
      <c r="R9997" s="1"/>
      <c r="Z9997" s="103"/>
      <c r="AA9997" s="103"/>
      <c r="AB9997" s="1"/>
    </row>
    <row r="9998" spans="15:28">
      <c r="O9998" s="1"/>
      <c r="P9998" s="1"/>
      <c r="Q9998" s="1"/>
      <c r="R9998" s="1"/>
      <c r="Z9998" s="103"/>
      <c r="AA9998" s="103"/>
      <c r="AB9998" s="1"/>
    </row>
    <row r="9999" spans="15:28">
      <c r="O9999" s="1"/>
      <c r="P9999" s="1"/>
      <c r="Q9999" s="1"/>
      <c r="R9999" s="1"/>
      <c r="Z9999" s="103"/>
      <c r="AA9999" s="103"/>
      <c r="AB9999" s="1"/>
    </row>
    <row r="10000" spans="15:28">
      <c r="O10000" s="1"/>
      <c r="P10000" s="1"/>
      <c r="Q10000" s="1"/>
      <c r="R10000" s="1"/>
      <c r="Z10000" s="103"/>
      <c r="AA10000" s="103"/>
      <c r="AB10000" s="1"/>
    </row>
    <row r="10001" spans="15:28">
      <c r="O10001" s="1"/>
      <c r="P10001" s="1"/>
      <c r="Q10001" s="1"/>
      <c r="R10001" s="1"/>
      <c r="Z10001" s="103"/>
      <c r="AA10001" s="103"/>
      <c r="AB10001" s="1"/>
    </row>
    <row r="10002" spans="15:28">
      <c r="O10002" s="1"/>
      <c r="P10002" s="1"/>
      <c r="Q10002" s="1"/>
      <c r="R10002" s="1"/>
      <c r="Z10002" s="103"/>
      <c r="AA10002" s="103"/>
      <c r="AB10002" s="1"/>
    </row>
    <row r="10003" spans="15:28">
      <c r="O10003" s="1"/>
      <c r="P10003" s="1"/>
      <c r="Q10003" s="1"/>
      <c r="R10003" s="1"/>
      <c r="Z10003" s="103"/>
      <c r="AA10003" s="103"/>
      <c r="AB10003" s="1"/>
    </row>
    <row r="10004" spans="15:28">
      <c r="O10004" s="1"/>
      <c r="P10004" s="1"/>
      <c r="Q10004" s="1"/>
      <c r="R10004" s="1"/>
      <c r="Z10004" s="103"/>
      <c r="AA10004" s="103"/>
      <c r="AB10004" s="1"/>
    </row>
    <row r="10005" spans="15:28">
      <c r="O10005" s="1"/>
      <c r="P10005" s="1"/>
      <c r="Q10005" s="1"/>
      <c r="R10005" s="1"/>
      <c r="Z10005" s="103"/>
      <c r="AA10005" s="103"/>
      <c r="AB10005" s="1"/>
    </row>
    <row r="10006" spans="15:28">
      <c r="O10006" s="1"/>
      <c r="P10006" s="1"/>
      <c r="Q10006" s="1"/>
      <c r="R10006" s="1"/>
      <c r="Z10006" s="103"/>
      <c r="AA10006" s="103"/>
      <c r="AB10006" s="1"/>
    </row>
    <row r="10007" spans="15:28">
      <c r="O10007" s="1"/>
      <c r="P10007" s="1"/>
      <c r="Q10007" s="1"/>
      <c r="R10007" s="1"/>
      <c r="Z10007" s="103"/>
      <c r="AA10007" s="103"/>
      <c r="AB10007" s="1"/>
    </row>
    <row r="10008" spans="15:28">
      <c r="O10008" s="1"/>
      <c r="P10008" s="1"/>
      <c r="Q10008" s="1"/>
      <c r="R10008" s="1"/>
      <c r="Z10008" s="103"/>
      <c r="AA10008" s="103"/>
      <c r="AB10008" s="1"/>
    </row>
    <row r="10009" spans="15:28">
      <c r="O10009" s="1"/>
      <c r="P10009" s="1"/>
      <c r="Q10009" s="1"/>
      <c r="R10009" s="1"/>
      <c r="Z10009" s="103"/>
      <c r="AA10009" s="103"/>
      <c r="AB10009" s="1"/>
    </row>
    <row r="10010" spans="15:28">
      <c r="O10010" s="1"/>
      <c r="P10010" s="1"/>
      <c r="Q10010" s="1"/>
      <c r="R10010" s="1"/>
      <c r="Z10010" s="103"/>
      <c r="AA10010" s="103"/>
      <c r="AB10010" s="1"/>
    </row>
    <row r="10011" spans="15:28">
      <c r="O10011" s="1"/>
      <c r="P10011" s="1"/>
      <c r="Q10011" s="1"/>
      <c r="R10011" s="1"/>
      <c r="Z10011" s="103"/>
      <c r="AA10011" s="103"/>
      <c r="AB10011" s="1"/>
    </row>
    <row r="10012" spans="15:28">
      <c r="O10012" s="1"/>
      <c r="P10012" s="1"/>
      <c r="Q10012" s="1"/>
      <c r="R10012" s="1"/>
      <c r="Z10012" s="103"/>
      <c r="AA10012" s="103"/>
      <c r="AB10012" s="1"/>
    </row>
    <row r="10013" spans="15:28">
      <c r="O10013" s="1"/>
      <c r="P10013" s="1"/>
      <c r="Q10013" s="1"/>
      <c r="R10013" s="1"/>
      <c r="Z10013" s="103"/>
      <c r="AA10013" s="103"/>
      <c r="AB10013" s="1"/>
    </row>
    <row r="10014" spans="15:28">
      <c r="O10014" s="1"/>
      <c r="P10014" s="1"/>
      <c r="Q10014" s="1"/>
      <c r="R10014" s="1"/>
      <c r="Z10014" s="103"/>
      <c r="AA10014" s="103"/>
      <c r="AB10014" s="1"/>
    </row>
    <row r="10015" spans="15:28">
      <c r="O10015" s="1"/>
      <c r="P10015" s="1"/>
      <c r="Q10015" s="1"/>
      <c r="R10015" s="1"/>
      <c r="Z10015" s="103"/>
      <c r="AA10015" s="103"/>
      <c r="AB10015" s="1"/>
    </row>
    <row r="10016" spans="15:28">
      <c r="O10016" s="1"/>
      <c r="P10016" s="1"/>
      <c r="Q10016" s="1"/>
      <c r="R10016" s="1"/>
      <c r="Z10016" s="103"/>
      <c r="AA10016" s="103"/>
      <c r="AB10016" s="1"/>
    </row>
    <row r="10017" spans="15:28">
      <c r="O10017" s="1"/>
      <c r="P10017" s="1"/>
      <c r="Q10017" s="1"/>
      <c r="R10017" s="1"/>
      <c r="Z10017" s="103"/>
      <c r="AA10017" s="103"/>
      <c r="AB10017" s="1"/>
    </row>
    <row r="10018" spans="15:28">
      <c r="O10018" s="1"/>
      <c r="P10018" s="1"/>
      <c r="Q10018" s="1"/>
      <c r="R10018" s="1"/>
      <c r="Z10018" s="103"/>
      <c r="AA10018" s="103"/>
      <c r="AB10018" s="1"/>
    </row>
    <row r="10019" spans="15:28">
      <c r="O10019" s="1"/>
      <c r="P10019" s="1"/>
      <c r="Q10019" s="1"/>
      <c r="R10019" s="1"/>
      <c r="Z10019" s="103"/>
      <c r="AA10019" s="103"/>
      <c r="AB10019" s="1"/>
    </row>
    <row r="10020" spans="15:28">
      <c r="O10020" s="1"/>
      <c r="P10020" s="1"/>
      <c r="Q10020" s="1"/>
      <c r="R10020" s="1"/>
      <c r="Z10020" s="103"/>
      <c r="AA10020" s="103"/>
      <c r="AB10020" s="1"/>
    </row>
    <row r="10021" spans="15:28">
      <c r="O10021" s="1"/>
      <c r="P10021" s="1"/>
      <c r="Q10021" s="1"/>
      <c r="R10021" s="1"/>
      <c r="Z10021" s="103"/>
      <c r="AA10021" s="103"/>
      <c r="AB10021" s="1"/>
    </row>
    <row r="10022" spans="15:28">
      <c r="O10022" s="1"/>
      <c r="P10022" s="1"/>
      <c r="Q10022" s="1"/>
      <c r="R10022" s="1"/>
      <c r="Z10022" s="103"/>
      <c r="AA10022" s="103"/>
      <c r="AB10022" s="1"/>
    </row>
    <row r="10023" spans="15:28">
      <c r="O10023" s="1"/>
      <c r="P10023" s="1"/>
      <c r="Q10023" s="1"/>
      <c r="R10023" s="1"/>
      <c r="Z10023" s="103"/>
      <c r="AA10023" s="103"/>
      <c r="AB10023" s="1"/>
    </row>
    <row r="10024" spans="15:28">
      <c r="O10024" s="1"/>
      <c r="P10024" s="1"/>
      <c r="Q10024" s="1"/>
      <c r="R10024" s="1"/>
      <c r="Z10024" s="103"/>
      <c r="AA10024" s="103"/>
      <c r="AB10024" s="1"/>
    </row>
    <row r="10025" spans="15:28">
      <c r="O10025" s="1"/>
      <c r="P10025" s="1"/>
      <c r="Q10025" s="1"/>
      <c r="R10025" s="1"/>
      <c r="Z10025" s="103"/>
      <c r="AA10025" s="103"/>
      <c r="AB10025" s="1"/>
    </row>
    <row r="10026" spans="15:28">
      <c r="O10026" s="1"/>
      <c r="P10026" s="1"/>
      <c r="Q10026" s="1"/>
      <c r="R10026" s="1"/>
      <c r="Z10026" s="103"/>
      <c r="AA10026" s="103"/>
      <c r="AB10026" s="1"/>
    </row>
    <row r="10027" spans="15:28">
      <c r="O10027" s="1"/>
      <c r="P10027" s="1"/>
      <c r="Q10027" s="1"/>
      <c r="R10027" s="1"/>
      <c r="Z10027" s="103"/>
      <c r="AA10027" s="103"/>
      <c r="AB10027" s="1"/>
    </row>
    <row r="10028" spans="15:28">
      <c r="O10028" s="1"/>
      <c r="P10028" s="1"/>
      <c r="Q10028" s="1"/>
      <c r="R10028" s="1"/>
      <c r="Z10028" s="103"/>
      <c r="AA10028" s="103"/>
      <c r="AB10028" s="1"/>
    </row>
    <row r="10029" spans="15:28">
      <c r="O10029" s="1"/>
      <c r="P10029" s="1"/>
      <c r="Q10029" s="1"/>
      <c r="R10029" s="1"/>
      <c r="Z10029" s="103"/>
      <c r="AA10029" s="103"/>
      <c r="AB10029" s="1"/>
    </row>
    <row r="10030" spans="15:28">
      <c r="O10030" s="1"/>
      <c r="P10030" s="1"/>
      <c r="Q10030" s="1"/>
      <c r="R10030" s="1"/>
      <c r="Z10030" s="103"/>
      <c r="AA10030" s="103"/>
      <c r="AB10030" s="1"/>
    </row>
    <row r="10031" spans="15:28">
      <c r="O10031" s="1"/>
      <c r="P10031" s="1"/>
      <c r="Q10031" s="1"/>
      <c r="R10031" s="1"/>
      <c r="Z10031" s="103"/>
      <c r="AA10031" s="103"/>
      <c r="AB10031" s="1"/>
    </row>
    <row r="10032" spans="15:28">
      <c r="O10032" s="1"/>
      <c r="P10032" s="1"/>
      <c r="Q10032" s="1"/>
      <c r="R10032" s="1"/>
      <c r="Z10032" s="103"/>
      <c r="AA10032" s="103"/>
      <c r="AB10032" s="1"/>
    </row>
    <row r="10033" spans="15:28">
      <c r="O10033" s="1"/>
      <c r="P10033" s="1"/>
      <c r="Q10033" s="1"/>
      <c r="R10033" s="1"/>
      <c r="Z10033" s="103"/>
      <c r="AA10033" s="103"/>
      <c r="AB10033" s="1"/>
    </row>
    <row r="10034" spans="15:28">
      <c r="O10034" s="1"/>
      <c r="P10034" s="1"/>
      <c r="Q10034" s="1"/>
      <c r="R10034" s="1"/>
      <c r="Z10034" s="103"/>
      <c r="AA10034" s="103"/>
      <c r="AB10034" s="1"/>
    </row>
    <row r="10035" spans="15:28">
      <c r="O10035" s="1"/>
      <c r="P10035" s="1"/>
      <c r="Q10035" s="1"/>
      <c r="R10035" s="1"/>
      <c r="Z10035" s="103"/>
      <c r="AA10035" s="103"/>
      <c r="AB10035" s="1"/>
    </row>
    <row r="10036" spans="15:28">
      <c r="O10036" s="1"/>
      <c r="P10036" s="1"/>
      <c r="Q10036" s="1"/>
      <c r="R10036" s="1"/>
      <c r="Z10036" s="103"/>
      <c r="AA10036" s="103"/>
      <c r="AB10036" s="1"/>
    </row>
    <row r="10037" spans="15:28">
      <c r="O10037" s="1"/>
      <c r="P10037" s="1"/>
      <c r="Q10037" s="1"/>
      <c r="R10037" s="1"/>
      <c r="Z10037" s="103"/>
      <c r="AA10037" s="103"/>
      <c r="AB10037" s="1"/>
    </row>
    <row r="10038" spans="15:28">
      <c r="O10038" s="1"/>
      <c r="P10038" s="1"/>
      <c r="Q10038" s="1"/>
      <c r="R10038" s="1"/>
      <c r="Z10038" s="103"/>
      <c r="AA10038" s="103"/>
      <c r="AB10038" s="1"/>
    </row>
    <row r="10039" spans="15:28">
      <c r="O10039" s="1"/>
      <c r="P10039" s="1"/>
      <c r="Q10039" s="1"/>
      <c r="R10039" s="1"/>
      <c r="Z10039" s="103"/>
      <c r="AA10039" s="103"/>
      <c r="AB10039" s="1"/>
    </row>
    <row r="10040" spans="15:28">
      <c r="O10040" s="1"/>
      <c r="P10040" s="1"/>
      <c r="Q10040" s="1"/>
      <c r="R10040" s="1"/>
      <c r="Z10040" s="103"/>
      <c r="AA10040" s="103"/>
      <c r="AB10040" s="1"/>
    </row>
    <row r="10041" spans="15:28">
      <c r="O10041" s="1"/>
      <c r="P10041" s="1"/>
      <c r="Q10041" s="1"/>
      <c r="R10041" s="1"/>
      <c r="Z10041" s="103"/>
      <c r="AA10041" s="103"/>
      <c r="AB10041" s="1"/>
    </row>
    <row r="10042" spans="15:28">
      <c r="O10042" s="1"/>
      <c r="P10042" s="1"/>
      <c r="Q10042" s="1"/>
      <c r="R10042" s="1"/>
      <c r="Z10042" s="103"/>
      <c r="AA10042" s="103"/>
      <c r="AB10042" s="1"/>
    </row>
    <row r="10043" spans="15:28">
      <c r="O10043" s="1"/>
      <c r="P10043" s="1"/>
      <c r="Q10043" s="1"/>
      <c r="R10043" s="1"/>
      <c r="Z10043" s="103"/>
      <c r="AA10043" s="103"/>
      <c r="AB10043" s="1"/>
    </row>
    <row r="10044" spans="15:28">
      <c r="O10044" s="1"/>
      <c r="P10044" s="1"/>
      <c r="Q10044" s="1"/>
      <c r="R10044" s="1"/>
      <c r="Z10044" s="103"/>
      <c r="AA10044" s="103"/>
      <c r="AB10044" s="1"/>
    </row>
    <row r="10045" spans="15:28">
      <c r="O10045" s="1"/>
      <c r="P10045" s="1"/>
      <c r="Q10045" s="1"/>
      <c r="R10045" s="1"/>
      <c r="Z10045" s="103"/>
      <c r="AA10045" s="103"/>
      <c r="AB10045" s="1"/>
    </row>
    <row r="10046" spans="15:28">
      <c r="O10046" s="1"/>
      <c r="P10046" s="1"/>
      <c r="Q10046" s="1"/>
      <c r="R10046" s="1"/>
      <c r="Z10046" s="103"/>
      <c r="AA10046" s="103"/>
      <c r="AB10046" s="1"/>
    </row>
    <row r="10047" spans="15:28">
      <c r="O10047" s="1"/>
      <c r="P10047" s="1"/>
      <c r="Q10047" s="1"/>
      <c r="R10047" s="1"/>
      <c r="Z10047" s="103"/>
      <c r="AA10047" s="103"/>
      <c r="AB10047" s="1"/>
    </row>
    <row r="10048" spans="15:28">
      <c r="O10048" s="1"/>
      <c r="P10048" s="1"/>
      <c r="Q10048" s="1"/>
      <c r="R10048" s="1"/>
      <c r="Z10048" s="103"/>
      <c r="AA10048" s="103"/>
      <c r="AB10048" s="1"/>
    </row>
    <row r="10049" spans="15:30">
      <c r="O10049" s="1"/>
      <c r="P10049" s="1"/>
      <c r="Q10049" s="1"/>
      <c r="R10049" s="1"/>
      <c r="Z10049" s="103"/>
      <c r="AA10049" s="103"/>
      <c r="AB10049" s="1"/>
      <c r="AD10049" s="102"/>
    </row>
    <row r="10050" spans="15:30">
      <c r="O10050" s="1"/>
      <c r="P10050" s="1"/>
      <c r="Q10050" s="1"/>
      <c r="R10050" s="1"/>
      <c r="Z10050" s="103"/>
      <c r="AA10050" s="103"/>
      <c r="AB10050" s="1"/>
    </row>
    <row r="10051" spans="15:30">
      <c r="O10051" s="1"/>
      <c r="P10051" s="1"/>
      <c r="Q10051" s="1"/>
      <c r="R10051" s="1"/>
      <c r="Z10051" s="103"/>
      <c r="AA10051" s="103"/>
      <c r="AB10051" s="1"/>
    </row>
    <row r="10052" spans="15:30">
      <c r="O10052" s="1"/>
      <c r="P10052" s="1"/>
      <c r="Q10052" s="1"/>
      <c r="R10052" s="1"/>
      <c r="Z10052" s="103"/>
      <c r="AA10052" s="103"/>
      <c r="AB10052" s="1"/>
    </row>
    <row r="10053" spans="15:30">
      <c r="O10053" s="1"/>
      <c r="P10053" s="1"/>
      <c r="Q10053" s="1"/>
      <c r="R10053" s="1"/>
      <c r="Z10053" s="103"/>
      <c r="AA10053" s="103"/>
      <c r="AB10053" s="1"/>
    </row>
    <row r="10054" spans="15:30">
      <c r="O10054" s="1"/>
      <c r="P10054" s="1"/>
      <c r="Q10054" s="1"/>
      <c r="R10054" s="1"/>
      <c r="Z10054" s="103"/>
      <c r="AA10054" s="103"/>
      <c r="AB10054" s="1"/>
    </row>
    <row r="10055" spans="15:30">
      <c r="O10055" s="1"/>
      <c r="P10055" s="1"/>
      <c r="Q10055" s="1"/>
      <c r="R10055" s="1"/>
      <c r="Z10055" s="103"/>
      <c r="AA10055" s="103"/>
      <c r="AB10055" s="1"/>
    </row>
    <row r="10056" spans="15:30">
      <c r="O10056" s="1"/>
      <c r="P10056" s="1"/>
      <c r="Q10056" s="1"/>
      <c r="R10056" s="1"/>
      <c r="Z10056" s="103"/>
      <c r="AA10056" s="103"/>
      <c r="AB10056" s="1"/>
    </row>
    <row r="10057" spans="15:30">
      <c r="O10057" s="1"/>
      <c r="P10057" s="1"/>
      <c r="Q10057" s="1"/>
      <c r="R10057" s="1"/>
      <c r="Z10057" s="103"/>
      <c r="AA10057" s="103"/>
      <c r="AB10057" s="1"/>
    </row>
    <row r="10058" spans="15:30">
      <c r="O10058" s="1"/>
      <c r="P10058" s="1"/>
      <c r="Q10058" s="1"/>
      <c r="R10058" s="1"/>
      <c r="Z10058" s="103"/>
      <c r="AA10058" s="103"/>
      <c r="AB10058" s="1"/>
    </row>
    <row r="10059" spans="15:30">
      <c r="O10059" s="1"/>
      <c r="P10059" s="1"/>
      <c r="Q10059" s="1"/>
      <c r="R10059" s="1"/>
      <c r="Z10059" s="103"/>
      <c r="AA10059" s="103"/>
      <c r="AB10059" s="1"/>
    </row>
    <row r="10060" spans="15:30">
      <c r="O10060" s="1"/>
      <c r="P10060" s="1"/>
      <c r="Q10060" s="1"/>
      <c r="R10060" s="1"/>
      <c r="Z10060" s="103"/>
      <c r="AA10060" s="103"/>
      <c r="AB10060" s="1"/>
    </row>
    <row r="10061" spans="15:30">
      <c r="O10061" s="1"/>
      <c r="P10061" s="1"/>
      <c r="Q10061" s="1"/>
      <c r="R10061" s="1"/>
      <c r="Z10061" s="103"/>
      <c r="AA10061" s="103"/>
      <c r="AB10061" s="1"/>
    </row>
    <row r="10062" spans="15:30">
      <c r="O10062" s="1"/>
      <c r="P10062" s="1"/>
      <c r="Q10062" s="1"/>
      <c r="R10062" s="1"/>
      <c r="Z10062" s="103"/>
      <c r="AA10062" s="103"/>
      <c r="AB10062" s="1"/>
    </row>
    <row r="10063" spans="15:30">
      <c r="O10063" s="1"/>
      <c r="P10063" s="1"/>
      <c r="Q10063" s="1"/>
      <c r="R10063" s="1"/>
      <c r="Z10063" s="103"/>
      <c r="AA10063" s="103"/>
      <c r="AB10063" s="1"/>
    </row>
    <row r="10064" spans="15:30">
      <c r="O10064" s="1"/>
      <c r="P10064" s="1"/>
      <c r="Q10064" s="1"/>
      <c r="R10064" s="1"/>
      <c r="Z10064" s="103"/>
      <c r="AA10064" s="103"/>
      <c r="AB10064" s="1"/>
    </row>
    <row r="10065" spans="15:28">
      <c r="O10065" s="1"/>
      <c r="P10065" s="1"/>
      <c r="Q10065" s="1"/>
      <c r="R10065" s="1"/>
      <c r="Z10065" s="103"/>
      <c r="AA10065" s="103"/>
      <c r="AB10065" s="1"/>
    </row>
    <row r="10066" spans="15:28">
      <c r="O10066" s="1"/>
      <c r="P10066" s="1"/>
      <c r="Q10066" s="1"/>
      <c r="R10066" s="1"/>
      <c r="Z10066" s="103"/>
      <c r="AA10066" s="103"/>
      <c r="AB10066" s="1"/>
    </row>
    <row r="10067" spans="15:28">
      <c r="O10067" s="1"/>
      <c r="P10067" s="1"/>
      <c r="Q10067" s="1"/>
      <c r="R10067" s="1"/>
      <c r="Z10067" s="103"/>
      <c r="AA10067" s="103"/>
      <c r="AB10067" s="1"/>
    </row>
    <row r="10068" spans="15:28">
      <c r="O10068" s="1"/>
      <c r="P10068" s="1"/>
      <c r="Q10068" s="1"/>
      <c r="R10068" s="1"/>
      <c r="Z10068" s="103"/>
      <c r="AA10068" s="103"/>
      <c r="AB10068" s="1"/>
    </row>
    <row r="10069" spans="15:28">
      <c r="O10069" s="1"/>
      <c r="P10069" s="1"/>
      <c r="Q10069" s="1"/>
      <c r="R10069" s="1"/>
      <c r="Z10069" s="103"/>
      <c r="AA10069" s="103"/>
      <c r="AB10069" s="1"/>
    </row>
    <row r="10070" spans="15:28">
      <c r="O10070" s="1"/>
      <c r="P10070" s="1"/>
      <c r="Q10070" s="1"/>
      <c r="R10070" s="1"/>
      <c r="Z10070" s="103"/>
      <c r="AA10070" s="103"/>
      <c r="AB10070" s="1"/>
    </row>
    <row r="10071" spans="15:28">
      <c r="O10071" s="1"/>
      <c r="P10071" s="1"/>
      <c r="Q10071" s="1"/>
      <c r="R10071" s="1"/>
      <c r="Z10071" s="103"/>
      <c r="AA10071" s="103"/>
      <c r="AB10071" s="1"/>
    </row>
    <row r="10072" spans="15:28">
      <c r="O10072" s="1"/>
      <c r="P10072" s="1"/>
      <c r="Q10072" s="1"/>
      <c r="R10072" s="1"/>
      <c r="Z10072" s="103"/>
      <c r="AA10072" s="103"/>
      <c r="AB10072" s="1"/>
    </row>
    <row r="10073" spans="15:28">
      <c r="O10073" s="1"/>
      <c r="P10073" s="1"/>
      <c r="Q10073" s="1"/>
      <c r="R10073" s="1"/>
      <c r="Z10073" s="103"/>
      <c r="AA10073" s="103"/>
      <c r="AB10073" s="1"/>
    </row>
    <row r="10074" spans="15:28">
      <c r="O10074" s="1"/>
      <c r="P10074" s="1"/>
      <c r="Q10074" s="1"/>
      <c r="R10074" s="1"/>
      <c r="Z10074" s="103"/>
      <c r="AA10074" s="103"/>
      <c r="AB10074" s="1"/>
    </row>
    <row r="10075" spans="15:28">
      <c r="O10075" s="1"/>
      <c r="P10075" s="1"/>
      <c r="Q10075" s="1"/>
      <c r="R10075" s="1"/>
      <c r="Z10075" s="103"/>
      <c r="AA10075" s="103"/>
      <c r="AB10075" s="1"/>
    </row>
    <row r="10076" spans="15:28">
      <c r="O10076" s="1"/>
      <c r="P10076" s="1"/>
      <c r="Q10076" s="1"/>
      <c r="R10076" s="1"/>
      <c r="Z10076" s="103"/>
      <c r="AA10076" s="103"/>
      <c r="AB10076" s="1"/>
    </row>
    <row r="10077" spans="15:28">
      <c r="O10077" s="1"/>
      <c r="P10077" s="1"/>
      <c r="Q10077" s="1"/>
      <c r="R10077" s="1"/>
      <c r="Z10077" s="103"/>
      <c r="AA10077" s="103"/>
      <c r="AB10077" s="1"/>
    </row>
    <row r="10078" spans="15:28">
      <c r="O10078" s="1"/>
      <c r="P10078" s="1"/>
      <c r="Q10078" s="1"/>
      <c r="R10078" s="1"/>
      <c r="Z10078" s="103"/>
      <c r="AA10078" s="103"/>
      <c r="AB10078" s="1"/>
    </row>
    <row r="10079" spans="15:28">
      <c r="O10079" s="1"/>
      <c r="P10079" s="1"/>
      <c r="Q10079" s="1"/>
      <c r="R10079" s="1"/>
      <c r="Z10079" s="103"/>
      <c r="AA10079" s="103"/>
      <c r="AB10079" s="1"/>
    </row>
    <row r="10080" spans="15:28">
      <c r="O10080" s="1"/>
      <c r="P10080" s="1"/>
      <c r="Q10080" s="1"/>
      <c r="R10080" s="1"/>
      <c r="Z10080" s="103"/>
      <c r="AA10080" s="103"/>
      <c r="AB10080" s="1"/>
    </row>
    <row r="10081" spans="15:28">
      <c r="O10081" s="1"/>
      <c r="P10081" s="1"/>
      <c r="Q10081" s="1"/>
      <c r="R10081" s="1"/>
      <c r="Z10081" s="103"/>
      <c r="AA10081" s="103"/>
      <c r="AB10081" s="1"/>
    </row>
    <row r="10082" spans="15:28">
      <c r="O10082" s="1"/>
      <c r="P10082" s="1"/>
      <c r="Q10082" s="1"/>
      <c r="R10082" s="1"/>
      <c r="Z10082" s="103"/>
      <c r="AA10082" s="103"/>
      <c r="AB10082" s="1"/>
    </row>
    <row r="10083" spans="15:28">
      <c r="O10083" s="1"/>
      <c r="P10083" s="1"/>
      <c r="Q10083" s="1"/>
      <c r="R10083" s="1"/>
      <c r="Z10083" s="103"/>
      <c r="AA10083" s="103"/>
      <c r="AB10083" s="1"/>
    </row>
    <row r="10084" spans="15:28">
      <c r="O10084" s="1"/>
      <c r="P10084" s="1"/>
      <c r="Q10084" s="1"/>
      <c r="R10084" s="1"/>
      <c r="Z10084" s="103"/>
      <c r="AA10084" s="103"/>
      <c r="AB10084" s="1"/>
    </row>
    <row r="10085" spans="15:28">
      <c r="O10085" s="1"/>
      <c r="P10085" s="1"/>
      <c r="Q10085" s="1"/>
      <c r="R10085" s="1"/>
      <c r="Z10085" s="103"/>
      <c r="AA10085" s="103"/>
      <c r="AB10085" s="1"/>
    </row>
    <row r="10086" spans="15:28">
      <c r="O10086" s="1"/>
      <c r="P10086" s="1"/>
      <c r="Q10086" s="1"/>
      <c r="R10086" s="1"/>
      <c r="Z10086" s="103"/>
      <c r="AA10086" s="103"/>
      <c r="AB10086" s="1"/>
    </row>
    <row r="10087" spans="15:28">
      <c r="O10087" s="1"/>
      <c r="P10087" s="1"/>
      <c r="Q10087" s="1"/>
      <c r="R10087" s="1"/>
      <c r="Z10087" s="103"/>
      <c r="AA10087" s="103"/>
      <c r="AB10087" s="1"/>
    </row>
    <row r="10088" spans="15:28">
      <c r="O10088" s="1"/>
      <c r="P10088" s="1"/>
      <c r="Q10088" s="1"/>
      <c r="R10088" s="1"/>
      <c r="Z10088" s="103"/>
      <c r="AA10088" s="103"/>
      <c r="AB10088" s="1"/>
    </row>
    <row r="10089" spans="15:28">
      <c r="O10089" s="1"/>
      <c r="P10089" s="1"/>
      <c r="Q10089" s="1"/>
      <c r="R10089" s="1"/>
      <c r="Z10089" s="103"/>
      <c r="AA10089" s="103"/>
      <c r="AB10089" s="1"/>
    </row>
    <row r="10090" spans="15:28">
      <c r="O10090" s="1"/>
      <c r="P10090" s="1"/>
      <c r="Q10090" s="1"/>
      <c r="R10090" s="1"/>
      <c r="Z10090" s="103"/>
      <c r="AA10090" s="103"/>
      <c r="AB10090" s="1"/>
    </row>
    <row r="10091" spans="15:28">
      <c r="O10091" s="1"/>
      <c r="P10091" s="1"/>
      <c r="Q10091" s="1"/>
      <c r="R10091" s="1"/>
      <c r="Z10091" s="103"/>
      <c r="AA10091" s="103"/>
      <c r="AB10091" s="1"/>
    </row>
    <row r="10092" spans="15:28">
      <c r="O10092" s="1"/>
      <c r="P10092" s="1"/>
      <c r="Q10092" s="1"/>
      <c r="R10092" s="1"/>
      <c r="Z10092" s="103"/>
      <c r="AA10092" s="103"/>
      <c r="AB10092" s="1"/>
    </row>
    <row r="10093" spans="15:28">
      <c r="O10093" s="1"/>
      <c r="P10093" s="1"/>
      <c r="Q10093" s="1"/>
      <c r="R10093" s="1"/>
      <c r="Z10093" s="103"/>
      <c r="AA10093" s="103"/>
      <c r="AB10093" s="1"/>
    </row>
    <row r="10094" spans="15:28">
      <c r="O10094" s="1"/>
      <c r="P10094" s="1"/>
      <c r="Q10094" s="1"/>
      <c r="R10094" s="1"/>
      <c r="Z10094" s="103"/>
      <c r="AA10094" s="103"/>
      <c r="AB10094" s="1"/>
    </row>
    <row r="10095" spans="15:28">
      <c r="O10095" s="1"/>
      <c r="P10095" s="1"/>
      <c r="Q10095" s="1"/>
      <c r="R10095" s="1"/>
      <c r="Z10095" s="103"/>
      <c r="AA10095" s="103"/>
      <c r="AB10095" s="1"/>
    </row>
    <row r="10096" spans="15:28">
      <c r="O10096" s="1"/>
      <c r="P10096" s="1"/>
      <c r="Q10096" s="1"/>
      <c r="R10096" s="1"/>
      <c r="Z10096" s="103"/>
      <c r="AA10096" s="103"/>
      <c r="AB10096" s="1"/>
    </row>
    <row r="10097" spans="15:28">
      <c r="O10097" s="1"/>
      <c r="P10097" s="1"/>
      <c r="Q10097" s="1"/>
      <c r="R10097" s="1"/>
      <c r="Z10097" s="103"/>
      <c r="AA10097" s="103"/>
      <c r="AB10097" s="1"/>
    </row>
    <row r="10098" spans="15:28">
      <c r="O10098" s="1"/>
      <c r="P10098" s="1"/>
      <c r="Q10098" s="1"/>
      <c r="R10098" s="1"/>
      <c r="Z10098" s="103"/>
      <c r="AA10098" s="103"/>
      <c r="AB10098" s="1"/>
    </row>
    <row r="10099" spans="15:28">
      <c r="O10099" s="1"/>
      <c r="P10099" s="1"/>
      <c r="Q10099" s="1"/>
      <c r="R10099" s="1"/>
      <c r="Z10099" s="103"/>
      <c r="AA10099" s="103"/>
      <c r="AB10099" s="1"/>
    </row>
    <row r="10100" spans="15:28">
      <c r="O10100" s="1"/>
      <c r="P10100" s="1"/>
      <c r="Q10100" s="1"/>
      <c r="R10100" s="1"/>
      <c r="Z10100" s="103"/>
      <c r="AA10100" s="103"/>
      <c r="AB10100" s="1"/>
    </row>
    <row r="10101" spans="15:28">
      <c r="O10101" s="1"/>
      <c r="P10101" s="1"/>
      <c r="Q10101" s="1"/>
      <c r="R10101" s="1"/>
      <c r="Z10101" s="103"/>
      <c r="AA10101" s="103"/>
      <c r="AB10101" s="1"/>
    </row>
    <row r="10102" spans="15:28">
      <c r="O10102" s="1"/>
      <c r="P10102" s="1"/>
      <c r="Q10102" s="1"/>
      <c r="R10102" s="1"/>
      <c r="Z10102" s="103"/>
      <c r="AA10102" s="103"/>
      <c r="AB10102" s="1"/>
    </row>
    <row r="10103" spans="15:28">
      <c r="O10103" s="1"/>
      <c r="P10103" s="1"/>
      <c r="Q10103" s="1"/>
      <c r="R10103" s="1"/>
      <c r="Z10103" s="103"/>
      <c r="AA10103" s="103"/>
      <c r="AB10103" s="1"/>
    </row>
    <row r="10104" spans="15:28">
      <c r="O10104" s="1"/>
      <c r="P10104" s="1"/>
      <c r="Q10104" s="1"/>
      <c r="R10104" s="1"/>
      <c r="Z10104" s="103"/>
      <c r="AA10104" s="103"/>
      <c r="AB10104" s="1"/>
    </row>
    <row r="10105" spans="15:28">
      <c r="O10105" s="1"/>
      <c r="P10105" s="1"/>
      <c r="Q10105" s="1"/>
      <c r="R10105" s="1"/>
      <c r="Z10105" s="103"/>
      <c r="AA10105" s="103"/>
      <c r="AB10105" s="1"/>
    </row>
    <row r="10106" spans="15:28">
      <c r="O10106" s="1"/>
      <c r="P10106" s="1"/>
      <c r="Q10106" s="1"/>
      <c r="R10106" s="1"/>
      <c r="Z10106" s="103"/>
      <c r="AA10106" s="103"/>
      <c r="AB10106" s="1"/>
    </row>
    <row r="10107" spans="15:28">
      <c r="O10107" s="1"/>
      <c r="P10107" s="1"/>
      <c r="Q10107" s="1"/>
      <c r="R10107" s="1"/>
      <c r="Z10107" s="103"/>
      <c r="AA10107" s="103"/>
      <c r="AB10107" s="1"/>
    </row>
    <row r="10108" spans="15:28">
      <c r="O10108" s="1"/>
      <c r="P10108" s="1"/>
      <c r="Q10108" s="1"/>
      <c r="R10108" s="1"/>
      <c r="Z10108" s="103"/>
      <c r="AA10108" s="103"/>
      <c r="AB10108" s="1"/>
    </row>
    <row r="10109" spans="15:28">
      <c r="O10109" s="1"/>
      <c r="P10109" s="1"/>
      <c r="Q10109" s="1"/>
      <c r="R10109" s="1"/>
      <c r="Z10109" s="103"/>
      <c r="AA10109" s="103"/>
      <c r="AB10109" s="1"/>
    </row>
    <row r="10110" spans="15:28">
      <c r="O10110" s="1"/>
      <c r="P10110" s="1"/>
      <c r="Q10110" s="1"/>
      <c r="R10110" s="1"/>
      <c r="Z10110" s="103"/>
      <c r="AA10110" s="103"/>
      <c r="AB10110" s="1"/>
    </row>
    <row r="10111" spans="15:28">
      <c r="O10111" s="1"/>
      <c r="P10111" s="1"/>
      <c r="Q10111" s="1"/>
      <c r="R10111" s="1"/>
      <c r="Z10111" s="103"/>
      <c r="AA10111" s="103"/>
      <c r="AB10111" s="1"/>
    </row>
    <row r="10112" spans="15:28">
      <c r="O10112" s="1"/>
      <c r="P10112" s="1"/>
      <c r="Q10112" s="1"/>
      <c r="R10112" s="1"/>
      <c r="Z10112" s="103"/>
      <c r="AA10112" s="103"/>
      <c r="AB10112" s="1"/>
    </row>
    <row r="10113" spans="15:30">
      <c r="O10113" s="1"/>
      <c r="P10113" s="1"/>
      <c r="Q10113" s="1"/>
      <c r="R10113" s="1"/>
      <c r="Z10113" s="103"/>
      <c r="AA10113" s="103"/>
      <c r="AB10113" s="1"/>
      <c r="AD10113" s="102"/>
    </row>
    <row r="10114" spans="15:30">
      <c r="O10114" s="1"/>
      <c r="P10114" s="1"/>
      <c r="Q10114" s="1"/>
      <c r="R10114" s="1"/>
      <c r="Z10114" s="103"/>
      <c r="AA10114" s="103"/>
      <c r="AB10114" s="1"/>
    </row>
    <row r="10115" spans="15:30">
      <c r="O10115" s="1"/>
      <c r="P10115" s="1"/>
      <c r="Q10115" s="1"/>
      <c r="R10115" s="1"/>
      <c r="Z10115" s="103"/>
      <c r="AA10115" s="103"/>
      <c r="AB10115" s="1"/>
    </row>
    <row r="10116" spans="15:30">
      <c r="O10116" s="1"/>
      <c r="P10116" s="1"/>
      <c r="Q10116" s="1"/>
      <c r="R10116" s="1"/>
      <c r="Z10116" s="103"/>
      <c r="AA10116" s="103"/>
      <c r="AB10116" s="1"/>
    </row>
    <row r="10117" spans="15:30">
      <c r="O10117" s="1"/>
      <c r="P10117" s="1"/>
      <c r="Q10117" s="1"/>
      <c r="R10117" s="1"/>
      <c r="Z10117" s="103"/>
      <c r="AA10117" s="103"/>
      <c r="AB10117" s="1"/>
    </row>
    <row r="10118" spans="15:30">
      <c r="O10118" s="1"/>
      <c r="P10118" s="1"/>
      <c r="Q10118" s="1"/>
      <c r="R10118" s="1"/>
      <c r="Z10118" s="103"/>
      <c r="AA10118" s="103"/>
      <c r="AB10118" s="1"/>
    </row>
    <row r="10119" spans="15:30">
      <c r="O10119" s="1"/>
      <c r="P10119" s="1"/>
      <c r="Q10119" s="1"/>
      <c r="R10119" s="1"/>
      <c r="Z10119" s="103"/>
      <c r="AA10119" s="103"/>
      <c r="AB10119" s="1"/>
    </row>
    <row r="10120" spans="15:30">
      <c r="O10120" s="1"/>
      <c r="P10120" s="1"/>
      <c r="Q10120" s="1"/>
      <c r="R10120" s="1"/>
      <c r="Z10120" s="103"/>
      <c r="AA10120" s="103"/>
      <c r="AB10120" s="1"/>
    </row>
    <row r="10121" spans="15:30">
      <c r="O10121" s="1"/>
      <c r="P10121" s="1"/>
      <c r="Q10121" s="1"/>
      <c r="R10121" s="1"/>
      <c r="Z10121" s="103"/>
      <c r="AA10121" s="103"/>
      <c r="AB10121" s="1"/>
    </row>
    <row r="10122" spans="15:30">
      <c r="O10122" s="1"/>
      <c r="P10122" s="1"/>
      <c r="Q10122" s="1"/>
      <c r="R10122" s="1"/>
      <c r="Z10122" s="103"/>
      <c r="AA10122" s="103"/>
      <c r="AB10122" s="1"/>
    </row>
    <row r="10123" spans="15:30">
      <c r="O10123" s="1"/>
      <c r="P10123" s="1"/>
      <c r="Q10123" s="1"/>
      <c r="R10123" s="1"/>
      <c r="Z10123" s="103"/>
      <c r="AA10123" s="103"/>
      <c r="AB10123" s="1"/>
    </row>
    <row r="10124" spans="15:30">
      <c r="O10124" s="1"/>
      <c r="P10124" s="1"/>
      <c r="Q10124" s="1"/>
      <c r="R10124" s="1"/>
      <c r="Z10124" s="103"/>
      <c r="AA10124" s="103"/>
      <c r="AB10124" s="1"/>
    </row>
    <row r="10125" spans="15:30">
      <c r="O10125" s="1"/>
      <c r="P10125" s="1"/>
      <c r="Q10125" s="1"/>
      <c r="R10125" s="1"/>
      <c r="Z10125" s="103"/>
      <c r="AA10125" s="103"/>
      <c r="AB10125" s="1"/>
    </row>
    <row r="10126" spans="15:30">
      <c r="O10126" s="1"/>
      <c r="P10126" s="1"/>
      <c r="Q10126" s="1"/>
      <c r="R10126" s="1"/>
      <c r="Z10126" s="103"/>
      <c r="AA10126" s="103"/>
      <c r="AB10126" s="1"/>
    </row>
    <row r="10127" spans="15:30">
      <c r="O10127" s="1"/>
      <c r="P10127" s="1"/>
      <c r="Q10127" s="1"/>
      <c r="R10127" s="1"/>
      <c r="Z10127" s="103"/>
      <c r="AA10127" s="103"/>
      <c r="AB10127" s="1"/>
    </row>
    <row r="10128" spans="15:30">
      <c r="O10128" s="1"/>
      <c r="P10128" s="1"/>
      <c r="Q10128" s="1"/>
      <c r="R10128" s="1"/>
      <c r="Z10128" s="103"/>
      <c r="AA10128" s="103"/>
      <c r="AB10128" s="1"/>
    </row>
    <row r="10129" spans="15:28">
      <c r="O10129" s="1"/>
      <c r="P10129" s="1"/>
      <c r="Q10129" s="1"/>
      <c r="R10129" s="1"/>
      <c r="Z10129" s="103"/>
      <c r="AA10129" s="103"/>
      <c r="AB10129" s="1"/>
    </row>
    <row r="10130" spans="15:28">
      <c r="O10130" s="1"/>
      <c r="P10130" s="1"/>
      <c r="Q10130" s="1"/>
      <c r="R10130" s="1"/>
      <c r="Z10130" s="103"/>
      <c r="AA10130" s="103"/>
      <c r="AB10130" s="1"/>
    </row>
    <row r="10131" spans="15:28">
      <c r="O10131" s="1"/>
      <c r="P10131" s="1"/>
      <c r="Q10131" s="1"/>
      <c r="R10131" s="1"/>
      <c r="Z10131" s="103"/>
      <c r="AA10131" s="103"/>
      <c r="AB10131" s="1"/>
    </row>
    <row r="10132" spans="15:28">
      <c r="O10132" s="1"/>
      <c r="P10132" s="1"/>
      <c r="Q10132" s="1"/>
      <c r="R10132" s="1"/>
      <c r="Z10132" s="103"/>
      <c r="AA10132" s="103"/>
      <c r="AB10132" s="1"/>
    </row>
    <row r="10133" spans="15:28">
      <c r="O10133" s="1"/>
      <c r="P10133" s="1"/>
      <c r="Q10133" s="1"/>
      <c r="R10133" s="1"/>
      <c r="Z10133" s="103"/>
      <c r="AA10133" s="103"/>
      <c r="AB10133" s="1"/>
    </row>
    <row r="10134" spans="15:28">
      <c r="O10134" s="1"/>
      <c r="P10134" s="1"/>
      <c r="Q10134" s="1"/>
      <c r="R10134" s="1"/>
      <c r="Z10134" s="103"/>
      <c r="AA10134" s="103"/>
      <c r="AB10134" s="1"/>
    </row>
    <row r="10135" spans="15:28">
      <c r="O10135" s="1"/>
      <c r="P10135" s="1"/>
      <c r="Q10135" s="1"/>
      <c r="R10135" s="1"/>
      <c r="Z10135" s="103"/>
      <c r="AA10135" s="103"/>
      <c r="AB10135" s="1"/>
    </row>
    <row r="10136" spans="15:28">
      <c r="O10136" s="1"/>
      <c r="P10136" s="1"/>
      <c r="Q10136" s="1"/>
      <c r="R10136" s="1"/>
      <c r="Z10136" s="103"/>
      <c r="AA10136" s="103"/>
      <c r="AB10136" s="1"/>
    </row>
    <row r="10137" spans="15:28">
      <c r="O10137" s="1"/>
      <c r="P10137" s="1"/>
      <c r="Q10137" s="1"/>
      <c r="R10137" s="1"/>
      <c r="Z10137" s="103"/>
      <c r="AA10137" s="103"/>
      <c r="AB10137" s="1"/>
    </row>
    <row r="10138" spans="15:28">
      <c r="O10138" s="1"/>
      <c r="P10138" s="1"/>
      <c r="Q10138" s="1"/>
      <c r="R10138" s="1"/>
      <c r="Z10138" s="103"/>
      <c r="AA10138" s="103"/>
      <c r="AB10138" s="1"/>
    </row>
    <row r="10139" spans="15:28">
      <c r="O10139" s="1"/>
      <c r="P10139" s="1"/>
      <c r="Q10139" s="1"/>
      <c r="R10139" s="1"/>
      <c r="Z10139" s="103"/>
      <c r="AA10139" s="103"/>
      <c r="AB10139" s="1"/>
    </row>
    <row r="10140" spans="15:28">
      <c r="O10140" s="1"/>
      <c r="P10140" s="1"/>
      <c r="Q10140" s="1"/>
      <c r="R10140" s="1"/>
      <c r="Z10140" s="103"/>
      <c r="AA10140" s="103"/>
      <c r="AB10140" s="1"/>
    </row>
    <row r="10141" spans="15:28">
      <c r="O10141" s="1"/>
      <c r="P10141" s="1"/>
      <c r="Q10141" s="1"/>
      <c r="R10141" s="1"/>
      <c r="Z10141" s="103"/>
      <c r="AA10141" s="103"/>
      <c r="AB10141" s="1"/>
    </row>
    <row r="10142" spans="15:28">
      <c r="O10142" s="1"/>
      <c r="P10142" s="1"/>
      <c r="Q10142" s="1"/>
      <c r="R10142" s="1"/>
      <c r="Z10142" s="103"/>
      <c r="AA10142" s="103"/>
      <c r="AB10142" s="1"/>
    </row>
    <row r="10143" spans="15:28">
      <c r="O10143" s="1"/>
      <c r="P10143" s="1"/>
      <c r="Q10143" s="1"/>
      <c r="R10143" s="1"/>
      <c r="Z10143" s="103"/>
      <c r="AA10143" s="103"/>
      <c r="AB10143" s="1"/>
    </row>
    <row r="10144" spans="15:28">
      <c r="O10144" s="1"/>
      <c r="P10144" s="1"/>
      <c r="Q10144" s="1"/>
      <c r="R10144" s="1"/>
      <c r="Z10144" s="103"/>
      <c r="AA10144" s="103"/>
      <c r="AB10144" s="1"/>
    </row>
    <row r="10145" spans="15:28">
      <c r="O10145" s="1"/>
      <c r="P10145" s="1"/>
      <c r="Q10145" s="1"/>
      <c r="R10145" s="1"/>
      <c r="Z10145" s="103"/>
      <c r="AA10145" s="103"/>
      <c r="AB10145" s="1"/>
    </row>
    <row r="10146" spans="15:28">
      <c r="O10146" s="1"/>
      <c r="P10146" s="1"/>
      <c r="Q10146" s="1"/>
      <c r="R10146" s="1"/>
      <c r="Z10146" s="103"/>
      <c r="AA10146" s="103"/>
      <c r="AB10146" s="1"/>
    </row>
    <row r="10147" spans="15:28">
      <c r="O10147" s="1"/>
      <c r="P10147" s="1"/>
      <c r="Q10147" s="1"/>
      <c r="R10147" s="1"/>
      <c r="Z10147" s="103"/>
      <c r="AA10147" s="103"/>
      <c r="AB10147" s="1"/>
    </row>
    <row r="10148" spans="15:28">
      <c r="O10148" s="1"/>
      <c r="P10148" s="1"/>
      <c r="Q10148" s="1"/>
      <c r="R10148" s="1"/>
      <c r="Z10148" s="103"/>
      <c r="AA10148" s="103"/>
      <c r="AB10148" s="1"/>
    </row>
    <row r="10149" spans="15:28">
      <c r="O10149" s="1"/>
      <c r="P10149" s="1"/>
      <c r="Q10149" s="1"/>
      <c r="R10149" s="1"/>
      <c r="Z10149" s="103"/>
      <c r="AA10149" s="103"/>
      <c r="AB10149" s="1"/>
    </row>
    <row r="10150" spans="15:28">
      <c r="O10150" s="1"/>
      <c r="P10150" s="1"/>
      <c r="Q10150" s="1"/>
      <c r="R10150" s="1"/>
      <c r="Z10150" s="103"/>
      <c r="AA10150" s="103"/>
      <c r="AB10150" s="1"/>
    </row>
    <row r="10151" spans="15:28">
      <c r="O10151" s="1"/>
      <c r="P10151" s="1"/>
      <c r="Q10151" s="1"/>
      <c r="R10151" s="1"/>
      <c r="Z10151" s="103"/>
      <c r="AA10151" s="103"/>
      <c r="AB10151" s="1"/>
    </row>
    <row r="10152" spans="15:28">
      <c r="O10152" s="1"/>
      <c r="P10152" s="1"/>
      <c r="Q10152" s="1"/>
      <c r="R10152" s="1"/>
      <c r="Z10152" s="103"/>
      <c r="AA10152" s="103"/>
      <c r="AB10152" s="1"/>
    </row>
    <row r="10153" spans="15:28">
      <c r="O10153" s="1"/>
      <c r="P10153" s="1"/>
      <c r="Q10153" s="1"/>
      <c r="R10153" s="1"/>
      <c r="Z10153" s="103"/>
      <c r="AA10153" s="103"/>
      <c r="AB10153" s="1"/>
    </row>
    <row r="10154" spans="15:28">
      <c r="O10154" s="1"/>
      <c r="P10154" s="1"/>
      <c r="Q10154" s="1"/>
      <c r="R10154" s="1"/>
      <c r="Z10154" s="103"/>
      <c r="AA10154" s="103"/>
      <c r="AB10154" s="1"/>
    </row>
    <row r="10155" spans="15:28">
      <c r="O10155" s="1"/>
      <c r="P10155" s="1"/>
      <c r="Q10155" s="1"/>
      <c r="R10155" s="1"/>
      <c r="Z10155" s="103"/>
      <c r="AA10155" s="103"/>
      <c r="AB10155" s="1"/>
    </row>
    <row r="10156" spans="15:28">
      <c r="O10156" s="1"/>
      <c r="P10156" s="1"/>
      <c r="Q10156" s="1"/>
      <c r="R10156" s="1"/>
      <c r="Z10156" s="103"/>
      <c r="AA10156" s="103"/>
      <c r="AB10156" s="1"/>
    </row>
    <row r="10157" spans="15:28">
      <c r="O10157" s="1"/>
      <c r="P10157" s="1"/>
      <c r="Q10157" s="1"/>
      <c r="R10157" s="1"/>
      <c r="Z10157" s="103"/>
      <c r="AA10157" s="103"/>
      <c r="AB10157" s="1"/>
    </row>
    <row r="10158" spans="15:28">
      <c r="O10158" s="1"/>
      <c r="P10158" s="1"/>
      <c r="Q10158" s="1"/>
      <c r="R10158" s="1"/>
      <c r="Z10158" s="103"/>
      <c r="AA10158" s="103"/>
      <c r="AB10158" s="1"/>
    </row>
    <row r="10159" spans="15:28">
      <c r="O10159" s="1"/>
      <c r="P10159" s="1"/>
      <c r="Q10159" s="1"/>
      <c r="R10159" s="1"/>
      <c r="Z10159" s="103"/>
      <c r="AA10159" s="103"/>
      <c r="AB10159" s="1"/>
    </row>
    <row r="10160" spans="15:28">
      <c r="O10160" s="1"/>
      <c r="P10160" s="1"/>
      <c r="Q10160" s="1"/>
      <c r="R10160" s="1"/>
      <c r="Z10160" s="103"/>
      <c r="AA10160" s="103"/>
      <c r="AB10160" s="1"/>
    </row>
    <row r="10161" spans="15:28">
      <c r="O10161" s="1"/>
      <c r="P10161" s="1"/>
      <c r="Q10161" s="1"/>
      <c r="R10161" s="1"/>
      <c r="Z10161" s="103"/>
      <c r="AA10161" s="103"/>
      <c r="AB10161" s="1"/>
    </row>
    <row r="10162" spans="15:28">
      <c r="O10162" s="1"/>
      <c r="P10162" s="1"/>
      <c r="Q10162" s="1"/>
      <c r="R10162" s="1"/>
      <c r="Z10162" s="103"/>
      <c r="AA10162" s="103"/>
      <c r="AB10162" s="1"/>
    </row>
    <row r="10163" spans="15:28">
      <c r="O10163" s="1"/>
      <c r="P10163" s="1"/>
      <c r="Q10163" s="1"/>
      <c r="R10163" s="1"/>
      <c r="Z10163" s="103"/>
      <c r="AA10163" s="103"/>
      <c r="AB10163" s="1"/>
    </row>
    <row r="10164" spans="15:28">
      <c r="O10164" s="1"/>
      <c r="P10164" s="1"/>
      <c r="Q10164" s="1"/>
      <c r="R10164" s="1"/>
      <c r="Z10164" s="103"/>
      <c r="AA10164" s="103"/>
      <c r="AB10164" s="1"/>
    </row>
    <row r="10165" spans="15:28">
      <c r="O10165" s="1"/>
      <c r="P10165" s="1"/>
      <c r="Q10165" s="1"/>
      <c r="R10165" s="1"/>
      <c r="Z10165" s="103"/>
      <c r="AA10165" s="103"/>
      <c r="AB10165" s="1"/>
    </row>
    <row r="10166" spans="15:28">
      <c r="O10166" s="1"/>
      <c r="P10166" s="1"/>
      <c r="Q10166" s="1"/>
      <c r="R10166" s="1"/>
      <c r="Z10166" s="103"/>
      <c r="AA10166" s="103"/>
      <c r="AB10166" s="1"/>
    </row>
    <row r="10167" spans="15:28">
      <c r="O10167" s="1"/>
      <c r="P10167" s="1"/>
      <c r="Q10167" s="1"/>
      <c r="R10167" s="1"/>
      <c r="Z10167" s="103"/>
      <c r="AA10167" s="103"/>
      <c r="AB10167" s="1"/>
    </row>
    <row r="10168" spans="15:28">
      <c r="O10168" s="1"/>
      <c r="P10168" s="1"/>
      <c r="Q10168" s="1"/>
      <c r="R10168" s="1"/>
      <c r="Z10168" s="103"/>
      <c r="AA10168" s="103"/>
      <c r="AB10168" s="1"/>
    </row>
    <row r="10169" spans="15:28">
      <c r="O10169" s="1"/>
      <c r="P10169" s="1"/>
      <c r="Q10169" s="1"/>
      <c r="R10169" s="1"/>
      <c r="Z10169" s="103"/>
      <c r="AA10169" s="103"/>
      <c r="AB10169" s="1"/>
    </row>
    <row r="10170" spans="15:28">
      <c r="O10170" s="1"/>
      <c r="P10170" s="1"/>
      <c r="Q10170" s="1"/>
      <c r="R10170" s="1"/>
      <c r="Z10170" s="103"/>
      <c r="AA10170" s="103"/>
      <c r="AB10170" s="1"/>
    </row>
    <row r="10171" spans="15:28">
      <c r="O10171" s="1"/>
      <c r="P10171" s="1"/>
      <c r="Q10171" s="1"/>
      <c r="R10171" s="1"/>
      <c r="Z10171" s="103"/>
      <c r="AA10171" s="103"/>
      <c r="AB10171" s="1"/>
    </row>
    <row r="10172" spans="15:28">
      <c r="O10172" s="1"/>
      <c r="P10172" s="1"/>
      <c r="Q10172" s="1"/>
      <c r="R10172" s="1"/>
      <c r="Z10172" s="103"/>
      <c r="AA10172" s="103"/>
      <c r="AB10172" s="1"/>
    </row>
    <row r="10173" spans="15:28">
      <c r="O10173" s="1"/>
      <c r="P10173" s="1"/>
      <c r="Q10173" s="1"/>
      <c r="R10173" s="1"/>
      <c r="Z10173" s="103"/>
      <c r="AA10173" s="103"/>
      <c r="AB10173" s="1"/>
    </row>
    <row r="10174" spans="15:28">
      <c r="O10174" s="1"/>
      <c r="P10174" s="1"/>
      <c r="Q10174" s="1"/>
      <c r="R10174" s="1"/>
      <c r="Z10174" s="103"/>
      <c r="AA10174" s="103"/>
      <c r="AB10174" s="1"/>
    </row>
    <row r="10175" spans="15:28">
      <c r="O10175" s="1"/>
      <c r="P10175" s="1"/>
      <c r="Q10175" s="1"/>
      <c r="R10175" s="1"/>
      <c r="Z10175" s="103"/>
      <c r="AA10175" s="103"/>
      <c r="AB10175" s="1"/>
    </row>
    <row r="10176" spans="15:28">
      <c r="O10176" s="1"/>
      <c r="P10176" s="1"/>
      <c r="Q10176" s="1"/>
      <c r="R10176" s="1"/>
      <c r="Z10176" s="103"/>
      <c r="AA10176" s="103"/>
      <c r="AB10176" s="1"/>
    </row>
    <row r="10177" spans="15:28">
      <c r="O10177" s="1"/>
      <c r="P10177" s="1"/>
      <c r="Q10177" s="1"/>
      <c r="R10177" s="1"/>
      <c r="Z10177" s="103"/>
      <c r="AA10177" s="103"/>
      <c r="AB10177" s="1"/>
    </row>
    <row r="10178" spans="15:28">
      <c r="O10178" s="1"/>
      <c r="P10178" s="1"/>
      <c r="Q10178" s="1"/>
      <c r="R10178" s="1"/>
      <c r="Z10178" s="103"/>
      <c r="AA10178" s="103"/>
      <c r="AB10178" s="1"/>
    </row>
    <row r="10179" spans="15:28">
      <c r="O10179" s="1"/>
      <c r="P10179" s="1"/>
      <c r="Q10179" s="1"/>
      <c r="R10179" s="1"/>
      <c r="Z10179" s="103"/>
      <c r="AA10179" s="103"/>
      <c r="AB10179" s="1"/>
    </row>
    <row r="10180" spans="15:28">
      <c r="O10180" s="1"/>
      <c r="P10180" s="1"/>
      <c r="Q10180" s="1"/>
      <c r="R10180" s="1"/>
      <c r="Z10180" s="103"/>
      <c r="AA10180" s="103"/>
      <c r="AB10180" s="1"/>
    </row>
    <row r="10181" spans="15:28">
      <c r="O10181" s="1"/>
      <c r="P10181" s="1"/>
      <c r="Q10181" s="1"/>
      <c r="R10181" s="1"/>
      <c r="Z10181" s="103"/>
      <c r="AA10181" s="103"/>
      <c r="AB10181" s="1"/>
    </row>
    <row r="10182" spans="15:28">
      <c r="O10182" s="1"/>
      <c r="P10182" s="1"/>
      <c r="Q10182" s="1"/>
      <c r="R10182" s="1"/>
      <c r="Z10182" s="103"/>
      <c r="AA10182" s="103"/>
      <c r="AB10182" s="1"/>
    </row>
    <row r="10183" spans="15:28">
      <c r="O10183" s="1"/>
      <c r="P10183" s="1"/>
      <c r="Q10183" s="1"/>
      <c r="R10183" s="1"/>
      <c r="Z10183" s="103"/>
      <c r="AA10183" s="103"/>
      <c r="AB10183" s="1"/>
    </row>
    <row r="10184" spans="15:28">
      <c r="O10184" s="1"/>
      <c r="P10184" s="1"/>
      <c r="Q10184" s="1"/>
      <c r="R10184" s="1"/>
      <c r="Z10184" s="103"/>
      <c r="AA10184" s="103"/>
      <c r="AB10184" s="1"/>
    </row>
    <row r="10185" spans="15:28">
      <c r="O10185" s="1"/>
      <c r="P10185" s="1"/>
      <c r="Q10185" s="1"/>
      <c r="R10185" s="1"/>
      <c r="Z10185" s="103"/>
      <c r="AA10185" s="103"/>
      <c r="AB10185" s="1"/>
    </row>
    <row r="10186" spans="15:28">
      <c r="O10186" s="1"/>
      <c r="P10186" s="1"/>
      <c r="Q10186" s="1"/>
      <c r="R10186" s="1"/>
      <c r="Z10186" s="103"/>
      <c r="AA10186" s="103"/>
      <c r="AB10186" s="1"/>
    </row>
    <row r="10187" spans="15:28">
      <c r="O10187" s="1"/>
      <c r="P10187" s="1"/>
      <c r="Q10187" s="1"/>
      <c r="R10187" s="1"/>
      <c r="Z10187" s="103"/>
      <c r="AA10187" s="103"/>
      <c r="AB10187" s="1"/>
    </row>
    <row r="10188" spans="15:28">
      <c r="O10188" s="1"/>
      <c r="P10188" s="1"/>
      <c r="Q10188" s="1"/>
      <c r="R10188" s="1"/>
      <c r="Z10188" s="103"/>
      <c r="AA10188" s="103"/>
      <c r="AB10188" s="1"/>
    </row>
    <row r="10189" spans="15:28">
      <c r="O10189" s="1"/>
      <c r="P10189" s="1"/>
      <c r="Q10189" s="1"/>
      <c r="R10189" s="1"/>
      <c r="Z10189" s="103"/>
      <c r="AA10189" s="103"/>
      <c r="AB10189" s="1"/>
    </row>
    <row r="10190" spans="15:28">
      <c r="O10190" s="1"/>
      <c r="P10190" s="1"/>
      <c r="Q10190" s="1"/>
      <c r="R10190" s="1"/>
      <c r="Z10190" s="103"/>
      <c r="AA10190" s="103"/>
      <c r="AB10190" s="1"/>
    </row>
    <row r="10191" spans="15:28">
      <c r="O10191" s="1"/>
      <c r="P10191" s="1"/>
      <c r="Q10191" s="1"/>
      <c r="R10191" s="1"/>
      <c r="Z10191" s="103"/>
      <c r="AA10191" s="103"/>
      <c r="AB10191" s="1"/>
    </row>
    <row r="10192" spans="15:28">
      <c r="O10192" s="1"/>
      <c r="P10192" s="1"/>
      <c r="Q10192" s="1"/>
      <c r="R10192" s="1"/>
      <c r="Z10192" s="103"/>
      <c r="AA10192" s="103"/>
      <c r="AB10192" s="1"/>
    </row>
    <row r="10193" spans="15:30">
      <c r="O10193" s="1"/>
      <c r="P10193" s="1"/>
      <c r="Q10193" s="1"/>
      <c r="R10193" s="1"/>
      <c r="Z10193" s="103"/>
      <c r="AA10193" s="103"/>
      <c r="AB10193" s="1"/>
    </row>
    <row r="10194" spans="15:30">
      <c r="O10194" s="1"/>
      <c r="P10194" s="1"/>
      <c r="Q10194" s="1"/>
      <c r="R10194" s="1"/>
      <c r="Z10194" s="103"/>
      <c r="AA10194" s="103"/>
      <c r="AB10194" s="1"/>
    </row>
    <row r="10195" spans="15:30">
      <c r="O10195" s="1"/>
      <c r="P10195" s="1"/>
      <c r="Q10195" s="1"/>
      <c r="R10195" s="1"/>
      <c r="Z10195" s="103"/>
      <c r="AA10195" s="103"/>
      <c r="AB10195" s="1"/>
    </row>
    <row r="10196" spans="15:30">
      <c r="O10196" s="1"/>
      <c r="P10196" s="1"/>
      <c r="Q10196" s="1"/>
      <c r="R10196" s="1"/>
      <c r="Z10196" s="103"/>
      <c r="AA10196" s="103"/>
      <c r="AB10196" s="1"/>
    </row>
    <row r="10197" spans="15:30">
      <c r="O10197" s="1"/>
      <c r="P10197" s="1"/>
      <c r="Q10197" s="1"/>
      <c r="R10197" s="1"/>
      <c r="Z10197" s="103"/>
      <c r="AA10197" s="103"/>
      <c r="AB10197" s="1"/>
    </row>
    <row r="10198" spans="15:30">
      <c r="O10198" s="1"/>
      <c r="P10198" s="1"/>
      <c r="Q10198" s="1"/>
      <c r="R10198" s="1"/>
      <c r="Z10198" s="103"/>
      <c r="AA10198" s="103"/>
      <c r="AB10198" s="1"/>
    </row>
    <row r="10199" spans="15:30">
      <c r="O10199" s="1"/>
      <c r="P10199" s="1"/>
      <c r="Q10199" s="1"/>
      <c r="R10199" s="1"/>
      <c r="Z10199" s="103"/>
      <c r="AA10199" s="103"/>
      <c r="AB10199" s="1"/>
    </row>
    <row r="10200" spans="15:30">
      <c r="O10200" s="1"/>
      <c r="P10200" s="1"/>
      <c r="Q10200" s="1"/>
      <c r="R10200" s="1"/>
      <c r="Z10200" s="103"/>
      <c r="AA10200" s="103"/>
      <c r="AB10200" s="1"/>
    </row>
    <row r="10201" spans="15:30">
      <c r="O10201" s="1"/>
      <c r="P10201" s="1"/>
      <c r="Q10201" s="1"/>
      <c r="R10201" s="1"/>
      <c r="Z10201" s="103"/>
      <c r="AA10201" s="103"/>
      <c r="AB10201" s="1"/>
    </row>
    <row r="10202" spans="15:30">
      <c r="O10202" s="1"/>
      <c r="P10202" s="1"/>
      <c r="Q10202" s="1"/>
      <c r="R10202" s="1"/>
      <c r="Z10202" s="103"/>
      <c r="AA10202" s="103"/>
      <c r="AB10202" s="1"/>
      <c r="AD10202" s="102"/>
    </row>
    <row r="10203" spans="15:30">
      <c r="O10203" s="1"/>
      <c r="P10203" s="1"/>
      <c r="Q10203" s="1"/>
      <c r="R10203" s="1"/>
      <c r="Z10203" s="103"/>
      <c r="AA10203" s="103"/>
      <c r="AB10203" s="1"/>
    </row>
    <row r="10204" spans="15:30">
      <c r="O10204" s="1"/>
      <c r="P10204" s="1"/>
      <c r="Q10204" s="1"/>
      <c r="R10204" s="1"/>
      <c r="Z10204" s="103"/>
      <c r="AA10204" s="103"/>
      <c r="AB10204" s="1"/>
    </row>
    <row r="10205" spans="15:30">
      <c r="O10205" s="1"/>
      <c r="P10205" s="1"/>
      <c r="Q10205" s="1"/>
      <c r="R10205" s="1"/>
      <c r="Z10205" s="103"/>
      <c r="AA10205" s="103"/>
      <c r="AB10205" s="1"/>
    </row>
    <row r="10206" spans="15:30">
      <c r="O10206" s="1"/>
      <c r="P10206" s="1"/>
      <c r="Q10206" s="1"/>
      <c r="R10206" s="1"/>
      <c r="Z10206" s="103"/>
      <c r="AA10206" s="103"/>
      <c r="AB10206" s="1"/>
    </row>
    <row r="10207" spans="15:30">
      <c r="O10207" s="1"/>
      <c r="P10207" s="1"/>
      <c r="Q10207" s="1"/>
      <c r="R10207" s="1"/>
      <c r="Z10207" s="103"/>
      <c r="AA10207" s="103"/>
      <c r="AB10207" s="1"/>
    </row>
    <row r="10208" spans="15:30">
      <c r="O10208" s="1"/>
      <c r="P10208" s="1"/>
      <c r="Q10208" s="1"/>
      <c r="R10208" s="1"/>
      <c r="Z10208" s="103"/>
      <c r="AA10208" s="103"/>
      <c r="AB10208" s="1"/>
    </row>
    <row r="10209" spans="15:28">
      <c r="O10209" s="1"/>
      <c r="P10209" s="1"/>
      <c r="Q10209" s="1"/>
      <c r="R10209" s="1"/>
      <c r="Z10209" s="103"/>
      <c r="AA10209" s="103"/>
      <c r="AB10209" s="1"/>
    </row>
    <row r="10210" spans="15:28">
      <c r="O10210" s="1"/>
      <c r="P10210" s="1"/>
      <c r="Q10210" s="1"/>
      <c r="R10210" s="1"/>
      <c r="Z10210" s="103"/>
      <c r="AA10210" s="103"/>
      <c r="AB10210" s="1"/>
    </row>
    <row r="10211" spans="15:28">
      <c r="O10211" s="1"/>
      <c r="P10211" s="1"/>
      <c r="Q10211" s="1"/>
      <c r="R10211" s="1"/>
      <c r="Z10211" s="103"/>
      <c r="AA10211" s="103"/>
      <c r="AB10211" s="1"/>
    </row>
    <row r="10212" spans="15:28">
      <c r="O10212" s="1"/>
      <c r="P10212" s="1"/>
      <c r="Q10212" s="1"/>
      <c r="R10212" s="1"/>
      <c r="Z10212" s="103"/>
      <c r="AA10212" s="103"/>
      <c r="AB10212" s="1"/>
    </row>
    <row r="10213" spans="15:28">
      <c r="O10213" s="1"/>
      <c r="P10213" s="1"/>
      <c r="Q10213" s="1"/>
      <c r="R10213" s="1"/>
      <c r="Z10213" s="103"/>
      <c r="AA10213" s="103"/>
      <c r="AB10213" s="1"/>
    </row>
    <row r="10214" spans="15:28">
      <c r="O10214" s="1"/>
      <c r="P10214" s="1"/>
      <c r="Q10214" s="1"/>
      <c r="R10214" s="1"/>
      <c r="Z10214" s="103"/>
      <c r="AA10214" s="103"/>
      <c r="AB10214" s="1"/>
    </row>
    <row r="10215" spans="15:28">
      <c r="O10215" s="1"/>
      <c r="P10215" s="1"/>
      <c r="Q10215" s="1"/>
      <c r="R10215" s="1"/>
      <c r="Z10215" s="103"/>
      <c r="AA10215" s="103"/>
      <c r="AB10215" s="1"/>
    </row>
    <row r="10216" spans="15:28">
      <c r="O10216" s="1"/>
      <c r="P10216" s="1"/>
      <c r="Q10216" s="1"/>
      <c r="R10216" s="1"/>
      <c r="Z10216" s="103"/>
      <c r="AA10216" s="103"/>
      <c r="AB10216" s="1"/>
    </row>
    <row r="10217" spans="15:28">
      <c r="O10217" s="1"/>
      <c r="P10217" s="1"/>
      <c r="Q10217" s="1"/>
      <c r="R10217" s="1"/>
      <c r="Z10217" s="103"/>
      <c r="AA10217" s="103"/>
      <c r="AB10217" s="1"/>
    </row>
    <row r="10218" spans="15:28">
      <c r="O10218" s="1"/>
      <c r="P10218" s="1"/>
      <c r="Q10218" s="1"/>
      <c r="R10218" s="1"/>
      <c r="Z10218" s="103"/>
      <c r="AA10218" s="103"/>
      <c r="AB10218" s="1"/>
    </row>
    <row r="10219" spans="15:28">
      <c r="O10219" s="1"/>
      <c r="P10219" s="1"/>
      <c r="Q10219" s="1"/>
      <c r="R10219" s="1"/>
      <c r="Z10219" s="103"/>
      <c r="AA10219" s="103"/>
      <c r="AB10219" s="1"/>
    </row>
    <row r="10220" spans="15:28">
      <c r="O10220" s="1"/>
      <c r="P10220" s="1"/>
      <c r="Q10220" s="1"/>
      <c r="R10220" s="1"/>
      <c r="Z10220" s="103"/>
      <c r="AA10220" s="103"/>
      <c r="AB10220" s="1"/>
    </row>
    <row r="10221" spans="15:28">
      <c r="O10221" s="1"/>
      <c r="P10221" s="1"/>
      <c r="Q10221" s="1"/>
      <c r="R10221" s="1"/>
      <c r="Z10221" s="103"/>
      <c r="AA10221" s="103"/>
      <c r="AB10221" s="1"/>
    </row>
    <row r="10222" spans="15:28">
      <c r="O10222" s="1"/>
      <c r="P10222" s="1"/>
      <c r="Q10222" s="1"/>
      <c r="R10222" s="1"/>
      <c r="Z10222" s="103"/>
      <c r="AA10222" s="103"/>
      <c r="AB10222" s="1"/>
    </row>
    <row r="10223" spans="15:28">
      <c r="O10223" s="1"/>
      <c r="P10223" s="1"/>
      <c r="Q10223" s="1"/>
      <c r="R10223" s="1"/>
      <c r="Z10223" s="103"/>
      <c r="AA10223" s="103"/>
      <c r="AB10223" s="1"/>
    </row>
    <row r="10224" spans="15:28">
      <c r="O10224" s="1"/>
      <c r="P10224" s="1"/>
      <c r="Q10224" s="1"/>
      <c r="R10224" s="1"/>
      <c r="Z10224" s="103"/>
      <c r="AA10224" s="103"/>
      <c r="AB10224" s="1"/>
    </row>
    <row r="10225" spans="15:28">
      <c r="O10225" s="1"/>
      <c r="P10225" s="1"/>
      <c r="Q10225" s="1"/>
      <c r="R10225" s="1"/>
      <c r="Z10225" s="103"/>
      <c r="AA10225" s="103"/>
      <c r="AB10225" s="1"/>
    </row>
    <row r="10226" spans="15:28">
      <c r="O10226" s="1"/>
      <c r="P10226" s="1"/>
      <c r="Q10226" s="1"/>
      <c r="R10226" s="1"/>
      <c r="Z10226" s="103"/>
      <c r="AA10226" s="103"/>
      <c r="AB10226" s="1"/>
    </row>
    <row r="10227" spans="15:28">
      <c r="O10227" s="1"/>
      <c r="P10227" s="1"/>
      <c r="Q10227" s="1"/>
      <c r="R10227" s="1"/>
      <c r="Z10227" s="103"/>
      <c r="AA10227" s="103"/>
      <c r="AB10227" s="1"/>
    </row>
    <row r="10228" spans="15:28">
      <c r="O10228" s="1"/>
      <c r="P10228" s="1"/>
      <c r="Q10228" s="1"/>
      <c r="R10228" s="1"/>
      <c r="Z10228" s="103"/>
      <c r="AA10228" s="103"/>
      <c r="AB10228" s="1"/>
    </row>
    <row r="10229" spans="15:28">
      <c r="O10229" s="1"/>
      <c r="P10229" s="1"/>
      <c r="Q10229" s="1"/>
      <c r="R10229" s="1"/>
      <c r="Z10229" s="103"/>
      <c r="AA10229" s="103"/>
      <c r="AB10229" s="1"/>
    </row>
    <row r="10230" spans="15:28">
      <c r="O10230" s="1"/>
      <c r="P10230" s="1"/>
      <c r="Q10230" s="1"/>
      <c r="R10230" s="1"/>
      <c r="Z10230" s="103"/>
      <c r="AA10230" s="103"/>
      <c r="AB10230" s="1"/>
    </row>
    <row r="10231" spans="15:28">
      <c r="O10231" s="1"/>
      <c r="P10231" s="1"/>
      <c r="Q10231" s="1"/>
      <c r="R10231" s="1"/>
      <c r="Z10231" s="103"/>
      <c r="AA10231" s="103"/>
      <c r="AB10231" s="1"/>
    </row>
    <row r="10232" spans="15:28">
      <c r="O10232" s="1"/>
      <c r="P10232" s="1"/>
      <c r="Q10232" s="1"/>
      <c r="R10232" s="1"/>
      <c r="Z10232" s="103"/>
      <c r="AA10232" s="103"/>
      <c r="AB10232" s="1"/>
    </row>
    <row r="10233" spans="15:28">
      <c r="O10233" s="1"/>
      <c r="P10233" s="1"/>
      <c r="Q10233" s="1"/>
      <c r="R10233" s="1"/>
      <c r="Z10233" s="103"/>
      <c r="AA10233" s="103"/>
      <c r="AB10233" s="1"/>
    </row>
    <row r="10234" spans="15:28">
      <c r="O10234" s="1"/>
      <c r="P10234" s="1"/>
      <c r="Q10234" s="1"/>
      <c r="R10234" s="1"/>
      <c r="Z10234" s="103"/>
      <c r="AA10234" s="103"/>
      <c r="AB10234" s="1"/>
    </row>
    <row r="10235" spans="15:28">
      <c r="O10235" s="1"/>
      <c r="P10235" s="1"/>
      <c r="Q10235" s="1"/>
      <c r="R10235" s="1"/>
      <c r="Z10235" s="103"/>
      <c r="AA10235" s="103"/>
      <c r="AB10235" s="1"/>
    </row>
    <row r="10236" spans="15:28">
      <c r="O10236" s="1"/>
      <c r="P10236" s="1"/>
      <c r="Q10236" s="1"/>
      <c r="R10236" s="1"/>
      <c r="Z10236" s="103"/>
      <c r="AA10236" s="103"/>
      <c r="AB10236" s="1"/>
    </row>
    <row r="10237" spans="15:28">
      <c r="O10237" s="1"/>
      <c r="P10237" s="1"/>
      <c r="Q10237" s="1"/>
      <c r="R10237" s="1"/>
      <c r="Z10237" s="103"/>
      <c r="AA10237" s="103"/>
      <c r="AB10237" s="1"/>
    </row>
    <row r="10238" spans="15:28">
      <c r="O10238" s="1"/>
      <c r="P10238" s="1"/>
      <c r="Q10238" s="1"/>
      <c r="R10238" s="1"/>
      <c r="Z10238" s="103"/>
      <c r="AA10238" s="103"/>
      <c r="AB10238" s="1"/>
    </row>
    <row r="10239" spans="15:28">
      <c r="O10239" s="1"/>
      <c r="P10239" s="1"/>
      <c r="Q10239" s="1"/>
      <c r="R10239" s="1"/>
      <c r="Z10239" s="103"/>
      <c r="AA10239" s="103"/>
      <c r="AB10239" s="1"/>
    </row>
    <row r="10240" spans="15:28">
      <c r="O10240" s="1"/>
      <c r="P10240" s="1"/>
      <c r="Q10240" s="1"/>
      <c r="R10240" s="1"/>
      <c r="Z10240" s="103"/>
      <c r="AA10240" s="103"/>
      <c r="AB10240" s="1"/>
    </row>
    <row r="10241" spans="15:28">
      <c r="O10241" s="1"/>
      <c r="P10241" s="1"/>
      <c r="Q10241" s="1"/>
      <c r="R10241" s="1"/>
      <c r="Z10241" s="103"/>
      <c r="AA10241" s="103"/>
      <c r="AB10241" s="1"/>
    </row>
    <row r="10242" spans="15:28">
      <c r="O10242" s="1"/>
      <c r="P10242" s="1"/>
      <c r="Q10242" s="1"/>
      <c r="R10242" s="1"/>
      <c r="Z10242" s="103"/>
      <c r="AA10242" s="103"/>
      <c r="AB10242" s="1"/>
    </row>
    <row r="10243" spans="15:28">
      <c r="O10243" s="1"/>
      <c r="P10243" s="1"/>
      <c r="Q10243" s="1"/>
      <c r="R10243" s="1"/>
      <c r="Z10243" s="103"/>
      <c r="AA10243" s="103"/>
      <c r="AB10243" s="1"/>
    </row>
    <row r="10244" spans="15:28">
      <c r="O10244" s="1"/>
      <c r="P10244" s="1"/>
      <c r="Q10244" s="1"/>
      <c r="R10244" s="1"/>
      <c r="Z10244" s="103"/>
      <c r="AA10244" s="103"/>
      <c r="AB10244" s="1"/>
    </row>
    <row r="10245" spans="15:28">
      <c r="O10245" s="1"/>
      <c r="P10245" s="1"/>
      <c r="Q10245" s="1"/>
      <c r="R10245" s="1"/>
      <c r="Z10245" s="103"/>
      <c r="AA10245" s="103"/>
      <c r="AB10245" s="1"/>
    </row>
    <row r="10246" spans="15:28">
      <c r="O10246" s="1"/>
      <c r="P10246" s="1"/>
      <c r="Q10246" s="1"/>
      <c r="R10246" s="1"/>
      <c r="Z10246" s="103"/>
      <c r="AA10246" s="103"/>
      <c r="AB10246" s="1"/>
    </row>
    <row r="10247" spans="15:28">
      <c r="O10247" s="1"/>
      <c r="P10247" s="1"/>
      <c r="Q10247" s="1"/>
      <c r="R10247" s="1"/>
      <c r="Z10247" s="103"/>
      <c r="AA10247" s="103"/>
      <c r="AB10247" s="1"/>
    </row>
    <row r="10248" spans="15:28">
      <c r="O10248" s="1"/>
      <c r="P10248" s="1"/>
      <c r="Q10248" s="1"/>
      <c r="R10248" s="1"/>
      <c r="Z10248" s="103"/>
      <c r="AA10248" s="103"/>
      <c r="AB10248" s="1"/>
    </row>
    <row r="10249" spans="15:28">
      <c r="O10249" s="1"/>
      <c r="P10249" s="1"/>
      <c r="Q10249" s="1"/>
      <c r="R10249" s="1"/>
      <c r="Z10249" s="103"/>
      <c r="AA10249" s="103"/>
      <c r="AB10249" s="1"/>
    </row>
    <row r="10250" spans="15:28">
      <c r="O10250" s="1"/>
      <c r="P10250" s="1"/>
      <c r="Q10250" s="1"/>
      <c r="R10250" s="1"/>
      <c r="Z10250" s="103"/>
      <c r="AA10250" s="103"/>
      <c r="AB10250" s="1"/>
    </row>
    <row r="10251" spans="15:28">
      <c r="O10251" s="1"/>
      <c r="P10251" s="1"/>
      <c r="Q10251" s="1"/>
      <c r="R10251" s="1"/>
      <c r="Z10251" s="103"/>
      <c r="AA10251" s="103"/>
      <c r="AB10251" s="1"/>
    </row>
    <row r="10252" spans="15:28">
      <c r="O10252" s="1"/>
      <c r="P10252" s="1"/>
      <c r="Q10252" s="1"/>
      <c r="R10252" s="1"/>
      <c r="Z10252" s="103"/>
      <c r="AA10252" s="103"/>
      <c r="AB10252" s="1"/>
    </row>
    <row r="10253" spans="15:28">
      <c r="O10253" s="1"/>
      <c r="P10253" s="1"/>
      <c r="Q10253" s="1"/>
      <c r="R10253" s="1"/>
      <c r="Z10253" s="103"/>
      <c r="AA10253" s="103"/>
      <c r="AB10253" s="1"/>
    </row>
    <row r="10254" spans="15:28">
      <c r="O10254" s="1"/>
      <c r="P10254" s="1"/>
      <c r="Q10254" s="1"/>
      <c r="R10254" s="1"/>
      <c r="Z10254" s="103"/>
      <c r="AA10254" s="103"/>
      <c r="AB10254" s="1"/>
    </row>
    <row r="10255" spans="15:28">
      <c r="O10255" s="1"/>
      <c r="P10255" s="1"/>
      <c r="Q10255" s="1"/>
      <c r="R10255" s="1"/>
      <c r="Z10255" s="103"/>
      <c r="AA10255" s="103"/>
      <c r="AB10255" s="1"/>
    </row>
    <row r="10256" spans="15:28">
      <c r="O10256" s="1"/>
      <c r="P10256" s="1"/>
      <c r="Q10256" s="1"/>
      <c r="R10256" s="1"/>
      <c r="Z10256" s="103"/>
      <c r="AA10256" s="103"/>
      <c r="AB10256" s="1"/>
    </row>
    <row r="10257" spans="15:30">
      <c r="O10257" s="1"/>
      <c r="P10257" s="1"/>
      <c r="Q10257" s="1"/>
      <c r="R10257" s="1"/>
      <c r="Z10257" s="103"/>
      <c r="AA10257" s="103"/>
      <c r="AB10257" s="1"/>
    </row>
    <row r="10258" spans="15:30">
      <c r="O10258" s="1"/>
      <c r="P10258" s="1"/>
      <c r="Q10258" s="1"/>
      <c r="R10258" s="1"/>
      <c r="Z10258" s="103"/>
      <c r="AA10258" s="103"/>
      <c r="AB10258" s="1"/>
    </row>
    <row r="10259" spans="15:30">
      <c r="O10259" s="1"/>
      <c r="P10259" s="1"/>
      <c r="Q10259" s="1"/>
      <c r="R10259" s="1"/>
      <c r="Z10259" s="103"/>
      <c r="AA10259" s="103"/>
      <c r="AB10259" s="1"/>
      <c r="AD10259" s="102"/>
    </row>
    <row r="10260" spans="15:30">
      <c r="O10260" s="1"/>
      <c r="P10260" s="1"/>
      <c r="Q10260" s="1"/>
      <c r="R10260" s="1"/>
      <c r="Z10260" s="103"/>
      <c r="AA10260" s="103"/>
      <c r="AB10260" s="1"/>
    </row>
    <row r="10261" spans="15:30">
      <c r="O10261" s="1"/>
      <c r="P10261" s="1"/>
      <c r="Q10261" s="1"/>
      <c r="R10261" s="1"/>
      <c r="Z10261" s="103"/>
      <c r="AA10261" s="103"/>
      <c r="AB10261" s="1"/>
    </row>
    <row r="10262" spans="15:30">
      <c r="O10262" s="1"/>
      <c r="P10262" s="1"/>
      <c r="Q10262" s="1"/>
      <c r="R10262" s="1"/>
      <c r="Z10262" s="103"/>
      <c r="AA10262" s="103"/>
      <c r="AB10262" s="1"/>
    </row>
    <row r="10263" spans="15:30">
      <c r="O10263" s="1"/>
      <c r="P10263" s="1"/>
      <c r="Q10263" s="1"/>
      <c r="R10263" s="1"/>
      <c r="Z10263" s="103"/>
      <c r="AA10263" s="103"/>
      <c r="AB10263" s="1"/>
    </row>
    <row r="10264" spans="15:30">
      <c r="O10264" s="1"/>
      <c r="P10264" s="1"/>
      <c r="Q10264" s="1"/>
      <c r="R10264" s="1"/>
      <c r="Z10264" s="103"/>
      <c r="AA10264" s="103"/>
      <c r="AB10264" s="1"/>
    </row>
    <row r="10265" spans="15:30">
      <c r="O10265" s="1"/>
      <c r="P10265" s="1"/>
      <c r="Q10265" s="1"/>
      <c r="R10265" s="1"/>
      <c r="Z10265" s="103"/>
      <c r="AA10265" s="103"/>
      <c r="AB10265" s="1"/>
    </row>
    <row r="10266" spans="15:30">
      <c r="O10266" s="1"/>
      <c r="P10266" s="1"/>
      <c r="Q10266" s="1"/>
      <c r="R10266" s="1"/>
      <c r="Z10266" s="103"/>
      <c r="AA10266" s="103"/>
      <c r="AB10266" s="1"/>
    </row>
    <row r="10267" spans="15:30">
      <c r="O10267" s="1"/>
      <c r="P10267" s="1"/>
      <c r="Q10267" s="1"/>
      <c r="R10267" s="1"/>
      <c r="Z10267" s="103"/>
      <c r="AA10267" s="103"/>
      <c r="AB10267" s="1"/>
    </row>
    <row r="10268" spans="15:30">
      <c r="O10268" s="1"/>
      <c r="P10268" s="1"/>
      <c r="Q10268" s="1"/>
      <c r="R10268" s="1"/>
      <c r="Z10268" s="103"/>
      <c r="AA10268" s="103"/>
      <c r="AB10268" s="1"/>
    </row>
    <row r="10269" spans="15:30">
      <c r="O10269" s="1"/>
      <c r="P10269" s="1"/>
      <c r="Q10269" s="1"/>
      <c r="R10269" s="1"/>
      <c r="Z10269" s="103"/>
      <c r="AA10269" s="103"/>
      <c r="AB10269" s="1"/>
    </row>
    <row r="10270" spans="15:30">
      <c r="O10270" s="1"/>
      <c r="P10270" s="1"/>
      <c r="Q10270" s="1"/>
      <c r="R10270" s="1"/>
      <c r="Z10270" s="103"/>
      <c r="AA10270" s="103"/>
      <c r="AB10270" s="1"/>
    </row>
    <row r="10271" spans="15:30">
      <c r="O10271" s="1"/>
      <c r="P10271" s="1"/>
      <c r="Q10271" s="1"/>
      <c r="R10271" s="1"/>
      <c r="Z10271" s="103"/>
      <c r="AA10271" s="103"/>
      <c r="AB10271" s="1"/>
    </row>
    <row r="10272" spans="15:30">
      <c r="O10272" s="1"/>
      <c r="P10272" s="1"/>
      <c r="Q10272" s="1"/>
      <c r="R10272" s="1"/>
      <c r="Z10272" s="103"/>
      <c r="AA10272" s="103"/>
      <c r="AB10272" s="1"/>
    </row>
    <row r="10273" spans="15:28">
      <c r="O10273" s="1"/>
      <c r="P10273" s="1"/>
      <c r="Q10273" s="1"/>
      <c r="R10273" s="1"/>
      <c r="Z10273" s="103"/>
      <c r="AA10273" s="103"/>
      <c r="AB10273" s="1"/>
    </row>
    <row r="10274" spans="15:28">
      <c r="O10274" s="1"/>
      <c r="P10274" s="1"/>
      <c r="Q10274" s="1"/>
      <c r="R10274" s="1"/>
      <c r="Z10274" s="103"/>
      <c r="AA10274" s="103"/>
      <c r="AB10274" s="1"/>
    </row>
    <row r="10275" spans="15:28">
      <c r="O10275" s="1"/>
      <c r="P10275" s="1"/>
      <c r="Q10275" s="1"/>
      <c r="R10275" s="1"/>
      <c r="Z10275" s="103"/>
      <c r="AA10275" s="103"/>
      <c r="AB10275" s="1"/>
    </row>
    <row r="10276" spans="15:28">
      <c r="O10276" s="1"/>
      <c r="P10276" s="1"/>
      <c r="Q10276" s="1"/>
      <c r="R10276" s="1"/>
      <c r="Z10276" s="103"/>
      <c r="AA10276" s="103"/>
      <c r="AB10276" s="1"/>
    </row>
    <row r="10277" spans="15:28">
      <c r="O10277" s="1"/>
      <c r="P10277" s="1"/>
      <c r="Q10277" s="1"/>
      <c r="R10277" s="1"/>
      <c r="Z10277" s="103"/>
      <c r="AA10277" s="103"/>
      <c r="AB10277" s="1"/>
    </row>
    <row r="10278" spans="15:28">
      <c r="O10278" s="1"/>
      <c r="P10278" s="1"/>
      <c r="Q10278" s="1"/>
      <c r="R10278" s="1"/>
      <c r="Z10278" s="103"/>
      <c r="AA10278" s="103"/>
      <c r="AB10278" s="1"/>
    </row>
    <row r="10279" spans="15:28">
      <c r="O10279" s="1"/>
      <c r="P10279" s="1"/>
      <c r="Q10279" s="1"/>
      <c r="R10279" s="1"/>
      <c r="Z10279" s="103"/>
      <c r="AA10279" s="103"/>
      <c r="AB10279" s="1"/>
    </row>
    <row r="10280" spans="15:28">
      <c r="O10280" s="1"/>
      <c r="P10280" s="1"/>
      <c r="Q10280" s="1"/>
      <c r="R10280" s="1"/>
      <c r="Z10280" s="103"/>
      <c r="AA10280" s="103"/>
      <c r="AB10280" s="1"/>
    </row>
    <row r="10281" spans="15:28">
      <c r="O10281" s="1"/>
      <c r="P10281" s="1"/>
      <c r="Q10281" s="1"/>
      <c r="R10281" s="1"/>
      <c r="Z10281" s="103"/>
      <c r="AA10281" s="103"/>
      <c r="AB10281" s="1"/>
    </row>
    <row r="10282" spans="15:28">
      <c r="O10282" s="1"/>
      <c r="P10282" s="1"/>
      <c r="Q10282" s="1"/>
      <c r="R10282" s="1"/>
      <c r="Z10282" s="103"/>
      <c r="AA10282" s="103"/>
      <c r="AB10282" s="1"/>
    </row>
    <row r="10283" spans="15:28">
      <c r="O10283" s="1"/>
      <c r="P10283" s="1"/>
      <c r="Q10283" s="1"/>
      <c r="R10283" s="1"/>
      <c r="Z10283" s="103"/>
      <c r="AA10283" s="103"/>
      <c r="AB10283" s="1"/>
    </row>
    <row r="10284" spans="15:28">
      <c r="O10284" s="1"/>
      <c r="P10284" s="1"/>
      <c r="Q10284" s="1"/>
      <c r="R10284" s="1"/>
      <c r="Z10284" s="103"/>
      <c r="AA10284" s="103"/>
      <c r="AB10284" s="1"/>
    </row>
    <row r="10285" spans="15:28">
      <c r="O10285" s="1"/>
      <c r="P10285" s="1"/>
      <c r="Q10285" s="1"/>
      <c r="R10285" s="1"/>
      <c r="Z10285" s="103"/>
      <c r="AA10285" s="103"/>
      <c r="AB10285" s="1"/>
    </row>
    <row r="10286" spans="15:28">
      <c r="O10286" s="1"/>
      <c r="P10286" s="1"/>
      <c r="Q10286" s="1"/>
      <c r="R10286" s="1"/>
      <c r="Z10286" s="103"/>
      <c r="AA10286" s="103"/>
      <c r="AB10286" s="1"/>
    </row>
    <row r="10287" spans="15:28">
      <c r="O10287" s="1"/>
      <c r="P10287" s="1"/>
      <c r="Q10287" s="1"/>
      <c r="R10287" s="1"/>
      <c r="Z10287" s="103"/>
      <c r="AA10287" s="103"/>
      <c r="AB10287" s="1"/>
    </row>
    <row r="10288" spans="15:28">
      <c r="O10288" s="1"/>
      <c r="P10288" s="1"/>
      <c r="Q10288" s="1"/>
      <c r="R10288" s="1"/>
      <c r="Z10288" s="103"/>
      <c r="AA10288" s="103"/>
      <c r="AB10288" s="1"/>
    </row>
    <row r="10289" spans="15:28">
      <c r="O10289" s="1"/>
      <c r="P10289" s="1"/>
      <c r="Q10289" s="1"/>
      <c r="R10289" s="1"/>
      <c r="Z10289" s="103"/>
      <c r="AA10289" s="103"/>
      <c r="AB10289" s="1"/>
    </row>
    <row r="10290" spans="15:28">
      <c r="O10290" s="1"/>
      <c r="P10290" s="1"/>
      <c r="Q10290" s="1"/>
      <c r="R10290" s="1"/>
      <c r="Z10290" s="103"/>
      <c r="AA10290" s="103"/>
      <c r="AB10290" s="1"/>
    </row>
    <row r="10291" spans="15:28">
      <c r="O10291" s="1"/>
      <c r="P10291" s="1"/>
      <c r="Q10291" s="1"/>
      <c r="R10291" s="1"/>
      <c r="Z10291" s="103"/>
      <c r="AA10291" s="103"/>
      <c r="AB10291" s="1"/>
    </row>
    <row r="10292" spans="15:28">
      <c r="O10292" s="1"/>
      <c r="P10292" s="1"/>
      <c r="Q10292" s="1"/>
      <c r="R10292" s="1"/>
      <c r="Z10292" s="103"/>
      <c r="AA10292" s="103"/>
      <c r="AB10292" s="1"/>
    </row>
    <row r="10293" spans="15:28">
      <c r="O10293" s="1"/>
      <c r="P10293" s="1"/>
      <c r="Q10293" s="1"/>
      <c r="R10293" s="1"/>
      <c r="Z10293" s="103"/>
      <c r="AA10293" s="103"/>
      <c r="AB10293" s="1"/>
    </row>
    <row r="10294" spans="15:28">
      <c r="O10294" s="1"/>
      <c r="P10294" s="1"/>
      <c r="Q10294" s="1"/>
      <c r="R10294" s="1"/>
      <c r="Z10294" s="103"/>
      <c r="AA10294" s="103"/>
      <c r="AB10294" s="1"/>
    </row>
    <row r="10295" spans="15:28">
      <c r="O10295" s="1"/>
      <c r="P10295" s="1"/>
      <c r="Q10295" s="1"/>
      <c r="R10295" s="1"/>
      <c r="Z10295" s="103"/>
      <c r="AA10295" s="103"/>
      <c r="AB10295" s="1"/>
    </row>
    <row r="10296" spans="15:28">
      <c r="O10296" s="1"/>
      <c r="P10296" s="1"/>
      <c r="Q10296" s="1"/>
      <c r="R10296" s="1"/>
      <c r="Z10296" s="103"/>
      <c r="AA10296" s="103"/>
      <c r="AB10296" s="1"/>
    </row>
    <row r="10297" spans="15:28">
      <c r="O10297" s="1"/>
      <c r="P10297" s="1"/>
      <c r="Q10297" s="1"/>
      <c r="R10297" s="1"/>
      <c r="Z10297" s="103"/>
      <c r="AA10297" s="103"/>
      <c r="AB10297" s="1"/>
    </row>
    <row r="10298" spans="15:28">
      <c r="O10298" s="1"/>
      <c r="P10298" s="1"/>
      <c r="Q10298" s="1"/>
      <c r="R10298" s="1"/>
      <c r="Z10298" s="103"/>
      <c r="AA10298" s="103"/>
      <c r="AB10298" s="1"/>
    </row>
    <row r="10299" spans="15:28">
      <c r="O10299" s="1"/>
      <c r="P10299" s="1"/>
      <c r="Q10299" s="1"/>
      <c r="R10299" s="1"/>
      <c r="Z10299" s="103"/>
      <c r="AA10299" s="103"/>
      <c r="AB10299" s="1"/>
    </row>
    <row r="10300" spans="15:28">
      <c r="O10300" s="1"/>
      <c r="P10300" s="1"/>
      <c r="Q10300" s="1"/>
      <c r="R10300" s="1"/>
      <c r="Z10300" s="103"/>
      <c r="AA10300" s="103"/>
      <c r="AB10300" s="1"/>
    </row>
    <row r="10301" spans="15:28">
      <c r="O10301" s="1"/>
      <c r="P10301" s="1"/>
      <c r="Q10301" s="1"/>
      <c r="R10301" s="1"/>
      <c r="Z10301" s="103"/>
      <c r="AA10301" s="103"/>
      <c r="AB10301" s="1"/>
    </row>
    <row r="10302" spans="15:28">
      <c r="O10302" s="1"/>
      <c r="P10302" s="1"/>
      <c r="Q10302" s="1"/>
      <c r="R10302" s="1"/>
      <c r="Z10302" s="103"/>
      <c r="AA10302" s="103"/>
      <c r="AB10302" s="1"/>
    </row>
    <row r="10303" spans="15:28">
      <c r="O10303" s="1"/>
      <c r="P10303" s="1"/>
      <c r="Q10303" s="1"/>
      <c r="R10303" s="1"/>
      <c r="Z10303" s="103"/>
      <c r="AA10303" s="103"/>
      <c r="AB10303" s="1"/>
    </row>
    <row r="10304" spans="15:28">
      <c r="O10304" s="1"/>
      <c r="P10304" s="1"/>
      <c r="Q10304" s="1"/>
      <c r="R10304" s="1"/>
      <c r="Z10304" s="103"/>
      <c r="AA10304" s="103"/>
      <c r="AB10304" s="1"/>
    </row>
    <row r="10305" spans="15:28">
      <c r="O10305" s="1"/>
      <c r="P10305" s="1"/>
      <c r="Q10305" s="1"/>
      <c r="R10305" s="1"/>
      <c r="Z10305" s="103"/>
      <c r="AA10305" s="103"/>
      <c r="AB10305" s="1"/>
    </row>
    <row r="10306" spans="15:28">
      <c r="O10306" s="1"/>
      <c r="P10306" s="1"/>
      <c r="Q10306" s="1"/>
      <c r="R10306" s="1"/>
      <c r="Z10306" s="103"/>
      <c r="AA10306" s="103"/>
      <c r="AB10306" s="1"/>
    </row>
    <row r="10307" spans="15:28">
      <c r="O10307" s="1"/>
      <c r="P10307" s="1"/>
      <c r="Q10307" s="1"/>
      <c r="R10307" s="1"/>
      <c r="Z10307" s="103"/>
      <c r="AA10307" s="103"/>
      <c r="AB10307" s="1"/>
    </row>
    <row r="10308" spans="15:28">
      <c r="O10308" s="1"/>
      <c r="P10308" s="1"/>
      <c r="Q10308" s="1"/>
      <c r="R10308" s="1"/>
      <c r="Z10308" s="103"/>
      <c r="AA10308" s="103"/>
      <c r="AB10308" s="1"/>
    </row>
    <row r="10309" spans="15:28">
      <c r="O10309" s="1"/>
      <c r="P10309" s="1"/>
      <c r="Q10309" s="1"/>
      <c r="R10309" s="1"/>
      <c r="Z10309" s="103"/>
      <c r="AA10309" s="103"/>
      <c r="AB10309" s="1"/>
    </row>
    <row r="10310" spans="15:28">
      <c r="O10310" s="1"/>
      <c r="P10310" s="1"/>
      <c r="Q10310" s="1"/>
      <c r="R10310" s="1"/>
      <c r="Z10310" s="103"/>
      <c r="AA10310" s="103"/>
      <c r="AB10310" s="1"/>
    </row>
    <row r="10311" spans="15:28">
      <c r="O10311" s="1"/>
      <c r="P10311" s="1"/>
      <c r="Q10311" s="1"/>
      <c r="R10311" s="1"/>
      <c r="Z10311" s="103"/>
      <c r="AA10311" s="103"/>
      <c r="AB10311" s="1"/>
    </row>
    <row r="10312" spans="15:28">
      <c r="O10312" s="1"/>
      <c r="P10312" s="1"/>
      <c r="Q10312" s="1"/>
      <c r="R10312" s="1"/>
      <c r="Z10312" s="103"/>
      <c r="AA10312" s="103"/>
      <c r="AB10312" s="1"/>
    </row>
    <row r="10313" spans="15:28">
      <c r="O10313" s="1"/>
      <c r="P10313" s="1"/>
      <c r="Q10313" s="1"/>
      <c r="R10313" s="1"/>
      <c r="Z10313" s="103"/>
      <c r="AA10313" s="103"/>
      <c r="AB10313" s="1"/>
    </row>
    <row r="10314" spans="15:28">
      <c r="O10314" s="1"/>
      <c r="P10314" s="1"/>
      <c r="Q10314" s="1"/>
      <c r="R10314" s="1"/>
      <c r="Z10314" s="103"/>
      <c r="AA10314" s="103"/>
      <c r="AB10314" s="1"/>
    </row>
    <row r="10315" spans="15:28">
      <c r="O10315" s="1"/>
      <c r="P10315" s="1"/>
      <c r="Q10315" s="1"/>
      <c r="R10315" s="1"/>
      <c r="Z10315" s="103"/>
      <c r="AA10315" s="103"/>
      <c r="AB10315" s="1"/>
    </row>
    <row r="10316" spans="15:28">
      <c r="O10316" s="1"/>
      <c r="P10316" s="1"/>
      <c r="Q10316" s="1"/>
      <c r="R10316" s="1"/>
      <c r="Z10316" s="103"/>
      <c r="AA10316" s="103"/>
      <c r="AB10316" s="1"/>
    </row>
    <row r="10317" spans="15:28">
      <c r="O10317" s="1"/>
      <c r="P10317" s="1"/>
      <c r="Q10317" s="1"/>
      <c r="R10317" s="1"/>
      <c r="Z10317" s="103"/>
      <c r="AA10317" s="103"/>
      <c r="AB10317" s="1"/>
    </row>
    <row r="10318" spans="15:28">
      <c r="O10318" s="1"/>
      <c r="P10318" s="1"/>
      <c r="Q10318" s="1"/>
      <c r="R10318" s="1"/>
      <c r="Z10318" s="103"/>
      <c r="AA10318" s="103"/>
      <c r="AB10318" s="1"/>
    </row>
    <row r="10319" spans="15:28">
      <c r="O10319" s="1"/>
      <c r="P10319" s="1"/>
      <c r="Q10319" s="1"/>
      <c r="R10319" s="1"/>
      <c r="Z10319" s="103"/>
      <c r="AA10319" s="103"/>
      <c r="AB10319" s="1"/>
    </row>
    <row r="10320" spans="15:28">
      <c r="O10320" s="1"/>
      <c r="P10320" s="1"/>
      <c r="Q10320" s="1"/>
      <c r="R10320" s="1"/>
      <c r="Z10320" s="103"/>
      <c r="AA10320" s="103"/>
      <c r="AB10320" s="1"/>
    </row>
    <row r="10321" spans="15:28">
      <c r="O10321" s="1"/>
      <c r="P10321" s="1"/>
      <c r="Q10321" s="1"/>
      <c r="R10321" s="1"/>
      <c r="Z10321" s="103"/>
      <c r="AA10321" s="103"/>
      <c r="AB10321" s="1"/>
    </row>
    <row r="10322" spans="15:28">
      <c r="O10322" s="1"/>
      <c r="P10322" s="1"/>
      <c r="Q10322" s="1"/>
      <c r="R10322" s="1"/>
      <c r="Z10322" s="103"/>
      <c r="AA10322" s="103"/>
      <c r="AB10322" s="1"/>
    </row>
    <row r="10323" spans="15:28">
      <c r="O10323" s="1"/>
      <c r="P10323" s="1"/>
      <c r="Q10323" s="1"/>
      <c r="R10323" s="1"/>
      <c r="Z10323" s="103"/>
      <c r="AA10323" s="103"/>
      <c r="AB10323" s="1"/>
    </row>
    <row r="10324" spans="15:28">
      <c r="O10324" s="1"/>
      <c r="P10324" s="1"/>
      <c r="Q10324" s="1"/>
      <c r="R10324" s="1"/>
      <c r="Z10324" s="103"/>
      <c r="AA10324" s="103"/>
      <c r="AB10324" s="1"/>
    </row>
    <row r="10325" spans="15:28">
      <c r="O10325" s="1"/>
      <c r="P10325" s="1"/>
      <c r="Q10325" s="1"/>
      <c r="R10325" s="1"/>
      <c r="Z10325" s="103"/>
      <c r="AA10325" s="103"/>
      <c r="AB10325" s="1"/>
    </row>
    <row r="10326" spans="15:28">
      <c r="O10326" s="1"/>
      <c r="P10326" s="1"/>
      <c r="Q10326" s="1"/>
      <c r="R10326" s="1"/>
      <c r="Z10326" s="103"/>
      <c r="AA10326" s="103"/>
      <c r="AB10326" s="1"/>
    </row>
    <row r="10327" spans="15:28">
      <c r="O10327" s="1"/>
      <c r="P10327" s="1"/>
      <c r="Q10327" s="1"/>
      <c r="R10327" s="1"/>
      <c r="Z10327" s="103"/>
      <c r="AA10327" s="103"/>
      <c r="AB10327" s="1"/>
    </row>
    <row r="10328" spans="15:28">
      <c r="O10328" s="1"/>
      <c r="P10328" s="1"/>
      <c r="Q10328" s="1"/>
      <c r="R10328" s="1"/>
      <c r="Z10328" s="103"/>
      <c r="AA10328" s="103"/>
      <c r="AB10328" s="1"/>
    </row>
    <row r="10329" spans="15:28">
      <c r="O10329" s="1"/>
      <c r="P10329" s="1"/>
      <c r="Q10329" s="1"/>
      <c r="R10329" s="1"/>
      <c r="Z10329" s="103"/>
      <c r="AA10329" s="103"/>
      <c r="AB10329" s="1"/>
    </row>
    <row r="10330" spans="15:28">
      <c r="O10330" s="1"/>
      <c r="P10330" s="1"/>
      <c r="Q10330" s="1"/>
      <c r="R10330" s="1"/>
      <c r="Z10330" s="103"/>
      <c r="AA10330" s="103"/>
      <c r="AB10330" s="1"/>
    </row>
    <row r="10331" spans="15:28">
      <c r="O10331" s="1"/>
      <c r="P10331" s="1"/>
      <c r="Q10331" s="1"/>
      <c r="R10331" s="1"/>
      <c r="Z10331" s="103"/>
      <c r="AA10331" s="103"/>
      <c r="AB10331" s="1"/>
    </row>
    <row r="10332" spans="15:28">
      <c r="O10332" s="1"/>
      <c r="P10332" s="1"/>
      <c r="Q10332" s="1"/>
      <c r="R10332" s="1"/>
      <c r="Z10332" s="103"/>
      <c r="AA10332" s="103"/>
      <c r="AB10332" s="1"/>
    </row>
    <row r="10333" spans="15:28">
      <c r="O10333" s="1"/>
      <c r="P10333" s="1"/>
      <c r="Q10333" s="1"/>
      <c r="R10333" s="1"/>
      <c r="Z10333" s="103"/>
      <c r="AA10333" s="103"/>
      <c r="AB10333" s="1"/>
    </row>
    <row r="10334" spans="15:28">
      <c r="O10334" s="1"/>
      <c r="P10334" s="1"/>
      <c r="Q10334" s="1"/>
      <c r="R10334" s="1"/>
      <c r="Z10334" s="103"/>
      <c r="AA10334" s="103"/>
      <c r="AB10334" s="1"/>
    </row>
    <row r="10335" spans="15:28">
      <c r="O10335" s="1"/>
      <c r="P10335" s="1"/>
      <c r="Q10335" s="1"/>
      <c r="R10335" s="1"/>
      <c r="Z10335" s="103"/>
      <c r="AA10335" s="103"/>
      <c r="AB10335" s="1"/>
    </row>
    <row r="10336" spans="15:28">
      <c r="O10336" s="1"/>
      <c r="P10336" s="1"/>
      <c r="Q10336" s="1"/>
      <c r="R10336" s="1"/>
      <c r="Z10336" s="103"/>
      <c r="AA10336" s="103"/>
      <c r="AB10336" s="1"/>
    </row>
    <row r="10337" spans="15:28">
      <c r="O10337" s="1"/>
      <c r="P10337" s="1"/>
      <c r="Q10337" s="1"/>
      <c r="R10337" s="1"/>
      <c r="Z10337" s="103"/>
      <c r="AA10337" s="103"/>
      <c r="AB10337" s="1"/>
    </row>
    <row r="10338" spans="15:28">
      <c r="O10338" s="1"/>
      <c r="P10338" s="1"/>
      <c r="Q10338" s="1"/>
      <c r="R10338" s="1"/>
      <c r="Z10338" s="103"/>
      <c r="AA10338" s="103"/>
      <c r="AB10338" s="1"/>
    </row>
    <row r="10339" spans="15:28">
      <c r="O10339" s="1"/>
      <c r="P10339" s="1"/>
      <c r="Q10339" s="1"/>
      <c r="R10339" s="1"/>
      <c r="Z10339" s="103"/>
      <c r="AA10339" s="103"/>
      <c r="AB10339" s="1"/>
    </row>
    <row r="10340" spans="15:28">
      <c r="O10340" s="1"/>
      <c r="P10340" s="1"/>
      <c r="Q10340" s="1"/>
      <c r="R10340" s="1"/>
      <c r="Z10340" s="103"/>
      <c r="AA10340" s="103"/>
      <c r="AB10340" s="1"/>
    </row>
    <row r="10341" spans="15:28">
      <c r="O10341" s="1"/>
      <c r="P10341" s="1"/>
      <c r="Q10341" s="1"/>
      <c r="R10341" s="1"/>
      <c r="Z10341" s="103"/>
      <c r="AA10341" s="103"/>
      <c r="AB10341" s="1"/>
    </row>
    <row r="10342" spans="15:28">
      <c r="O10342" s="1"/>
      <c r="P10342" s="1"/>
      <c r="Q10342" s="1"/>
      <c r="R10342" s="1"/>
      <c r="Z10342" s="103"/>
      <c r="AA10342" s="103"/>
      <c r="AB10342" s="1"/>
    </row>
    <row r="10343" spans="15:28">
      <c r="O10343" s="1"/>
      <c r="P10343" s="1"/>
      <c r="Q10343" s="1"/>
      <c r="R10343" s="1"/>
      <c r="Z10343" s="103"/>
      <c r="AA10343" s="103"/>
      <c r="AB10343" s="1"/>
    </row>
    <row r="10344" spans="15:28">
      <c r="O10344" s="1"/>
      <c r="P10344" s="1"/>
      <c r="Q10344" s="1"/>
      <c r="R10344" s="1"/>
      <c r="Z10344" s="103"/>
      <c r="AA10344" s="103"/>
      <c r="AB10344" s="1"/>
    </row>
    <row r="10345" spans="15:28">
      <c r="O10345" s="1"/>
      <c r="P10345" s="1"/>
      <c r="Q10345" s="1"/>
      <c r="R10345" s="1"/>
      <c r="Z10345" s="103"/>
      <c r="AA10345" s="103"/>
      <c r="AB10345" s="1"/>
    </row>
    <row r="10346" spans="15:28">
      <c r="O10346" s="1"/>
      <c r="P10346" s="1"/>
      <c r="Q10346" s="1"/>
      <c r="R10346" s="1"/>
      <c r="Z10346" s="103"/>
      <c r="AA10346" s="103"/>
      <c r="AB10346" s="1"/>
    </row>
    <row r="10347" spans="15:28">
      <c r="O10347" s="1"/>
      <c r="P10347" s="1"/>
      <c r="Q10347" s="1"/>
      <c r="R10347" s="1"/>
      <c r="Z10347" s="103"/>
      <c r="AA10347" s="103"/>
      <c r="AB10347" s="1"/>
    </row>
    <row r="10348" spans="15:28">
      <c r="O10348" s="1"/>
      <c r="P10348" s="1"/>
      <c r="Q10348" s="1"/>
      <c r="R10348" s="1"/>
      <c r="Z10348" s="103"/>
      <c r="AA10348" s="103"/>
      <c r="AB10348" s="1"/>
    </row>
    <row r="10349" spans="15:28">
      <c r="O10349" s="1"/>
      <c r="P10349" s="1"/>
      <c r="Q10349" s="1"/>
      <c r="R10349" s="1"/>
      <c r="Z10349" s="103"/>
      <c r="AA10349" s="103"/>
      <c r="AB10349" s="1"/>
    </row>
    <row r="10350" spans="15:28">
      <c r="O10350" s="1"/>
      <c r="P10350" s="1"/>
      <c r="Q10350" s="1"/>
      <c r="R10350" s="1"/>
      <c r="Z10350" s="103"/>
      <c r="AA10350" s="103"/>
      <c r="AB10350" s="1"/>
    </row>
    <row r="10351" spans="15:28">
      <c r="O10351" s="1"/>
      <c r="P10351" s="1"/>
      <c r="Q10351" s="1"/>
      <c r="R10351" s="1"/>
      <c r="Z10351" s="103"/>
      <c r="AA10351" s="103"/>
      <c r="AB10351" s="1"/>
    </row>
    <row r="10352" spans="15:28">
      <c r="O10352" s="1"/>
      <c r="P10352" s="1"/>
      <c r="Q10352" s="1"/>
      <c r="R10352" s="1"/>
      <c r="Z10352" s="103"/>
      <c r="AA10352" s="103"/>
      <c r="AB10352" s="1"/>
    </row>
    <row r="10353" spans="15:28">
      <c r="O10353" s="1"/>
      <c r="P10353" s="1"/>
      <c r="Q10353" s="1"/>
      <c r="R10353" s="1"/>
      <c r="Z10353" s="103"/>
      <c r="AA10353" s="103"/>
      <c r="AB10353" s="1"/>
    </row>
    <row r="10354" spans="15:28">
      <c r="O10354" s="1"/>
      <c r="P10354" s="1"/>
      <c r="Q10354" s="1"/>
      <c r="R10354" s="1"/>
      <c r="Z10354" s="103"/>
      <c r="AA10354" s="103"/>
      <c r="AB10354" s="1"/>
    </row>
    <row r="10355" spans="15:28">
      <c r="O10355" s="1"/>
      <c r="P10355" s="1"/>
      <c r="Q10355" s="1"/>
      <c r="R10355" s="1"/>
      <c r="Z10355" s="103"/>
      <c r="AA10355" s="103"/>
      <c r="AB10355" s="1"/>
    </row>
    <row r="10356" spans="15:28">
      <c r="O10356" s="1"/>
      <c r="P10356" s="1"/>
      <c r="Q10356" s="1"/>
      <c r="R10356" s="1"/>
      <c r="Z10356" s="103"/>
      <c r="AA10356" s="103"/>
      <c r="AB10356" s="1"/>
    </row>
    <row r="10357" spans="15:28">
      <c r="O10357" s="1"/>
      <c r="P10357" s="1"/>
      <c r="Q10357" s="1"/>
      <c r="R10357" s="1"/>
      <c r="Z10357" s="103"/>
      <c r="AA10357" s="103"/>
      <c r="AB10357" s="1"/>
    </row>
    <row r="10358" spans="15:28">
      <c r="O10358" s="1"/>
      <c r="P10358" s="1"/>
      <c r="Q10358" s="1"/>
      <c r="R10358" s="1"/>
      <c r="Z10358" s="103"/>
      <c r="AA10358" s="103"/>
      <c r="AB10358" s="1"/>
    </row>
    <row r="10359" spans="15:28">
      <c r="O10359" s="1"/>
      <c r="P10359" s="1"/>
      <c r="Q10359" s="1"/>
      <c r="R10359" s="1"/>
      <c r="Z10359" s="103"/>
      <c r="AA10359" s="103"/>
      <c r="AB10359" s="1"/>
    </row>
    <row r="10360" spans="15:28">
      <c r="O10360" s="1"/>
      <c r="P10360" s="1"/>
      <c r="Q10360" s="1"/>
      <c r="R10360" s="1"/>
      <c r="Z10360" s="103"/>
      <c r="AA10360" s="103"/>
      <c r="AB10360" s="1"/>
    </row>
    <row r="10361" spans="15:28">
      <c r="O10361" s="1"/>
      <c r="P10361" s="1"/>
      <c r="Q10361" s="1"/>
      <c r="R10361" s="1"/>
      <c r="Z10361" s="103"/>
      <c r="AA10361" s="103"/>
      <c r="AB10361" s="1"/>
    </row>
    <row r="10362" spans="15:28">
      <c r="O10362" s="1"/>
      <c r="P10362" s="1"/>
      <c r="Q10362" s="1"/>
      <c r="R10362" s="1"/>
      <c r="Z10362" s="103"/>
      <c r="AA10362" s="103"/>
      <c r="AB10362" s="1"/>
    </row>
    <row r="10363" spans="15:28">
      <c r="O10363" s="1"/>
      <c r="P10363" s="1"/>
      <c r="Q10363" s="1"/>
      <c r="R10363" s="1"/>
      <c r="Z10363" s="103"/>
      <c r="AA10363" s="103"/>
      <c r="AB10363" s="1"/>
    </row>
    <row r="10364" spans="15:28">
      <c r="O10364" s="1"/>
      <c r="P10364" s="1"/>
      <c r="Q10364" s="1"/>
      <c r="R10364" s="1"/>
      <c r="Z10364" s="103"/>
      <c r="AA10364" s="103"/>
      <c r="AB10364" s="1"/>
    </row>
    <row r="10365" spans="15:28">
      <c r="O10365" s="1"/>
      <c r="P10365" s="1"/>
      <c r="Q10365" s="1"/>
      <c r="R10365" s="1"/>
      <c r="Z10365" s="103"/>
      <c r="AA10365" s="103"/>
      <c r="AB10365" s="1"/>
    </row>
    <row r="10366" spans="15:28">
      <c r="O10366" s="1"/>
      <c r="P10366" s="1"/>
      <c r="Q10366" s="1"/>
      <c r="R10366" s="1"/>
      <c r="Z10366" s="103"/>
      <c r="AA10366" s="103"/>
      <c r="AB10366" s="1"/>
    </row>
    <row r="10367" spans="15:28">
      <c r="O10367" s="1"/>
      <c r="P10367" s="1"/>
      <c r="Q10367" s="1"/>
      <c r="R10367" s="1"/>
      <c r="Z10367" s="103"/>
      <c r="AA10367" s="103"/>
      <c r="AB10367" s="1"/>
    </row>
    <row r="10368" spans="15:28">
      <c r="O10368" s="1"/>
      <c r="P10368" s="1"/>
      <c r="Q10368" s="1"/>
      <c r="R10368" s="1"/>
      <c r="Z10368" s="103"/>
      <c r="AA10368" s="103"/>
      <c r="AB10368" s="1"/>
    </row>
    <row r="10369" spans="15:28">
      <c r="O10369" s="1"/>
      <c r="P10369" s="1"/>
      <c r="Q10369" s="1"/>
      <c r="R10369" s="1"/>
      <c r="Z10369" s="103"/>
      <c r="AA10369" s="103"/>
      <c r="AB10369" s="1"/>
    </row>
    <row r="10370" spans="15:28">
      <c r="O10370" s="1"/>
      <c r="P10370" s="1"/>
      <c r="Q10370" s="1"/>
      <c r="R10370" s="1"/>
      <c r="Z10370" s="103"/>
      <c r="AA10370" s="103"/>
      <c r="AB10370" s="1"/>
    </row>
    <row r="10371" spans="15:28">
      <c r="O10371" s="1"/>
      <c r="P10371" s="1"/>
      <c r="Q10371" s="1"/>
      <c r="R10371" s="1"/>
      <c r="Z10371" s="103"/>
      <c r="AA10371" s="103"/>
      <c r="AB10371" s="1"/>
    </row>
    <row r="10372" spans="15:28">
      <c r="O10372" s="1"/>
      <c r="P10372" s="1"/>
      <c r="Q10372" s="1"/>
      <c r="R10372" s="1"/>
      <c r="Z10372" s="103"/>
      <c r="AA10372" s="103"/>
      <c r="AB10372" s="1"/>
    </row>
    <row r="10373" spans="15:28">
      <c r="O10373" s="1"/>
      <c r="P10373" s="1"/>
      <c r="Q10373" s="1"/>
      <c r="R10373" s="1"/>
      <c r="Z10373" s="103"/>
      <c r="AA10373" s="103"/>
      <c r="AB10373" s="1"/>
    </row>
    <row r="10374" spans="15:28">
      <c r="O10374" s="1"/>
      <c r="P10374" s="1"/>
      <c r="Q10374" s="1"/>
      <c r="R10374" s="1"/>
      <c r="Z10374" s="103"/>
      <c r="AA10374" s="103"/>
      <c r="AB10374" s="1"/>
    </row>
    <row r="10375" spans="15:28">
      <c r="O10375" s="1"/>
      <c r="P10375" s="1"/>
      <c r="Q10375" s="1"/>
      <c r="R10375" s="1"/>
      <c r="Z10375" s="103"/>
      <c r="AA10375" s="103"/>
      <c r="AB10375" s="1"/>
    </row>
    <row r="10376" spans="15:28">
      <c r="O10376" s="1"/>
      <c r="P10376" s="1"/>
      <c r="Q10376" s="1"/>
      <c r="R10376" s="1"/>
      <c r="Z10376" s="103"/>
      <c r="AA10376" s="103"/>
      <c r="AB10376" s="1"/>
    </row>
    <row r="10377" spans="15:28">
      <c r="O10377" s="1"/>
      <c r="P10377" s="1"/>
      <c r="Q10377" s="1"/>
      <c r="R10377" s="1"/>
      <c r="Z10377" s="103"/>
      <c r="AA10377" s="103"/>
      <c r="AB10377" s="1"/>
    </row>
    <row r="10378" spans="15:28">
      <c r="O10378" s="1"/>
      <c r="P10378" s="1"/>
      <c r="Q10378" s="1"/>
      <c r="R10378" s="1"/>
      <c r="Z10378" s="103"/>
      <c r="AA10378" s="103"/>
      <c r="AB10378" s="1"/>
    </row>
    <row r="10379" spans="15:28">
      <c r="O10379" s="1"/>
      <c r="P10379" s="1"/>
      <c r="Q10379" s="1"/>
      <c r="R10379" s="1"/>
      <c r="Z10379" s="103"/>
      <c r="AA10379" s="103"/>
      <c r="AB10379" s="1"/>
    </row>
    <row r="10380" spans="15:28">
      <c r="O10380" s="1"/>
      <c r="P10380" s="1"/>
      <c r="Q10380" s="1"/>
      <c r="R10380" s="1"/>
      <c r="Z10380" s="103"/>
      <c r="AA10380" s="103"/>
      <c r="AB10380" s="1"/>
    </row>
    <row r="10381" spans="15:28">
      <c r="O10381" s="1"/>
      <c r="P10381" s="1"/>
      <c r="Q10381" s="1"/>
      <c r="R10381" s="1"/>
      <c r="Z10381" s="103"/>
      <c r="AA10381" s="103"/>
      <c r="AB10381" s="1"/>
    </row>
    <row r="10382" spans="15:28">
      <c r="O10382" s="1"/>
      <c r="P10382" s="1"/>
      <c r="Q10382" s="1"/>
      <c r="R10382" s="1"/>
      <c r="Z10382" s="103"/>
      <c r="AA10382" s="103"/>
      <c r="AB10382" s="1"/>
    </row>
    <row r="10383" spans="15:28">
      <c r="O10383" s="1"/>
      <c r="P10383" s="1"/>
      <c r="Q10383" s="1"/>
      <c r="R10383" s="1"/>
      <c r="Z10383" s="103"/>
      <c r="AA10383" s="103"/>
      <c r="AB10383" s="1"/>
    </row>
    <row r="10384" spans="15:28">
      <c r="O10384" s="1"/>
      <c r="P10384" s="1"/>
      <c r="Q10384" s="1"/>
      <c r="R10384" s="1"/>
      <c r="Z10384" s="103"/>
      <c r="AA10384" s="103"/>
      <c r="AB10384" s="1"/>
    </row>
    <row r="10385" spans="15:28">
      <c r="O10385" s="1"/>
      <c r="P10385" s="1"/>
      <c r="Q10385" s="1"/>
      <c r="R10385" s="1"/>
      <c r="Z10385" s="103"/>
      <c r="AA10385" s="103"/>
      <c r="AB10385" s="1"/>
    </row>
    <row r="10386" spans="15:28">
      <c r="O10386" s="1"/>
      <c r="P10386" s="1"/>
      <c r="Q10386" s="1"/>
      <c r="R10386" s="1"/>
      <c r="Z10386" s="103"/>
      <c r="AA10386" s="103"/>
      <c r="AB10386" s="1"/>
    </row>
    <row r="10387" spans="15:28">
      <c r="O10387" s="1"/>
      <c r="P10387" s="1"/>
      <c r="Q10387" s="1"/>
      <c r="R10387" s="1"/>
      <c r="Z10387" s="103"/>
      <c r="AA10387" s="103"/>
      <c r="AB10387" s="1"/>
    </row>
    <row r="10388" spans="15:28">
      <c r="O10388" s="1"/>
      <c r="P10388" s="1"/>
      <c r="Q10388" s="1"/>
      <c r="R10388" s="1"/>
      <c r="Z10388" s="103"/>
      <c r="AA10388" s="103"/>
      <c r="AB10388" s="1"/>
    </row>
    <row r="10389" spans="15:28">
      <c r="O10389" s="1"/>
      <c r="P10389" s="1"/>
      <c r="Q10389" s="1"/>
      <c r="R10389" s="1"/>
      <c r="Z10389" s="103"/>
      <c r="AA10389" s="103"/>
      <c r="AB10389" s="1"/>
    </row>
    <row r="10390" spans="15:28">
      <c r="O10390" s="1"/>
      <c r="P10390" s="1"/>
      <c r="Q10390" s="1"/>
      <c r="R10390" s="1"/>
      <c r="Z10390" s="103"/>
      <c r="AA10390" s="103"/>
      <c r="AB10390" s="1"/>
    </row>
    <row r="10391" spans="15:28">
      <c r="O10391" s="1"/>
      <c r="P10391" s="1"/>
      <c r="Q10391" s="1"/>
      <c r="R10391" s="1"/>
      <c r="Z10391" s="103"/>
      <c r="AA10391" s="103"/>
      <c r="AB10391" s="1"/>
    </row>
    <row r="10392" spans="15:28">
      <c r="O10392" s="1"/>
      <c r="P10392" s="1"/>
      <c r="Q10392" s="1"/>
      <c r="R10392" s="1"/>
      <c r="Z10392" s="103"/>
      <c r="AA10392" s="103"/>
      <c r="AB10392" s="1"/>
    </row>
    <row r="10393" spans="15:28">
      <c r="O10393" s="1"/>
      <c r="P10393" s="1"/>
      <c r="Q10393" s="1"/>
      <c r="R10393" s="1"/>
      <c r="Z10393" s="103"/>
      <c r="AA10393" s="103"/>
      <c r="AB10393" s="1"/>
    </row>
    <row r="10394" spans="15:28">
      <c r="O10394" s="1"/>
      <c r="P10394" s="1"/>
      <c r="Q10394" s="1"/>
      <c r="R10394" s="1"/>
      <c r="Z10394" s="103"/>
      <c r="AA10394" s="103"/>
      <c r="AB10394" s="1"/>
    </row>
    <row r="10395" spans="15:28">
      <c r="O10395" s="1"/>
      <c r="P10395" s="1"/>
      <c r="Q10395" s="1"/>
      <c r="R10395" s="1"/>
      <c r="Z10395" s="103"/>
      <c r="AA10395" s="103"/>
      <c r="AB10395" s="1"/>
    </row>
    <row r="10396" spans="15:28">
      <c r="O10396" s="1"/>
      <c r="P10396" s="1"/>
      <c r="Q10396" s="1"/>
      <c r="R10396" s="1"/>
      <c r="Z10396" s="103"/>
      <c r="AA10396" s="103"/>
      <c r="AB10396" s="1"/>
    </row>
    <row r="10397" spans="15:28">
      <c r="O10397" s="1"/>
      <c r="P10397" s="1"/>
      <c r="Q10397" s="1"/>
      <c r="R10397" s="1"/>
      <c r="Z10397" s="103"/>
      <c r="AA10397" s="103"/>
      <c r="AB10397" s="1"/>
    </row>
    <row r="10398" spans="15:28">
      <c r="O10398" s="1"/>
      <c r="P10398" s="1"/>
      <c r="Q10398" s="1"/>
      <c r="R10398" s="1"/>
      <c r="Z10398" s="103"/>
      <c r="AA10398" s="103"/>
      <c r="AB10398" s="1"/>
    </row>
    <row r="10399" spans="15:28">
      <c r="O10399" s="1"/>
      <c r="P10399" s="1"/>
      <c r="Q10399" s="1"/>
      <c r="R10399" s="1"/>
      <c r="Z10399" s="103"/>
      <c r="AA10399" s="103"/>
      <c r="AB10399" s="1"/>
    </row>
    <row r="10400" spans="15:28">
      <c r="O10400" s="1"/>
      <c r="P10400" s="1"/>
      <c r="Q10400" s="1"/>
      <c r="R10400" s="1"/>
      <c r="Z10400" s="103"/>
      <c r="AA10400" s="103"/>
      <c r="AB10400" s="1"/>
    </row>
    <row r="10401" spans="15:28">
      <c r="O10401" s="1"/>
      <c r="P10401" s="1"/>
      <c r="Q10401" s="1"/>
      <c r="R10401" s="1"/>
      <c r="Z10401" s="103"/>
      <c r="AA10401" s="103"/>
      <c r="AB10401" s="1"/>
    </row>
    <row r="10402" spans="15:28">
      <c r="O10402" s="1"/>
      <c r="P10402" s="1"/>
      <c r="Q10402" s="1"/>
      <c r="R10402" s="1"/>
      <c r="Z10402" s="103"/>
      <c r="AA10402" s="103"/>
      <c r="AB10402" s="1"/>
    </row>
    <row r="10403" spans="15:28">
      <c r="O10403" s="1"/>
      <c r="P10403" s="1"/>
      <c r="Q10403" s="1"/>
      <c r="R10403" s="1"/>
      <c r="Z10403" s="103"/>
      <c r="AA10403" s="103"/>
      <c r="AB10403" s="1"/>
    </row>
    <row r="10404" spans="15:28">
      <c r="O10404" s="1"/>
      <c r="P10404" s="1"/>
      <c r="Q10404" s="1"/>
      <c r="R10404" s="1"/>
      <c r="Z10404" s="103"/>
      <c r="AA10404" s="103"/>
      <c r="AB10404" s="1"/>
    </row>
    <row r="10405" spans="15:28">
      <c r="O10405" s="1"/>
      <c r="P10405" s="1"/>
      <c r="Q10405" s="1"/>
      <c r="R10405" s="1"/>
      <c r="Z10405" s="103"/>
      <c r="AA10405" s="103"/>
      <c r="AB10405" s="1"/>
    </row>
    <row r="10406" spans="15:28">
      <c r="O10406" s="1"/>
      <c r="P10406" s="1"/>
      <c r="Q10406" s="1"/>
      <c r="R10406" s="1"/>
      <c r="Z10406" s="103"/>
      <c r="AA10406" s="103"/>
      <c r="AB10406" s="1"/>
    </row>
    <row r="10407" spans="15:28">
      <c r="O10407" s="1"/>
      <c r="P10407" s="1"/>
      <c r="Q10407" s="1"/>
      <c r="R10407" s="1"/>
      <c r="Z10407" s="103"/>
      <c r="AA10407" s="103"/>
      <c r="AB10407" s="1"/>
    </row>
    <row r="10408" spans="15:28">
      <c r="O10408" s="1"/>
      <c r="P10408" s="1"/>
      <c r="Q10408" s="1"/>
      <c r="R10408" s="1"/>
      <c r="Z10408" s="103"/>
      <c r="AA10408" s="103"/>
      <c r="AB10408" s="1"/>
    </row>
    <row r="10409" spans="15:28">
      <c r="O10409" s="1"/>
      <c r="P10409" s="1"/>
      <c r="Q10409" s="1"/>
      <c r="R10409" s="1"/>
      <c r="Z10409" s="103"/>
      <c r="AA10409" s="103"/>
      <c r="AB10409" s="1"/>
    </row>
    <row r="10410" spans="15:28">
      <c r="O10410" s="1"/>
      <c r="P10410" s="1"/>
      <c r="Q10410" s="1"/>
      <c r="R10410" s="1"/>
      <c r="Z10410" s="103"/>
      <c r="AA10410" s="103"/>
      <c r="AB10410" s="1"/>
    </row>
    <row r="10411" spans="15:28">
      <c r="O10411" s="1"/>
      <c r="P10411" s="1"/>
      <c r="Q10411" s="1"/>
      <c r="R10411" s="1"/>
      <c r="Z10411" s="103"/>
      <c r="AA10411" s="103"/>
      <c r="AB10411" s="1"/>
    </row>
    <row r="10412" spans="15:28">
      <c r="O10412" s="1"/>
      <c r="P10412" s="1"/>
      <c r="Q10412" s="1"/>
      <c r="R10412" s="1"/>
      <c r="Z10412" s="103"/>
      <c r="AA10412" s="103"/>
      <c r="AB10412" s="1"/>
    </row>
    <row r="10413" spans="15:28">
      <c r="O10413" s="1"/>
      <c r="P10413" s="1"/>
      <c r="Q10413" s="1"/>
      <c r="R10413" s="1"/>
      <c r="Z10413" s="103"/>
      <c r="AA10413" s="103"/>
      <c r="AB10413" s="1"/>
    </row>
    <row r="10414" spans="15:28">
      <c r="O10414" s="1"/>
      <c r="P10414" s="1"/>
      <c r="Q10414" s="1"/>
      <c r="R10414" s="1"/>
      <c r="Z10414" s="103"/>
      <c r="AA10414" s="103"/>
      <c r="AB10414" s="1"/>
    </row>
    <row r="10415" spans="15:28">
      <c r="O10415" s="1"/>
      <c r="P10415" s="1"/>
      <c r="Q10415" s="1"/>
      <c r="R10415" s="1"/>
      <c r="Z10415" s="103"/>
      <c r="AA10415" s="103"/>
      <c r="AB10415" s="1"/>
    </row>
    <row r="10416" spans="15:28">
      <c r="O10416" s="1"/>
      <c r="P10416" s="1"/>
      <c r="Q10416" s="1"/>
      <c r="R10416" s="1"/>
      <c r="Z10416" s="103"/>
      <c r="AA10416" s="103"/>
      <c r="AB10416" s="1"/>
    </row>
    <row r="10417" spans="15:28">
      <c r="O10417" s="1"/>
      <c r="P10417" s="1"/>
      <c r="Q10417" s="1"/>
      <c r="R10417" s="1"/>
      <c r="Z10417" s="103"/>
      <c r="AA10417" s="103"/>
      <c r="AB10417" s="1"/>
    </row>
    <row r="10418" spans="15:28">
      <c r="O10418" s="1"/>
      <c r="P10418" s="1"/>
      <c r="Q10418" s="1"/>
      <c r="R10418" s="1"/>
      <c r="Z10418" s="103"/>
      <c r="AA10418" s="103"/>
      <c r="AB10418" s="1"/>
    </row>
    <row r="10419" spans="15:28">
      <c r="O10419" s="1"/>
      <c r="P10419" s="1"/>
      <c r="Q10419" s="1"/>
      <c r="R10419" s="1"/>
      <c r="Z10419" s="103"/>
      <c r="AA10419" s="103"/>
      <c r="AB10419" s="1"/>
    </row>
    <row r="10420" spans="15:28">
      <c r="O10420" s="1"/>
      <c r="P10420" s="1"/>
      <c r="Q10420" s="1"/>
      <c r="R10420" s="1"/>
      <c r="Z10420" s="103"/>
      <c r="AA10420" s="103"/>
      <c r="AB10420" s="1"/>
    </row>
    <row r="10421" spans="15:28">
      <c r="O10421" s="1"/>
      <c r="P10421" s="1"/>
      <c r="Q10421" s="1"/>
      <c r="R10421" s="1"/>
      <c r="Z10421" s="103"/>
      <c r="AA10421" s="103"/>
      <c r="AB10421" s="1"/>
    </row>
    <row r="10422" spans="15:28">
      <c r="O10422" s="1"/>
      <c r="P10422" s="1"/>
      <c r="Q10422" s="1"/>
      <c r="R10422" s="1"/>
      <c r="Z10422" s="103"/>
      <c r="AA10422" s="103"/>
      <c r="AB10422" s="1"/>
    </row>
    <row r="10423" spans="15:28">
      <c r="O10423" s="1"/>
      <c r="P10423" s="1"/>
      <c r="Q10423" s="1"/>
      <c r="R10423" s="1"/>
      <c r="Z10423" s="103"/>
      <c r="AA10423" s="103"/>
      <c r="AB10423" s="1"/>
    </row>
    <row r="10424" spans="15:28">
      <c r="O10424" s="1"/>
      <c r="P10424" s="1"/>
      <c r="Q10424" s="1"/>
      <c r="R10424" s="1"/>
      <c r="Z10424" s="103"/>
      <c r="AA10424" s="103"/>
      <c r="AB10424" s="1"/>
    </row>
    <row r="10425" spans="15:28">
      <c r="O10425" s="1"/>
      <c r="P10425" s="1"/>
      <c r="Q10425" s="1"/>
      <c r="R10425" s="1"/>
      <c r="Z10425" s="103"/>
      <c r="AA10425" s="103"/>
      <c r="AB10425" s="1"/>
    </row>
    <row r="10426" spans="15:28">
      <c r="O10426" s="1"/>
      <c r="P10426" s="1"/>
      <c r="Q10426" s="1"/>
      <c r="R10426" s="1"/>
      <c r="Z10426" s="103"/>
      <c r="AA10426" s="103"/>
      <c r="AB10426" s="1"/>
    </row>
    <row r="10427" spans="15:28">
      <c r="O10427" s="1"/>
      <c r="P10427" s="1"/>
      <c r="Q10427" s="1"/>
      <c r="R10427" s="1"/>
      <c r="Z10427" s="103"/>
      <c r="AA10427" s="103"/>
      <c r="AB10427" s="1"/>
    </row>
    <row r="10428" spans="15:28">
      <c r="O10428" s="1"/>
      <c r="P10428" s="1"/>
      <c r="Q10428" s="1"/>
      <c r="R10428" s="1"/>
      <c r="Z10428" s="103"/>
      <c r="AA10428" s="103"/>
      <c r="AB10428" s="1"/>
    </row>
    <row r="10429" spans="15:28">
      <c r="O10429" s="1"/>
      <c r="P10429" s="1"/>
      <c r="Q10429" s="1"/>
      <c r="R10429" s="1"/>
      <c r="Z10429" s="103"/>
      <c r="AA10429" s="103"/>
      <c r="AB10429" s="1"/>
    </row>
    <row r="10430" spans="15:28">
      <c r="O10430" s="1"/>
      <c r="P10430" s="1"/>
      <c r="Q10430" s="1"/>
      <c r="R10430" s="1"/>
      <c r="Z10430" s="103"/>
      <c r="AA10430" s="103"/>
      <c r="AB10430" s="1"/>
    </row>
    <row r="10431" spans="15:28">
      <c r="O10431" s="1"/>
      <c r="P10431" s="1"/>
      <c r="Q10431" s="1"/>
      <c r="R10431" s="1"/>
      <c r="Z10431" s="103"/>
      <c r="AA10431" s="103"/>
      <c r="AB10431" s="1"/>
    </row>
    <row r="10432" spans="15:28">
      <c r="O10432" s="1"/>
      <c r="P10432" s="1"/>
      <c r="Q10432" s="1"/>
      <c r="R10432" s="1"/>
      <c r="Z10432" s="103"/>
      <c r="AA10432" s="103"/>
      <c r="AB10432" s="1"/>
    </row>
    <row r="10433" spans="15:28">
      <c r="O10433" s="1"/>
      <c r="P10433" s="1"/>
      <c r="Q10433" s="1"/>
      <c r="R10433" s="1"/>
      <c r="Z10433" s="103"/>
      <c r="AA10433" s="103"/>
      <c r="AB10433" s="1"/>
    </row>
    <row r="10434" spans="15:28">
      <c r="O10434" s="1"/>
      <c r="P10434" s="1"/>
      <c r="Q10434" s="1"/>
      <c r="R10434" s="1"/>
      <c r="Z10434" s="103"/>
      <c r="AA10434" s="103"/>
      <c r="AB10434" s="1"/>
    </row>
    <row r="10435" spans="15:28">
      <c r="O10435" s="1"/>
      <c r="P10435" s="1"/>
      <c r="Q10435" s="1"/>
      <c r="R10435" s="1"/>
      <c r="Z10435" s="103"/>
      <c r="AA10435" s="103"/>
      <c r="AB10435" s="1"/>
    </row>
    <row r="10436" spans="15:28">
      <c r="O10436" s="1"/>
      <c r="P10436" s="1"/>
      <c r="Q10436" s="1"/>
      <c r="R10436" s="1"/>
      <c r="Z10436" s="103"/>
      <c r="AA10436" s="103"/>
      <c r="AB10436" s="1"/>
    </row>
    <row r="10437" spans="15:28">
      <c r="O10437" s="1"/>
      <c r="P10437" s="1"/>
      <c r="Q10437" s="1"/>
      <c r="R10437" s="1"/>
      <c r="Z10437" s="103"/>
      <c r="AA10437" s="103"/>
      <c r="AB10437" s="1"/>
    </row>
    <row r="10438" spans="15:28">
      <c r="O10438" s="1"/>
      <c r="P10438" s="1"/>
      <c r="Q10438" s="1"/>
      <c r="R10438" s="1"/>
      <c r="Z10438" s="103"/>
      <c r="AA10438" s="103"/>
      <c r="AB10438" s="1"/>
    </row>
    <row r="10439" spans="15:28">
      <c r="O10439" s="1"/>
      <c r="P10439" s="1"/>
      <c r="Q10439" s="1"/>
      <c r="R10439" s="1"/>
      <c r="Z10439" s="103"/>
      <c r="AA10439" s="103"/>
      <c r="AB10439" s="1"/>
    </row>
    <row r="10440" spans="15:28">
      <c r="O10440" s="1"/>
      <c r="P10440" s="1"/>
      <c r="Q10440" s="1"/>
      <c r="R10440" s="1"/>
      <c r="Z10440" s="103"/>
      <c r="AA10440" s="103"/>
      <c r="AB10440" s="1"/>
    </row>
    <row r="10441" spans="15:28">
      <c r="O10441" s="1"/>
      <c r="P10441" s="1"/>
      <c r="Q10441" s="1"/>
      <c r="R10441" s="1"/>
      <c r="Z10441" s="103"/>
      <c r="AA10441" s="103"/>
      <c r="AB10441" s="1"/>
    </row>
    <row r="10442" spans="15:28">
      <c r="O10442" s="1"/>
      <c r="P10442" s="1"/>
      <c r="Q10442" s="1"/>
      <c r="R10442" s="1"/>
      <c r="Z10442" s="103"/>
      <c r="AA10442" s="103"/>
      <c r="AB10442" s="1"/>
    </row>
    <row r="10443" spans="15:28">
      <c r="O10443" s="1"/>
      <c r="P10443" s="1"/>
      <c r="Q10443" s="1"/>
      <c r="R10443" s="1"/>
      <c r="Z10443" s="103"/>
      <c r="AA10443" s="103"/>
      <c r="AB10443" s="1"/>
    </row>
    <row r="10444" spans="15:28">
      <c r="O10444" s="1"/>
      <c r="P10444" s="1"/>
      <c r="Q10444" s="1"/>
      <c r="R10444" s="1"/>
      <c r="Z10444" s="103"/>
      <c r="AA10444" s="103"/>
      <c r="AB10444" s="1"/>
    </row>
    <row r="10445" spans="15:28">
      <c r="O10445" s="1"/>
      <c r="P10445" s="1"/>
      <c r="Q10445" s="1"/>
      <c r="R10445" s="1"/>
      <c r="Z10445" s="103"/>
      <c r="AA10445" s="103"/>
      <c r="AB10445" s="1"/>
    </row>
    <row r="10446" spans="15:28">
      <c r="O10446" s="1"/>
      <c r="P10446" s="1"/>
      <c r="Q10446" s="1"/>
      <c r="R10446" s="1"/>
      <c r="Z10446" s="103"/>
      <c r="AA10446" s="103"/>
      <c r="AB10446" s="1"/>
    </row>
    <row r="10447" spans="15:28">
      <c r="O10447" s="1"/>
      <c r="P10447" s="1"/>
      <c r="Q10447" s="1"/>
      <c r="R10447" s="1"/>
      <c r="Z10447" s="103"/>
      <c r="AA10447" s="103"/>
      <c r="AB10447" s="1"/>
    </row>
    <row r="10448" spans="15:28">
      <c r="O10448" s="1"/>
      <c r="P10448" s="1"/>
      <c r="Q10448" s="1"/>
      <c r="R10448" s="1"/>
      <c r="Z10448" s="103"/>
      <c r="AA10448" s="103"/>
      <c r="AB10448" s="1"/>
    </row>
    <row r="10449" spans="15:28">
      <c r="O10449" s="1"/>
      <c r="P10449" s="1"/>
      <c r="Q10449" s="1"/>
      <c r="R10449" s="1"/>
      <c r="Z10449" s="103"/>
      <c r="AA10449" s="103"/>
      <c r="AB10449" s="1"/>
    </row>
    <row r="10450" spans="15:28">
      <c r="O10450" s="1"/>
      <c r="P10450" s="1"/>
      <c r="Q10450" s="1"/>
      <c r="R10450" s="1"/>
      <c r="Z10450" s="103"/>
      <c r="AA10450" s="103"/>
      <c r="AB10450" s="1"/>
    </row>
    <row r="10451" spans="15:28">
      <c r="O10451" s="1"/>
      <c r="P10451" s="1"/>
      <c r="Q10451" s="1"/>
      <c r="R10451" s="1"/>
      <c r="Z10451" s="103"/>
      <c r="AA10451" s="103"/>
      <c r="AB10451" s="1"/>
    </row>
    <row r="10452" spans="15:28">
      <c r="O10452" s="1"/>
      <c r="P10452" s="1"/>
      <c r="Q10452" s="1"/>
      <c r="R10452" s="1"/>
      <c r="Z10452" s="103"/>
      <c r="AA10452" s="103"/>
      <c r="AB10452" s="1"/>
    </row>
    <row r="10453" spans="15:28">
      <c r="O10453" s="1"/>
      <c r="P10453" s="1"/>
      <c r="Q10453" s="1"/>
      <c r="R10453" s="1"/>
      <c r="Z10453" s="103"/>
      <c r="AA10453" s="103"/>
      <c r="AB10453" s="1"/>
    </row>
    <row r="10454" spans="15:28">
      <c r="O10454" s="1"/>
      <c r="P10454" s="1"/>
      <c r="Q10454" s="1"/>
      <c r="R10454" s="1"/>
      <c r="Z10454" s="103"/>
      <c r="AA10454" s="103"/>
      <c r="AB10454" s="1"/>
    </row>
    <row r="10455" spans="15:28">
      <c r="O10455" s="1"/>
      <c r="P10455" s="1"/>
      <c r="Q10455" s="1"/>
      <c r="R10455" s="1"/>
      <c r="Z10455" s="103"/>
      <c r="AA10455" s="103"/>
      <c r="AB10455" s="1"/>
    </row>
    <row r="10456" spans="15:28">
      <c r="O10456" s="1"/>
      <c r="P10456" s="1"/>
      <c r="Q10456" s="1"/>
      <c r="R10456" s="1"/>
      <c r="Z10456" s="103"/>
      <c r="AA10456" s="103"/>
      <c r="AB10456" s="1"/>
    </row>
    <row r="10457" spans="15:28">
      <c r="O10457" s="1"/>
      <c r="P10457" s="1"/>
      <c r="Q10457" s="1"/>
      <c r="R10457" s="1"/>
      <c r="Z10457" s="103"/>
      <c r="AA10457" s="103"/>
      <c r="AB10457" s="1"/>
    </row>
    <row r="10458" spans="15:28">
      <c r="O10458" s="1"/>
      <c r="P10458" s="1"/>
      <c r="Q10458" s="1"/>
      <c r="R10458" s="1"/>
      <c r="Z10458" s="103"/>
      <c r="AA10458" s="103"/>
      <c r="AB10458" s="1"/>
    </row>
    <row r="10459" spans="15:28">
      <c r="O10459" s="1"/>
      <c r="P10459" s="1"/>
      <c r="Q10459" s="1"/>
      <c r="R10459" s="1"/>
      <c r="Z10459" s="103"/>
      <c r="AA10459" s="103"/>
      <c r="AB10459" s="1"/>
    </row>
    <row r="10460" spans="15:28">
      <c r="O10460" s="1"/>
      <c r="P10460" s="1"/>
      <c r="Q10460" s="1"/>
      <c r="R10460" s="1"/>
      <c r="Z10460" s="103"/>
      <c r="AA10460" s="103"/>
      <c r="AB10460" s="1"/>
    </row>
    <row r="10461" spans="15:28">
      <c r="O10461" s="1"/>
      <c r="P10461" s="1"/>
      <c r="Q10461" s="1"/>
      <c r="R10461" s="1"/>
      <c r="Z10461" s="103"/>
      <c r="AA10461" s="103"/>
      <c r="AB10461" s="1"/>
    </row>
    <row r="10462" spans="15:28">
      <c r="O10462" s="1"/>
      <c r="P10462" s="1"/>
      <c r="Q10462" s="1"/>
      <c r="R10462" s="1"/>
      <c r="Z10462" s="103"/>
      <c r="AA10462" s="103"/>
      <c r="AB10462" s="1"/>
    </row>
    <row r="10463" spans="15:28">
      <c r="O10463" s="1"/>
      <c r="P10463" s="1"/>
      <c r="Q10463" s="1"/>
      <c r="R10463" s="1"/>
      <c r="Z10463" s="103"/>
      <c r="AA10463" s="103"/>
      <c r="AB10463" s="1"/>
    </row>
    <row r="10464" spans="15:28">
      <c r="O10464" s="1"/>
      <c r="P10464" s="1"/>
      <c r="Q10464" s="1"/>
      <c r="R10464" s="1"/>
      <c r="Z10464" s="103"/>
      <c r="AA10464" s="103"/>
      <c r="AB10464" s="1"/>
    </row>
    <row r="10465" spans="15:28">
      <c r="O10465" s="1"/>
      <c r="P10465" s="1"/>
      <c r="Q10465" s="1"/>
      <c r="R10465" s="1"/>
      <c r="Z10465" s="103"/>
      <c r="AA10465" s="103"/>
      <c r="AB10465" s="1"/>
    </row>
    <row r="10466" spans="15:28">
      <c r="O10466" s="1"/>
      <c r="P10466" s="1"/>
      <c r="Q10466" s="1"/>
      <c r="R10466" s="1"/>
      <c r="Z10466" s="103"/>
      <c r="AA10466" s="103"/>
      <c r="AB10466" s="1"/>
    </row>
    <row r="10467" spans="15:28">
      <c r="O10467" s="1"/>
      <c r="P10467" s="1"/>
      <c r="Q10467" s="1"/>
      <c r="R10467" s="1"/>
      <c r="Z10467" s="103"/>
      <c r="AA10467" s="103"/>
      <c r="AB10467" s="1"/>
    </row>
    <row r="10468" spans="15:28">
      <c r="O10468" s="1"/>
      <c r="P10468" s="1"/>
      <c r="Q10468" s="1"/>
      <c r="R10468" s="1"/>
      <c r="Z10468" s="103"/>
      <c r="AA10468" s="103"/>
      <c r="AB10468" s="1"/>
    </row>
    <row r="10469" spans="15:28">
      <c r="O10469" s="1"/>
      <c r="P10469" s="1"/>
      <c r="Q10469" s="1"/>
      <c r="R10469" s="1"/>
      <c r="Z10469" s="103"/>
      <c r="AA10469" s="103"/>
      <c r="AB10469" s="1"/>
    </row>
    <row r="10470" spans="15:28">
      <c r="O10470" s="1"/>
      <c r="P10470" s="1"/>
      <c r="Q10470" s="1"/>
      <c r="R10470" s="1"/>
      <c r="Z10470" s="103"/>
      <c r="AA10470" s="103"/>
      <c r="AB10470" s="1"/>
    </row>
    <row r="10471" spans="15:28">
      <c r="O10471" s="1"/>
      <c r="P10471" s="1"/>
      <c r="Q10471" s="1"/>
      <c r="R10471" s="1"/>
      <c r="Z10471" s="103"/>
      <c r="AA10471" s="103"/>
      <c r="AB10471" s="1"/>
    </row>
    <row r="10472" spans="15:28">
      <c r="O10472" s="1"/>
      <c r="P10472" s="1"/>
      <c r="Q10472" s="1"/>
      <c r="R10472" s="1"/>
      <c r="Z10472" s="103"/>
      <c r="AA10472" s="103"/>
      <c r="AB10472" s="1"/>
    </row>
    <row r="10473" spans="15:28">
      <c r="O10473" s="1"/>
      <c r="P10473" s="1"/>
      <c r="Q10473" s="1"/>
      <c r="R10473" s="1"/>
      <c r="Z10473" s="103"/>
      <c r="AA10473" s="103"/>
      <c r="AB10473" s="1"/>
    </row>
    <row r="10474" spans="15:28">
      <c r="O10474" s="1"/>
      <c r="P10474" s="1"/>
      <c r="Q10474" s="1"/>
      <c r="R10474" s="1"/>
      <c r="Z10474" s="103"/>
      <c r="AA10474" s="103"/>
      <c r="AB10474" s="1"/>
    </row>
    <row r="10475" spans="15:28">
      <c r="O10475" s="1"/>
      <c r="P10475" s="1"/>
      <c r="Q10475" s="1"/>
      <c r="R10475" s="1"/>
      <c r="Z10475" s="103"/>
      <c r="AA10475" s="103"/>
      <c r="AB10475" s="1"/>
    </row>
    <row r="10476" spans="15:28">
      <c r="O10476" s="1"/>
      <c r="P10476" s="1"/>
      <c r="Q10476" s="1"/>
      <c r="R10476" s="1"/>
      <c r="Z10476" s="103"/>
      <c r="AA10476" s="103"/>
      <c r="AB10476" s="1"/>
    </row>
    <row r="10477" spans="15:28">
      <c r="O10477" s="1"/>
      <c r="P10477" s="1"/>
      <c r="Q10477" s="1"/>
      <c r="R10477" s="1"/>
      <c r="Z10477" s="103"/>
      <c r="AA10477" s="103"/>
      <c r="AB10477" s="1"/>
    </row>
    <row r="10478" spans="15:28">
      <c r="O10478" s="1"/>
      <c r="P10478" s="1"/>
      <c r="Q10478" s="1"/>
      <c r="R10478" s="1"/>
      <c r="Z10478" s="103"/>
      <c r="AA10478" s="103"/>
      <c r="AB10478" s="1"/>
    </row>
    <row r="10479" spans="15:28">
      <c r="O10479" s="1"/>
      <c r="P10479" s="1"/>
      <c r="Q10479" s="1"/>
      <c r="R10479" s="1"/>
      <c r="Z10479" s="103"/>
      <c r="AA10479" s="103"/>
      <c r="AB10479" s="1"/>
    </row>
    <row r="10480" spans="15:28">
      <c r="O10480" s="1"/>
      <c r="P10480" s="1"/>
      <c r="Q10480" s="1"/>
      <c r="R10480" s="1"/>
      <c r="Z10480" s="103"/>
      <c r="AA10480" s="103"/>
      <c r="AB10480" s="1"/>
    </row>
    <row r="10481" spans="15:28">
      <c r="O10481" s="1"/>
      <c r="P10481" s="1"/>
      <c r="Q10481" s="1"/>
      <c r="R10481" s="1"/>
      <c r="Z10481" s="103"/>
      <c r="AA10481" s="103"/>
      <c r="AB10481" s="1"/>
    </row>
    <row r="10482" spans="15:28">
      <c r="O10482" s="1"/>
      <c r="P10482" s="1"/>
      <c r="Q10482" s="1"/>
      <c r="R10482" s="1"/>
      <c r="Z10482" s="103"/>
      <c r="AA10482" s="103"/>
      <c r="AB10482" s="1"/>
    </row>
    <row r="10483" spans="15:28">
      <c r="O10483" s="1"/>
      <c r="P10483" s="1"/>
      <c r="Q10483" s="1"/>
      <c r="R10483" s="1"/>
      <c r="Z10483" s="103"/>
      <c r="AA10483" s="103"/>
      <c r="AB10483" s="1"/>
    </row>
    <row r="10484" spans="15:28">
      <c r="O10484" s="1"/>
      <c r="P10484" s="1"/>
      <c r="Q10484" s="1"/>
      <c r="R10484" s="1"/>
      <c r="Z10484" s="103"/>
      <c r="AA10484" s="103"/>
      <c r="AB10484" s="1"/>
    </row>
    <row r="10485" spans="15:28">
      <c r="O10485" s="1"/>
      <c r="P10485" s="1"/>
      <c r="Q10485" s="1"/>
      <c r="R10485" s="1"/>
      <c r="Z10485" s="103"/>
      <c r="AA10485" s="103"/>
      <c r="AB10485" s="1"/>
    </row>
    <row r="10486" spans="15:28">
      <c r="O10486" s="1"/>
      <c r="P10486" s="1"/>
      <c r="Q10486" s="1"/>
      <c r="R10486" s="1"/>
      <c r="Z10486" s="103"/>
      <c r="AA10486" s="103"/>
      <c r="AB10486" s="1"/>
    </row>
    <row r="10487" spans="15:28">
      <c r="O10487" s="1"/>
      <c r="P10487" s="1"/>
      <c r="Q10487" s="1"/>
      <c r="R10487" s="1"/>
      <c r="Z10487" s="103"/>
      <c r="AA10487" s="103"/>
      <c r="AB10487" s="1"/>
    </row>
    <row r="10488" spans="15:28">
      <c r="O10488" s="1"/>
      <c r="P10488" s="1"/>
      <c r="Q10488" s="1"/>
      <c r="R10488" s="1"/>
      <c r="Z10488" s="103"/>
      <c r="AA10488" s="103"/>
      <c r="AB10488" s="1"/>
    </row>
    <row r="10489" spans="15:28">
      <c r="O10489" s="1"/>
      <c r="P10489" s="1"/>
      <c r="Q10489" s="1"/>
      <c r="R10489" s="1"/>
      <c r="Z10489" s="103"/>
      <c r="AA10489" s="103"/>
      <c r="AB10489" s="1"/>
    </row>
    <row r="10490" spans="15:28">
      <c r="O10490" s="1"/>
      <c r="P10490" s="1"/>
      <c r="Q10490" s="1"/>
      <c r="R10490" s="1"/>
      <c r="Z10490" s="103"/>
      <c r="AA10490" s="103"/>
      <c r="AB10490" s="1"/>
    </row>
    <row r="10491" spans="15:28">
      <c r="O10491" s="1"/>
      <c r="P10491" s="1"/>
      <c r="Q10491" s="1"/>
      <c r="R10491" s="1"/>
      <c r="Z10491" s="103"/>
      <c r="AA10491" s="103"/>
      <c r="AB10491" s="1"/>
    </row>
    <row r="10492" spans="15:28">
      <c r="O10492" s="1"/>
      <c r="P10492" s="1"/>
      <c r="Q10492" s="1"/>
      <c r="R10492" s="1"/>
      <c r="Z10492" s="103"/>
      <c r="AA10492" s="103"/>
      <c r="AB10492" s="1"/>
    </row>
    <row r="10493" spans="15:28">
      <c r="O10493" s="1"/>
      <c r="P10493" s="1"/>
      <c r="Q10493" s="1"/>
      <c r="R10493" s="1"/>
      <c r="Z10493" s="103"/>
      <c r="AA10493" s="103"/>
      <c r="AB10493" s="1"/>
    </row>
    <row r="10494" spans="15:28">
      <c r="O10494" s="1"/>
      <c r="P10494" s="1"/>
      <c r="Q10494" s="1"/>
      <c r="R10494" s="1"/>
      <c r="Z10494" s="103"/>
      <c r="AA10494" s="103"/>
      <c r="AB10494" s="1"/>
    </row>
    <row r="10495" spans="15:28">
      <c r="O10495" s="1"/>
      <c r="P10495" s="1"/>
      <c r="Q10495" s="1"/>
      <c r="R10495" s="1"/>
      <c r="Z10495" s="103"/>
      <c r="AA10495" s="103"/>
      <c r="AB10495" s="1"/>
    </row>
    <row r="10496" spans="15:28">
      <c r="O10496" s="1"/>
      <c r="P10496" s="1"/>
      <c r="Q10496" s="1"/>
      <c r="R10496" s="1"/>
      <c r="Z10496" s="103"/>
      <c r="AA10496" s="103"/>
      <c r="AB10496" s="1"/>
    </row>
    <row r="10497" spans="15:28">
      <c r="O10497" s="1"/>
      <c r="P10497" s="1"/>
      <c r="Q10497" s="1"/>
      <c r="R10497" s="1"/>
      <c r="Z10497" s="103"/>
      <c r="AA10497" s="103"/>
      <c r="AB10497" s="1"/>
    </row>
    <row r="10498" spans="15:28">
      <c r="O10498" s="1"/>
      <c r="P10498" s="1"/>
      <c r="Q10498" s="1"/>
      <c r="R10498" s="1"/>
      <c r="Z10498" s="103"/>
      <c r="AA10498" s="103"/>
      <c r="AB10498" s="1"/>
    </row>
    <row r="10499" spans="15:28">
      <c r="O10499" s="1"/>
      <c r="P10499" s="1"/>
      <c r="Q10499" s="1"/>
      <c r="R10499" s="1"/>
      <c r="Z10499" s="103"/>
      <c r="AA10499" s="103"/>
      <c r="AB10499" s="1"/>
    </row>
    <row r="10500" spans="15:28">
      <c r="O10500" s="1"/>
      <c r="P10500" s="1"/>
      <c r="Q10500" s="1"/>
      <c r="R10500" s="1"/>
      <c r="Z10500" s="103"/>
      <c r="AA10500" s="103"/>
      <c r="AB10500" s="1"/>
    </row>
    <row r="10501" spans="15:28">
      <c r="O10501" s="1"/>
      <c r="P10501" s="1"/>
      <c r="Q10501" s="1"/>
      <c r="R10501" s="1"/>
      <c r="Z10501" s="103"/>
      <c r="AA10501" s="103"/>
      <c r="AB10501" s="1"/>
    </row>
    <row r="10502" spans="15:28">
      <c r="O10502" s="1"/>
      <c r="P10502" s="1"/>
      <c r="Q10502" s="1"/>
      <c r="R10502" s="1"/>
      <c r="Z10502" s="103"/>
      <c r="AA10502" s="103"/>
      <c r="AB10502" s="1"/>
    </row>
    <row r="10503" spans="15:28">
      <c r="O10503" s="1"/>
      <c r="P10503" s="1"/>
      <c r="Q10503" s="1"/>
      <c r="R10503" s="1"/>
      <c r="Z10503" s="103"/>
      <c r="AA10503" s="103"/>
      <c r="AB10503" s="1"/>
    </row>
    <row r="10504" spans="15:28">
      <c r="O10504" s="1"/>
      <c r="P10504" s="1"/>
      <c r="Q10504" s="1"/>
      <c r="R10504" s="1"/>
      <c r="Z10504" s="103"/>
      <c r="AA10504" s="103"/>
      <c r="AB10504" s="1"/>
    </row>
    <row r="10505" spans="15:28">
      <c r="O10505" s="1"/>
      <c r="P10505" s="1"/>
      <c r="Q10505" s="1"/>
      <c r="R10505" s="1"/>
      <c r="Z10505" s="103"/>
      <c r="AA10505" s="103"/>
      <c r="AB10505" s="1"/>
    </row>
    <row r="10506" spans="15:28">
      <c r="O10506" s="1"/>
      <c r="P10506" s="1"/>
      <c r="Q10506" s="1"/>
      <c r="R10506" s="1"/>
      <c r="Z10506" s="103"/>
      <c r="AA10506" s="103"/>
      <c r="AB10506" s="1"/>
    </row>
    <row r="10507" spans="15:28">
      <c r="O10507" s="1"/>
      <c r="P10507" s="1"/>
      <c r="Q10507" s="1"/>
      <c r="R10507" s="1"/>
      <c r="Z10507" s="103"/>
      <c r="AA10507" s="103"/>
      <c r="AB10507" s="1"/>
    </row>
    <row r="10508" spans="15:28">
      <c r="O10508" s="1"/>
      <c r="P10508" s="1"/>
      <c r="Q10508" s="1"/>
      <c r="R10508" s="1"/>
      <c r="Z10508" s="103"/>
      <c r="AA10508" s="103"/>
      <c r="AB10508" s="1"/>
    </row>
    <row r="10509" spans="15:28">
      <c r="O10509" s="1"/>
      <c r="P10509" s="1"/>
      <c r="Q10509" s="1"/>
      <c r="R10509" s="1"/>
      <c r="Z10509" s="103"/>
      <c r="AA10509" s="103"/>
      <c r="AB10509" s="1"/>
    </row>
    <row r="10510" spans="15:28">
      <c r="O10510" s="1"/>
      <c r="P10510" s="1"/>
      <c r="Q10510" s="1"/>
      <c r="R10510" s="1"/>
      <c r="Z10510" s="103"/>
      <c r="AA10510" s="103"/>
      <c r="AB10510" s="1"/>
    </row>
    <row r="10511" spans="15:28">
      <c r="O10511" s="1"/>
      <c r="P10511" s="1"/>
      <c r="Q10511" s="1"/>
      <c r="R10511" s="1"/>
      <c r="Z10511" s="103"/>
      <c r="AA10511" s="103"/>
      <c r="AB10511" s="1"/>
    </row>
    <row r="10512" spans="15:28">
      <c r="O10512" s="1"/>
      <c r="P10512" s="1"/>
      <c r="Q10512" s="1"/>
      <c r="R10512" s="1"/>
      <c r="Z10512" s="103"/>
      <c r="AA10512" s="103"/>
      <c r="AB10512" s="1"/>
    </row>
    <row r="10513" spans="15:28">
      <c r="O10513" s="1"/>
      <c r="P10513" s="1"/>
      <c r="Q10513" s="1"/>
      <c r="R10513" s="1"/>
      <c r="Z10513" s="103"/>
      <c r="AA10513" s="103"/>
      <c r="AB10513" s="1"/>
    </row>
    <row r="10514" spans="15:28">
      <c r="O10514" s="1"/>
      <c r="P10514" s="1"/>
      <c r="Q10514" s="1"/>
      <c r="R10514" s="1"/>
      <c r="Z10514" s="103"/>
      <c r="AA10514" s="103"/>
      <c r="AB10514" s="1"/>
    </row>
    <row r="10515" spans="15:28">
      <c r="O10515" s="1"/>
      <c r="P10515" s="1"/>
      <c r="Q10515" s="1"/>
      <c r="R10515" s="1"/>
      <c r="Z10515" s="103"/>
      <c r="AA10515" s="103"/>
      <c r="AB10515" s="1"/>
    </row>
    <row r="10516" spans="15:28">
      <c r="O10516" s="1"/>
      <c r="P10516" s="1"/>
      <c r="Q10516" s="1"/>
      <c r="R10516" s="1"/>
      <c r="Z10516" s="103"/>
      <c r="AA10516" s="103"/>
      <c r="AB10516" s="1"/>
    </row>
    <row r="10517" spans="15:28">
      <c r="O10517" s="1"/>
      <c r="P10517" s="1"/>
      <c r="Q10517" s="1"/>
      <c r="R10517" s="1"/>
      <c r="Z10517" s="103"/>
      <c r="AA10517" s="103"/>
      <c r="AB10517" s="1"/>
    </row>
    <row r="10518" spans="15:28">
      <c r="O10518" s="1"/>
      <c r="P10518" s="1"/>
      <c r="Q10518" s="1"/>
      <c r="R10518" s="1"/>
      <c r="Z10518" s="103"/>
      <c r="AA10518" s="103"/>
      <c r="AB10518" s="1"/>
    </row>
    <row r="10519" spans="15:28">
      <c r="O10519" s="1"/>
      <c r="P10519" s="1"/>
      <c r="Q10519" s="1"/>
      <c r="R10519" s="1"/>
      <c r="Z10519" s="103"/>
      <c r="AA10519" s="103"/>
      <c r="AB10519" s="1"/>
    </row>
    <row r="10520" spans="15:28">
      <c r="O10520" s="1"/>
      <c r="P10520" s="1"/>
      <c r="Q10520" s="1"/>
      <c r="R10520" s="1"/>
      <c r="Z10520" s="103"/>
      <c r="AA10520" s="103"/>
      <c r="AB10520" s="1"/>
    </row>
    <row r="10521" spans="15:28">
      <c r="O10521" s="1"/>
      <c r="P10521" s="1"/>
      <c r="Q10521" s="1"/>
      <c r="R10521" s="1"/>
      <c r="Z10521" s="103"/>
      <c r="AA10521" s="103"/>
      <c r="AB10521" s="1"/>
    </row>
    <row r="10522" spans="15:28">
      <c r="O10522" s="1"/>
      <c r="P10522" s="1"/>
      <c r="Q10522" s="1"/>
      <c r="R10522" s="1"/>
      <c r="Z10522" s="103"/>
      <c r="AA10522" s="103"/>
      <c r="AB10522" s="1"/>
    </row>
    <row r="10523" spans="15:28">
      <c r="O10523" s="1"/>
      <c r="P10523" s="1"/>
      <c r="Q10523" s="1"/>
      <c r="R10523" s="1"/>
      <c r="Z10523" s="103"/>
      <c r="AA10523" s="103"/>
      <c r="AB10523" s="1"/>
    </row>
    <row r="10524" spans="15:28">
      <c r="O10524" s="1"/>
      <c r="P10524" s="1"/>
      <c r="Q10524" s="1"/>
      <c r="R10524" s="1"/>
      <c r="Z10524" s="103"/>
      <c r="AA10524" s="103"/>
      <c r="AB10524" s="1"/>
    </row>
    <row r="10525" spans="15:28">
      <c r="O10525" s="1"/>
      <c r="P10525" s="1"/>
      <c r="Q10525" s="1"/>
      <c r="R10525" s="1"/>
      <c r="Z10525" s="103"/>
      <c r="AA10525" s="103"/>
      <c r="AB10525" s="1"/>
    </row>
    <row r="10526" spans="15:28">
      <c r="O10526" s="1"/>
      <c r="P10526" s="1"/>
      <c r="Q10526" s="1"/>
      <c r="R10526" s="1"/>
      <c r="Z10526" s="103"/>
      <c r="AA10526" s="103"/>
      <c r="AB10526" s="1"/>
    </row>
    <row r="10527" spans="15:28">
      <c r="O10527" s="1"/>
      <c r="P10527" s="1"/>
      <c r="Q10527" s="1"/>
      <c r="R10527" s="1"/>
      <c r="Z10527" s="103"/>
      <c r="AA10527" s="103"/>
      <c r="AB10527" s="1"/>
    </row>
    <row r="10528" spans="15:28">
      <c r="O10528" s="1"/>
      <c r="P10528" s="1"/>
      <c r="Q10528" s="1"/>
      <c r="R10528" s="1"/>
      <c r="Z10528" s="103"/>
      <c r="AA10528" s="103"/>
      <c r="AB10528" s="1"/>
    </row>
    <row r="10529" spans="15:28">
      <c r="O10529" s="1"/>
      <c r="P10529" s="1"/>
      <c r="Q10529" s="1"/>
      <c r="R10529" s="1"/>
      <c r="Z10529" s="103"/>
      <c r="AA10529" s="103"/>
      <c r="AB10529" s="1"/>
    </row>
    <row r="10530" spans="15:28">
      <c r="O10530" s="1"/>
      <c r="P10530" s="1"/>
      <c r="Q10530" s="1"/>
      <c r="R10530" s="1"/>
      <c r="Z10530" s="103"/>
      <c r="AA10530" s="103"/>
      <c r="AB10530" s="1"/>
    </row>
    <row r="10531" spans="15:28">
      <c r="O10531" s="1"/>
      <c r="P10531" s="1"/>
      <c r="Q10531" s="1"/>
      <c r="R10531" s="1"/>
      <c r="Z10531" s="103"/>
      <c r="AA10531" s="103"/>
      <c r="AB10531" s="1"/>
    </row>
    <row r="10532" spans="15:28">
      <c r="O10532" s="1"/>
      <c r="P10532" s="1"/>
      <c r="Q10532" s="1"/>
      <c r="R10532" s="1"/>
      <c r="Z10532" s="103"/>
      <c r="AA10532" s="103"/>
      <c r="AB10532" s="1"/>
    </row>
    <row r="10533" spans="15:28">
      <c r="O10533" s="1"/>
      <c r="P10533" s="1"/>
      <c r="Q10533" s="1"/>
      <c r="R10533" s="1"/>
      <c r="Z10533" s="103"/>
      <c r="AA10533" s="103"/>
      <c r="AB10533" s="1"/>
    </row>
    <row r="10534" spans="15:28">
      <c r="O10534" s="1"/>
      <c r="P10534" s="1"/>
      <c r="Q10534" s="1"/>
      <c r="R10534" s="1"/>
      <c r="Z10534" s="103"/>
      <c r="AA10534" s="103"/>
      <c r="AB10534" s="1"/>
    </row>
    <row r="10535" spans="15:28">
      <c r="O10535" s="1"/>
      <c r="P10535" s="1"/>
      <c r="Q10535" s="1"/>
      <c r="R10535" s="1"/>
      <c r="Z10535" s="103"/>
      <c r="AA10535" s="103"/>
      <c r="AB10535" s="1"/>
    </row>
    <row r="10536" spans="15:28">
      <c r="O10536" s="1"/>
      <c r="P10536" s="1"/>
      <c r="Q10536" s="1"/>
      <c r="R10536" s="1"/>
      <c r="Z10536" s="103"/>
      <c r="AA10536" s="103"/>
      <c r="AB10536" s="1"/>
    </row>
    <row r="10537" spans="15:28">
      <c r="O10537" s="1"/>
      <c r="P10537" s="1"/>
      <c r="Q10537" s="1"/>
      <c r="R10537" s="1"/>
      <c r="Z10537" s="103"/>
      <c r="AA10537" s="103"/>
      <c r="AB10537" s="1"/>
    </row>
    <row r="10538" spans="15:28">
      <c r="O10538" s="1"/>
      <c r="P10538" s="1"/>
      <c r="Q10538" s="1"/>
      <c r="R10538" s="1"/>
      <c r="Z10538" s="103"/>
      <c r="AA10538" s="103"/>
      <c r="AB10538" s="1"/>
    </row>
    <row r="10539" spans="15:28">
      <c r="O10539" s="1"/>
      <c r="P10539" s="1"/>
      <c r="Q10539" s="1"/>
      <c r="R10539" s="1"/>
      <c r="Z10539" s="103"/>
      <c r="AA10539" s="103"/>
      <c r="AB10539" s="1"/>
    </row>
    <row r="10540" spans="15:28">
      <c r="O10540" s="1"/>
      <c r="P10540" s="1"/>
      <c r="Q10540" s="1"/>
      <c r="R10540" s="1"/>
      <c r="Z10540" s="103"/>
      <c r="AA10540" s="103"/>
      <c r="AB10540" s="1"/>
    </row>
    <row r="10541" spans="15:28">
      <c r="O10541" s="1"/>
      <c r="P10541" s="1"/>
      <c r="Q10541" s="1"/>
      <c r="R10541" s="1"/>
      <c r="Z10541" s="103"/>
      <c r="AA10541" s="103"/>
      <c r="AB10541" s="1"/>
    </row>
    <row r="10542" spans="15:28">
      <c r="O10542" s="1"/>
      <c r="P10542" s="1"/>
      <c r="Q10542" s="1"/>
      <c r="R10542" s="1"/>
      <c r="Z10542" s="103"/>
      <c r="AA10542" s="103"/>
      <c r="AB10542" s="1"/>
    </row>
    <row r="10543" spans="15:28">
      <c r="O10543" s="1"/>
      <c r="P10543" s="1"/>
      <c r="Q10543" s="1"/>
      <c r="R10543" s="1"/>
      <c r="Z10543" s="103"/>
      <c r="AA10543" s="103"/>
      <c r="AB10543" s="1"/>
    </row>
    <row r="10544" spans="15:28">
      <c r="O10544" s="1"/>
      <c r="P10544" s="1"/>
      <c r="Q10544" s="1"/>
      <c r="R10544" s="1"/>
      <c r="Z10544" s="103"/>
      <c r="AA10544" s="103"/>
      <c r="AB10544" s="1"/>
    </row>
    <row r="10545" spans="15:28">
      <c r="O10545" s="1"/>
      <c r="P10545" s="1"/>
      <c r="Q10545" s="1"/>
      <c r="R10545" s="1"/>
      <c r="Z10545" s="103"/>
      <c r="AA10545" s="103"/>
      <c r="AB10545" s="1"/>
    </row>
    <row r="10546" spans="15:28">
      <c r="O10546" s="1"/>
      <c r="P10546" s="1"/>
      <c r="Q10546" s="1"/>
      <c r="R10546" s="1"/>
      <c r="Z10546" s="103"/>
      <c r="AA10546" s="103"/>
      <c r="AB10546" s="1"/>
    </row>
    <row r="10547" spans="15:28">
      <c r="O10547" s="1"/>
      <c r="P10547" s="1"/>
      <c r="Q10547" s="1"/>
      <c r="R10547" s="1"/>
      <c r="Z10547" s="103"/>
      <c r="AA10547" s="103"/>
      <c r="AB10547" s="1"/>
    </row>
    <row r="10548" spans="15:28">
      <c r="O10548" s="1"/>
      <c r="P10548" s="1"/>
      <c r="Q10548" s="1"/>
      <c r="R10548" s="1"/>
      <c r="Z10548" s="103"/>
      <c r="AA10548" s="103"/>
      <c r="AB10548" s="1"/>
    </row>
    <row r="10549" spans="15:28">
      <c r="O10549" s="1"/>
      <c r="P10549" s="1"/>
      <c r="Q10549" s="1"/>
      <c r="R10549" s="1"/>
      <c r="Z10549" s="103"/>
      <c r="AA10549" s="103"/>
      <c r="AB10549" s="1"/>
    </row>
    <row r="10550" spans="15:28">
      <c r="O10550" s="1"/>
      <c r="P10550" s="1"/>
      <c r="Q10550" s="1"/>
      <c r="R10550" s="1"/>
      <c r="Z10550" s="103"/>
      <c r="AA10550" s="103"/>
      <c r="AB10550" s="1"/>
    </row>
    <row r="10551" spans="15:28">
      <c r="O10551" s="1"/>
      <c r="P10551" s="1"/>
      <c r="Q10551" s="1"/>
      <c r="R10551" s="1"/>
      <c r="Z10551" s="103"/>
      <c r="AA10551" s="103"/>
      <c r="AB10551" s="1"/>
    </row>
    <row r="10552" spans="15:28">
      <c r="O10552" s="1"/>
      <c r="P10552" s="1"/>
      <c r="Q10552" s="1"/>
      <c r="R10552" s="1"/>
      <c r="Z10552" s="103"/>
      <c r="AA10552" s="103"/>
      <c r="AB10552" s="1"/>
    </row>
    <row r="10553" spans="15:28">
      <c r="O10553" s="1"/>
      <c r="P10553" s="1"/>
      <c r="Q10553" s="1"/>
      <c r="R10553" s="1"/>
      <c r="Z10553" s="103"/>
      <c r="AA10553" s="103"/>
      <c r="AB10553" s="1"/>
    </row>
    <row r="10554" spans="15:28">
      <c r="O10554" s="1"/>
      <c r="P10554" s="1"/>
      <c r="Q10554" s="1"/>
      <c r="R10554" s="1"/>
      <c r="Z10554" s="103"/>
      <c r="AA10554" s="103"/>
      <c r="AB10554" s="1"/>
    </row>
    <row r="10555" spans="15:28">
      <c r="O10555" s="1"/>
      <c r="P10555" s="1"/>
      <c r="Q10555" s="1"/>
      <c r="R10555" s="1"/>
      <c r="Z10555" s="103"/>
      <c r="AA10555" s="103"/>
      <c r="AB10555" s="1"/>
    </row>
    <row r="10556" spans="15:28">
      <c r="O10556" s="1"/>
      <c r="P10556" s="1"/>
      <c r="Q10556" s="1"/>
      <c r="R10556" s="1"/>
      <c r="Z10556" s="103"/>
      <c r="AA10556" s="103"/>
      <c r="AB10556" s="1"/>
    </row>
    <row r="10557" spans="15:28">
      <c r="O10557" s="1"/>
      <c r="P10557" s="1"/>
      <c r="Q10557" s="1"/>
      <c r="R10557" s="1"/>
      <c r="Z10557" s="103"/>
      <c r="AA10557" s="103"/>
      <c r="AB10557" s="1"/>
    </row>
    <row r="10558" spans="15:28">
      <c r="O10558" s="1"/>
      <c r="P10558" s="1"/>
      <c r="Q10558" s="1"/>
      <c r="R10558" s="1"/>
      <c r="Z10558" s="103"/>
      <c r="AA10558" s="103"/>
      <c r="AB10558" s="1"/>
    </row>
    <row r="10559" spans="15:28">
      <c r="O10559" s="1"/>
      <c r="P10559" s="1"/>
      <c r="Q10559" s="1"/>
      <c r="R10559" s="1"/>
      <c r="Z10559" s="103"/>
      <c r="AA10559" s="103"/>
      <c r="AB10559" s="1"/>
    </row>
    <row r="10560" spans="15:28">
      <c r="O10560" s="1"/>
      <c r="P10560" s="1"/>
      <c r="Q10560" s="1"/>
      <c r="R10560" s="1"/>
      <c r="Z10560" s="103"/>
      <c r="AA10560" s="103"/>
      <c r="AB10560" s="1"/>
    </row>
    <row r="10561" spans="15:28">
      <c r="O10561" s="1"/>
      <c r="P10561" s="1"/>
      <c r="Q10561" s="1"/>
      <c r="R10561" s="1"/>
      <c r="Z10561" s="103"/>
      <c r="AA10561" s="103"/>
      <c r="AB10561" s="1"/>
    </row>
    <row r="10562" spans="15:28">
      <c r="O10562" s="1"/>
      <c r="P10562" s="1"/>
      <c r="Q10562" s="1"/>
      <c r="R10562" s="1"/>
      <c r="Z10562" s="103"/>
      <c r="AA10562" s="103"/>
      <c r="AB10562" s="1"/>
    </row>
    <row r="10563" spans="15:28">
      <c r="O10563" s="1"/>
      <c r="P10563" s="1"/>
      <c r="Q10563" s="1"/>
      <c r="R10563" s="1"/>
      <c r="Z10563" s="103"/>
      <c r="AA10563" s="103"/>
      <c r="AB10563" s="1"/>
    </row>
    <row r="10564" spans="15:28">
      <c r="O10564" s="1"/>
      <c r="P10564" s="1"/>
      <c r="Q10564" s="1"/>
      <c r="R10564" s="1"/>
      <c r="Z10564" s="103"/>
      <c r="AA10564" s="103"/>
      <c r="AB10564" s="1"/>
    </row>
    <row r="10565" spans="15:28">
      <c r="O10565" s="1"/>
      <c r="P10565" s="1"/>
      <c r="Q10565" s="1"/>
      <c r="R10565" s="1"/>
      <c r="Z10565" s="103"/>
      <c r="AA10565" s="103"/>
      <c r="AB10565" s="1"/>
    </row>
    <row r="10566" spans="15:28">
      <c r="O10566" s="1"/>
      <c r="P10566" s="1"/>
      <c r="Q10566" s="1"/>
      <c r="R10566" s="1"/>
      <c r="Z10566" s="103"/>
      <c r="AA10566" s="103"/>
      <c r="AB10566" s="1"/>
    </row>
    <row r="10567" spans="15:28">
      <c r="O10567" s="1"/>
      <c r="P10567" s="1"/>
      <c r="Q10567" s="1"/>
      <c r="R10567" s="1"/>
      <c r="Z10567" s="103"/>
      <c r="AA10567" s="103"/>
      <c r="AB10567" s="1"/>
    </row>
    <row r="10568" spans="15:28">
      <c r="O10568" s="1"/>
      <c r="P10568" s="1"/>
      <c r="Q10568" s="1"/>
      <c r="R10568" s="1"/>
      <c r="Z10568" s="103"/>
      <c r="AA10568" s="103"/>
      <c r="AB10568" s="1"/>
    </row>
    <row r="10569" spans="15:28">
      <c r="O10569" s="1"/>
      <c r="P10569" s="1"/>
      <c r="Q10569" s="1"/>
      <c r="R10569" s="1"/>
      <c r="Z10569" s="103"/>
      <c r="AA10569" s="103"/>
      <c r="AB10569" s="1"/>
    </row>
    <row r="10570" spans="15:28">
      <c r="O10570" s="1"/>
      <c r="P10570" s="1"/>
      <c r="Q10570" s="1"/>
      <c r="R10570" s="1"/>
      <c r="Z10570" s="103"/>
      <c r="AA10570" s="103"/>
      <c r="AB10570" s="1"/>
    </row>
    <row r="10571" spans="15:28">
      <c r="O10571" s="1"/>
      <c r="P10571" s="1"/>
      <c r="Q10571" s="1"/>
      <c r="R10571" s="1"/>
      <c r="Z10571" s="103"/>
      <c r="AA10571" s="103"/>
      <c r="AB10571" s="1"/>
    </row>
    <row r="10572" spans="15:28">
      <c r="O10572" s="1"/>
      <c r="P10572" s="1"/>
      <c r="Q10572" s="1"/>
      <c r="R10572" s="1"/>
      <c r="Z10572" s="103"/>
      <c r="AA10572" s="103"/>
      <c r="AB10572" s="1"/>
    </row>
    <row r="10573" spans="15:28">
      <c r="O10573" s="1"/>
      <c r="P10573" s="1"/>
      <c r="Q10573" s="1"/>
      <c r="R10573" s="1"/>
      <c r="Z10573" s="103"/>
      <c r="AA10573" s="103"/>
      <c r="AB10573" s="1"/>
    </row>
    <row r="10574" spans="15:28">
      <c r="O10574" s="1"/>
      <c r="P10574" s="1"/>
      <c r="Q10574" s="1"/>
      <c r="R10574" s="1"/>
      <c r="Z10574" s="103"/>
      <c r="AA10574" s="103"/>
      <c r="AB10574" s="1"/>
    </row>
    <row r="10575" spans="15:28">
      <c r="O10575" s="1"/>
      <c r="P10575" s="1"/>
      <c r="Q10575" s="1"/>
      <c r="R10575" s="1"/>
      <c r="Z10575" s="103"/>
      <c r="AA10575" s="103"/>
      <c r="AB10575" s="1"/>
    </row>
    <row r="10576" spans="15:28">
      <c r="O10576" s="1"/>
      <c r="P10576" s="1"/>
      <c r="Q10576" s="1"/>
      <c r="R10576" s="1"/>
      <c r="Z10576" s="103"/>
      <c r="AA10576" s="103"/>
      <c r="AB10576" s="1"/>
    </row>
    <row r="10577" spans="15:28">
      <c r="O10577" s="1"/>
      <c r="P10577" s="1"/>
      <c r="Q10577" s="1"/>
      <c r="R10577" s="1"/>
      <c r="Z10577" s="103"/>
      <c r="AA10577" s="103"/>
      <c r="AB10577" s="1"/>
    </row>
    <row r="10578" spans="15:28">
      <c r="O10578" s="1"/>
      <c r="P10578" s="1"/>
      <c r="Q10578" s="1"/>
      <c r="R10578" s="1"/>
      <c r="Z10578" s="103"/>
      <c r="AA10578" s="103"/>
      <c r="AB10578" s="1"/>
    </row>
    <row r="10579" spans="15:28">
      <c r="O10579" s="1"/>
      <c r="P10579" s="1"/>
      <c r="Q10579" s="1"/>
      <c r="R10579" s="1"/>
      <c r="Z10579" s="103"/>
      <c r="AA10579" s="103"/>
      <c r="AB10579" s="1"/>
    </row>
    <row r="10580" spans="15:28">
      <c r="O10580" s="1"/>
      <c r="P10580" s="1"/>
      <c r="Q10580" s="1"/>
      <c r="R10580" s="1"/>
      <c r="Z10580" s="103"/>
      <c r="AA10580" s="103"/>
      <c r="AB10580" s="1"/>
    </row>
    <row r="10581" spans="15:28">
      <c r="O10581" s="1"/>
      <c r="P10581" s="1"/>
      <c r="Q10581" s="1"/>
      <c r="R10581" s="1"/>
      <c r="Z10581" s="103"/>
      <c r="AA10581" s="103"/>
      <c r="AB10581" s="1"/>
    </row>
    <row r="10582" spans="15:28">
      <c r="O10582" s="1"/>
      <c r="P10582" s="1"/>
      <c r="Q10582" s="1"/>
      <c r="R10582" s="1"/>
      <c r="Z10582" s="103"/>
      <c r="AA10582" s="103"/>
      <c r="AB10582" s="1"/>
    </row>
    <row r="10583" spans="15:28">
      <c r="O10583" s="1"/>
      <c r="P10583" s="1"/>
      <c r="Q10583" s="1"/>
      <c r="R10583" s="1"/>
      <c r="Z10583" s="103"/>
      <c r="AA10583" s="103"/>
      <c r="AB10583" s="1"/>
    </row>
    <row r="10584" spans="15:28">
      <c r="O10584" s="1"/>
      <c r="P10584" s="1"/>
      <c r="Q10584" s="1"/>
      <c r="R10584" s="1"/>
      <c r="Z10584" s="103"/>
      <c r="AA10584" s="103"/>
      <c r="AB10584" s="1"/>
    </row>
    <row r="10585" spans="15:28">
      <c r="O10585" s="1"/>
      <c r="P10585" s="1"/>
      <c r="Q10585" s="1"/>
      <c r="R10585" s="1"/>
      <c r="Z10585" s="103"/>
      <c r="AA10585" s="103"/>
      <c r="AB10585" s="1"/>
    </row>
    <row r="10586" spans="15:28">
      <c r="O10586" s="1"/>
      <c r="P10586" s="1"/>
      <c r="Q10586" s="1"/>
      <c r="R10586" s="1"/>
      <c r="Z10586" s="103"/>
      <c r="AA10586" s="103"/>
      <c r="AB10586" s="1"/>
    </row>
    <row r="10587" spans="15:28">
      <c r="O10587" s="1"/>
      <c r="P10587" s="1"/>
      <c r="Q10587" s="1"/>
      <c r="R10587" s="1"/>
      <c r="Z10587" s="103"/>
      <c r="AA10587" s="103"/>
      <c r="AB10587" s="1"/>
    </row>
    <row r="10588" spans="15:28">
      <c r="O10588" s="1"/>
      <c r="P10588" s="1"/>
      <c r="Q10588" s="1"/>
      <c r="R10588" s="1"/>
      <c r="Z10588" s="103"/>
      <c r="AA10588" s="103"/>
      <c r="AB10588" s="1"/>
    </row>
    <row r="10589" spans="15:28">
      <c r="O10589" s="1"/>
      <c r="P10589" s="1"/>
      <c r="Q10589" s="1"/>
      <c r="R10589" s="1"/>
      <c r="Z10589" s="103"/>
      <c r="AA10589" s="103"/>
      <c r="AB10589" s="1"/>
    </row>
    <row r="10590" spans="15:28">
      <c r="O10590" s="1"/>
      <c r="P10590" s="1"/>
      <c r="Q10590" s="1"/>
      <c r="R10590" s="1"/>
      <c r="Z10590" s="103"/>
      <c r="AA10590" s="103"/>
      <c r="AB10590" s="1"/>
    </row>
    <row r="10591" spans="15:28">
      <c r="O10591" s="1"/>
      <c r="P10591" s="1"/>
      <c r="Q10591" s="1"/>
      <c r="R10591" s="1"/>
      <c r="Z10591" s="103"/>
      <c r="AA10591" s="103"/>
      <c r="AB10591" s="1"/>
    </row>
    <row r="10592" spans="15:28">
      <c r="O10592" s="1"/>
      <c r="P10592" s="1"/>
      <c r="Q10592" s="1"/>
      <c r="R10592" s="1"/>
      <c r="Z10592" s="103"/>
      <c r="AA10592" s="103"/>
      <c r="AB10592" s="1"/>
    </row>
    <row r="10593" spans="15:28">
      <c r="O10593" s="1"/>
      <c r="P10593" s="1"/>
      <c r="Q10593" s="1"/>
      <c r="R10593" s="1"/>
      <c r="Z10593" s="103"/>
      <c r="AA10593" s="103"/>
      <c r="AB10593" s="1"/>
    </row>
    <row r="10594" spans="15:28">
      <c r="O10594" s="1"/>
      <c r="P10594" s="1"/>
      <c r="Q10594" s="1"/>
      <c r="R10594" s="1"/>
      <c r="Z10594" s="103"/>
      <c r="AA10594" s="103"/>
      <c r="AB10594" s="1"/>
    </row>
    <row r="10595" spans="15:28">
      <c r="O10595" s="1"/>
      <c r="P10595" s="1"/>
      <c r="Q10595" s="1"/>
      <c r="R10595" s="1"/>
      <c r="Z10595" s="103"/>
      <c r="AA10595" s="103"/>
      <c r="AB10595" s="1"/>
    </row>
    <row r="10596" spans="15:28">
      <c r="O10596" s="1"/>
      <c r="P10596" s="1"/>
      <c r="Q10596" s="1"/>
      <c r="R10596" s="1"/>
      <c r="Z10596" s="103"/>
      <c r="AA10596" s="103"/>
      <c r="AB10596" s="1"/>
    </row>
    <row r="10597" spans="15:28">
      <c r="O10597" s="1"/>
      <c r="P10597" s="1"/>
      <c r="Q10597" s="1"/>
      <c r="R10597" s="1"/>
      <c r="Z10597" s="103"/>
      <c r="AA10597" s="103"/>
      <c r="AB10597" s="1"/>
    </row>
    <row r="10598" spans="15:28">
      <c r="O10598" s="1"/>
      <c r="P10598" s="1"/>
      <c r="Q10598" s="1"/>
      <c r="R10598" s="1"/>
      <c r="Z10598" s="103"/>
      <c r="AA10598" s="103"/>
      <c r="AB10598" s="1"/>
    </row>
    <row r="10599" spans="15:28">
      <c r="O10599" s="1"/>
      <c r="P10599" s="1"/>
      <c r="Q10599" s="1"/>
      <c r="R10599" s="1"/>
      <c r="Z10599" s="103"/>
      <c r="AA10599" s="103"/>
      <c r="AB10599" s="1"/>
    </row>
    <row r="10600" spans="15:28">
      <c r="O10600" s="1"/>
      <c r="P10600" s="1"/>
      <c r="Q10600" s="1"/>
      <c r="R10600" s="1"/>
      <c r="Z10600" s="103"/>
      <c r="AA10600" s="103"/>
      <c r="AB10600" s="1"/>
    </row>
    <row r="10601" spans="15:28">
      <c r="O10601" s="1"/>
      <c r="P10601" s="1"/>
      <c r="Q10601" s="1"/>
      <c r="R10601" s="1"/>
      <c r="Z10601" s="103"/>
      <c r="AA10601" s="103"/>
      <c r="AB10601" s="1"/>
    </row>
    <row r="10602" spans="15:28">
      <c r="O10602" s="1"/>
      <c r="P10602" s="1"/>
      <c r="Q10602" s="1"/>
      <c r="R10602" s="1"/>
      <c r="Z10602" s="103"/>
      <c r="AA10602" s="103"/>
      <c r="AB10602" s="1"/>
    </row>
    <row r="10603" spans="15:28">
      <c r="O10603" s="1"/>
      <c r="P10603" s="1"/>
      <c r="Q10603" s="1"/>
      <c r="R10603" s="1"/>
      <c r="Z10603" s="103"/>
      <c r="AA10603" s="103"/>
      <c r="AB10603" s="1"/>
    </row>
    <row r="10604" spans="15:28">
      <c r="O10604" s="1"/>
      <c r="P10604" s="1"/>
      <c r="Q10604" s="1"/>
      <c r="R10604" s="1"/>
      <c r="Z10604" s="103"/>
      <c r="AA10604" s="103"/>
      <c r="AB10604" s="1"/>
    </row>
    <row r="10605" spans="15:28">
      <c r="O10605" s="1"/>
      <c r="P10605" s="1"/>
      <c r="Q10605" s="1"/>
      <c r="R10605" s="1"/>
      <c r="Z10605" s="103"/>
      <c r="AA10605" s="103"/>
      <c r="AB10605" s="1"/>
    </row>
    <row r="10606" spans="15:28">
      <c r="O10606" s="1"/>
      <c r="P10606" s="1"/>
      <c r="Q10606" s="1"/>
      <c r="R10606" s="1"/>
      <c r="Z10606" s="103"/>
      <c r="AA10606" s="103"/>
      <c r="AB10606" s="1"/>
    </row>
    <row r="10607" spans="15:28">
      <c r="O10607" s="1"/>
      <c r="P10607" s="1"/>
      <c r="Q10607" s="1"/>
      <c r="R10607" s="1"/>
      <c r="Z10607" s="103"/>
      <c r="AA10607" s="103"/>
      <c r="AB10607" s="1"/>
    </row>
    <row r="10608" spans="15:28">
      <c r="O10608" s="1"/>
      <c r="P10608" s="1"/>
      <c r="Q10608" s="1"/>
      <c r="R10608" s="1"/>
      <c r="Z10608" s="103"/>
      <c r="AA10608" s="103"/>
      <c r="AB10608" s="1"/>
    </row>
    <row r="10609" spans="15:28">
      <c r="O10609" s="1"/>
      <c r="P10609" s="1"/>
      <c r="Q10609" s="1"/>
      <c r="R10609" s="1"/>
      <c r="Z10609" s="103"/>
      <c r="AA10609" s="103"/>
      <c r="AB10609" s="1"/>
    </row>
    <row r="10610" spans="15:28">
      <c r="O10610" s="1"/>
      <c r="P10610" s="1"/>
      <c r="Q10610" s="1"/>
      <c r="R10610" s="1"/>
      <c r="Z10610" s="103"/>
      <c r="AA10610" s="103"/>
      <c r="AB10610" s="1"/>
    </row>
    <row r="10611" spans="15:28">
      <c r="O10611" s="1"/>
      <c r="P10611" s="1"/>
      <c r="Q10611" s="1"/>
      <c r="R10611" s="1"/>
      <c r="Z10611" s="103"/>
      <c r="AA10611" s="103"/>
      <c r="AB10611" s="1"/>
    </row>
    <row r="10612" spans="15:28">
      <c r="O10612" s="1"/>
      <c r="P10612" s="1"/>
      <c r="Q10612" s="1"/>
      <c r="R10612" s="1"/>
      <c r="Z10612" s="103"/>
      <c r="AA10612" s="103"/>
      <c r="AB10612" s="1"/>
    </row>
    <row r="10613" spans="15:28">
      <c r="O10613" s="1"/>
      <c r="P10613" s="1"/>
      <c r="Q10613" s="1"/>
      <c r="R10613" s="1"/>
      <c r="Z10613" s="103"/>
      <c r="AA10613" s="103"/>
      <c r="AB10613" s="1"/>
    </row>
    <row r="10614" spans="15:28">
      <c r="O10614" s="1"/>
      <c r="P10614" s="1"/>
      <c r="Q10614" s="1"/>
      <c r="R10614" s="1"/>
      <c r="Z10614" s="103"/>
      <c r="AA10614" s="103"/>
      <c r="AB10614" s="1"/>
    </row>
    <row r="10615" spans="15:28">
      <c r="O10615" s="1"/>
      <c r="P10615" s="1"/>
      <c r="Q10615" s="1"/>
      <c r="R10615" s="1"/>
      <c r="Z10615" s="103"/>
      <c r="AA10615" s="103"/>
      <c r="AB10615" s="1"/>
    </row>
    <row r="10616" spans="15:28">
      <c r="O10616" s="1"/>
      <c r="P10616" s="1"/>
      <c r="Q10616" s="1"/>
      <c r="R10616" s="1"/>
      <c r="Z10616" s="103"/>
      <c r="AA10616" s="103"/>
      <c r="AB10616" s="1"/>
    </row>
    <row r="10617" spans="15:28">
      <c r="O10617" s="1"/>
      <c r="P10617" s="1"/>
      <c r="Q10617" s="1"/>
      <c r="R10617" s="1"/>
      <c r="Z10617" s="103"/>
      <c r="AA10617" s="103"/>
      <c r="AB10617" s="1"/>
    </row>
    <row r="10618" spans="15:28">
      <c r="O10618" s="1"/>
      <c r="P10618" s="1"/>
      <c r="Q10618" s="1"/>
      <c r="R10618" s="1"/>
      <c r="Z10618" s="103"/>
      <c r="AA10618" s="103"/>
      <c r="AB10618" s="1"/>
    </row>
    <row r="10619" spans="15:28">
      <c r="O10619" s="1"/>
      <c r="P10619" s="1"/>
      <c r="Q10619" s="1"/>
      <c r="R10619" s="1"/>
      <c r="Z10619" s="103"/>
      <c r="AA10619" s="103"/>
      <c r="AB10619" s="1"/>
    </row>
    <row r="10620" spans="15:28">
      <c r="O10620" s="1"/>
      <c r="P10620" s="1"/>
      <c r="Q10620" s="1"/>
      <c r="R10620" s="1"/>
      <c r="Z10620" s="103"/>
      <c r="AA10620" s="103"/>
      <c r="AB10620" s="1"/>
    </row>
    <row r="10621" spans="15:28">
      <c r="O10621" s="1"/>
      <c r="P10621" s="1"/>
      <c r="Q10621" s="1"/>
      <c r="R10621" s="1"/>
      <c r="Z10621" s="103"/>
      <c r="AA10621" s="103"/>
      <c r="AB10621" s="1"/>
    </row>
    <row r="10622" spans="15:28">
      <c r="O10622" s="1"/>
      <c r="P10622" s="1"/>
      <c r="Q10622" s="1"/>
      <c r="R10622" s="1"/>
      <c r="Z10622" s="103"/>
      <c r="AA10622" s="103"/>
      <c r="AB10622" s="1"/>
    </row>
    <row r="10623" spans="15:28">
      <c r="O10623" s="1"/>
      <c r="P10623" s="1"/>
      <c r="Q10623" s="1"/>
      <c r="R10623" s="1"/>
      <c r="Z10623" s="103"/>
      <c r="AA10623" s="103"/>
      <c r="AB10623" s="1"/>
    </row>
    <row r="10624" spans="15:28">
      <c r="O10624" s="1"/>
      <c r="P10624" s="1"/>
      <c r="Q10624" s="1"/>
      <c r="R10624" s="1"/>
      <c r="Z10624" s="103"/>
      <c r="AA10624" s="103"/>
      <c r="AB10624" s="1"/>
    </row>
    <row r="10625" spans="15:28">
      <c r="O10625" s="1"/>
      <c r="P10625" s="1"/>
      <c r="Q10625" s="1"/>
      <c r="R10625" s="1"/>
      <c r="Z10625" s="103"/>
      <c r="AA10625" s="103"/>
      <c r="AB10625" s="1"/>
    </row>
    <row r="10626" spans="15:28">
      <c r="O10626" s="1"/>
      <c r="P10626" s="1"/>
      <c r="Q10626" s="1"/>
      <c r="R10626" s="1"/>
      <c r="Z10626" s="103"/>
      <c r="AA10626" s="103"/>
      <c r="AB10626" s="1"/>
    </row>
    <row r="10627" spans="15:28">
      <c r="O10627" s="1"/>
      <c r="P10627" s="1"/>
      <c r="Q10627" s="1"/>
      <c r="R10627" s="1"/>
      <c r="Z10627" s="103"/>
      <c r="AA10627" s="103"/>
      <c r="AB10627" s="1"/>
    </row>
    <row r="10628" spans="15:28">
      <c r="O10628" s="1"/>
      <c r="P10628" s="1"/>
      <c r="Q10628" s="1"/>
      <c r="R10628" s="1"/>
      <c r="Z10628" s="103"/>
      <c r="AA10628" s="103"/>
      <c r="AB10628" s="1"/>
    </row>
    <row r="10629" spans="15:28">
      <c r="O10629" s="1"/>
      <c r="P10629" s="1"/>
      <c r="Q10629" s="1"/>
      <c r="R10629" s="1"/>
      <c r="Z10629" s="103"/>
      <c r="AA10629" s="103"/>
      <c r="AB10629" s="1"/>
    </row>
    <row r="10630" spans="15:28">
      <c r="O10630" s="1"/>
      <c r="P10630" s="1"/>
      <c r="Q10630" s="1"/>
      <c r="R10630" s="1"/>
      <c r="Z10630" s="103"/>
      <c r="AA10630" s="103"/>
      <c r="AB10630" s="1"/>
    </row>
    <row r="10631" spans="15:28">
      <c r="O10631" s="1"/>
      <c r="P10631" s="1"/>
      <c r="Q10631" s="1"/>
      <c r="R10631" s="1"/>
      <c r="Z10631" s="103"/>
      <c r="AA10631" s="103"/>
      <c r="AB10631" s="1"/>
    </row>
    <row r="10632" spans="15:28">
      <c r="O10632" s="1"/>
      <c r="P10632" s="1"/>
      <c r="Q10632" s="1"/>
      <c r="R10632" s="1"/>
      <c r="Z10632" s="103"/>
      <c r="AA10632" s="103"/>
      <c r="AB10632" s="1"/>
    </row>
    <row r="10633" spans="15:28">
      <c r="O10633" s="1"/>
      <c r="P10633" s="1"/>
      <c r="Q10633" s="1"/>
      <c r="R10633" s="1"/>
      <c r="Z10633" s="103"/>
      <c r="AA10633" s="103"/>
      <c r="AB10633" s="1"/>
    </row>
    <row r="10634" spans="15:28">
      <c r="O10634" s="1"/>
      <c r="P10634" s="1"/>
      <c r="Q10634" s="1"/>
      <c r="R10634" s="1"/>
      <c r="Z10634" s="103"/>
      <c r="AA10634" s="103"/>
      <c r="AB10634" s="1"/>
    </row>
    <row r="10635" spans="15:28">
      <c r="O10635" s="1"/>
      <c r="P10635" s="1"/>
      <c r="Q10635" s="1"/>
      <c r="R10635" s="1"/>
      <c r="Z10635" s="103"/>
      <c r="AA10635" s="103"/>
      <c r="AB10635" s="1"/>
    </row>
    <row r="10636" spans="15:28">
      <c r="O10636" s="1"/>
      <c r="P10636" s="1"/>
      <c r="Q10636" s="1"/>
      <c r="R10636" s="1"/>
      <c r="Z10636" s="103"/>
      <c r="AA10636" s="103"/>
      <c r="AB10636" s="1"/>
    </row>
    <row r="10637" spans="15:28">
      <c r="O10637" s="1"/>
      <c r="P10637" s="1"/>
      <c r="Q10637" s="1"/>
      <c r="R10637" s="1"/>
      <c r="Z10637" s="103"/>
      <c r="AA10637" s="103"/>
      <c r="AB10637" s="1"/>
    </row>
    <row r="10638" spans="15:28">
      <c r="O10638" s="1"/>
      <c r="P10638" s="1"/>
      <c r="Q10638" s="1"/>
      <c r="R10638" s="1"/>
      <c r="Z10638" s="103"/>
      <c r="AA10638" s="103"/>
      <c r="AB10638" s="1"/>
    </row>
    <row r="10639" spans="15:28">
      <c r="O10639" s="1"/>
      <c r="P10639" s="1"/>
      <c r="Q10639" s="1"/>
      <c r="R10639" s="1"/>
      <c r="Z10639" s="103"/>
      <c r="AA10639" s="103"/>
      <c r="AB10639" s="1"/>
    </row>
    <row r="10640" spans="15:28">
      <c r="O10640" s="1"/>
      <c r="P10640" s="1"/>
      <c r="Q10640" s="1"/>
      <c r="R10640" s="1"/>
      <c r="Z10640" s="103"/>
      <c r="AA10640" s="103"/>
      <c r="AB10640" s="1"/>
    </row>
    <row r="10641" spans="15:28">
      <c r="O10641" s="1"/>
      <c r="P10641" s="1"/>
      <c r="Q10641" s="1"/>
      <c r="R10641" s="1"/>
      <c r="Z10641" s="103"/>
      <c r="AA10641" s="103"/>
      <c r="AB10641" s="1"/>
    </row>
    <row r="10642" spans="15:28">
      <c r="O10642" s="1"/>
      <c r="P10642" s="1"/>
      <c r="Q10642" s="1"/>
      <c r="R10642" s="1"/>
      <c r="Z10642" s="103"/>
      <c r="AA10642" s="103"/>
      <c r="AB10642" s="1"/>
    </row>
    <row r="10643" spans="15:28">
      <c r="O10643" s="1"/>
      <c r="P10643" s="1"/>
      <c r="Q10643" s="1"/>
      <c r="R10643" s="1"/>
      <c r="Z10643" s="103"/>
      <c r="AA10643" s="103"/>
      <c r="AB10643" s="1"/>
    </row>
    <row r="10644" spans="15:28">
      <c r="O10644" s="1"/>
      <c r="P10644" s="1"/>
      <c r="Q10644" s="1"/>
      <c r="R10644" s="1"/>
      <c r="Z10644" s="103"/>
      <c r="AA10644" s="103"/>
      <c r="AB10644" s="1"/>
    </row>
    <row r="10645" spans="15:28">
      <c r="O10645" s="1"/>
      <c r="P10645" s="1"/>
      <c r="Q10645" s="1"/>
      <c r="R10645" s="1"/>
      <c r="Z10645" s="103"/>
      <c r="AA10645" s="103"/>
      <c r="AB10645" s="1"/>
    </row>
    <row r="10646" spans="15:28">
      <c r="O10646" s="1"/>
      <c r="P10646" s="1"/>
      <c r="Q10646" s="1"/>
      <c r="R10646" s="1"/>
      <c r="Z10646" s="103"/>
      <c r="AA10646" s="103"/>
      <c r="AB10646" s="1"/>
    </row>
    <row r="10647" spans="15:28">
      <c r="O10647" s="1"/>
      <c r="P10647" s="1"/>
      <c r="Q10647" s="1"/>
      <c r="R10647" s="1"/>
      <c r="Z10647" s="103"/>
      <c r="AA10647" s="103"/>
      <c r="AB10647" s="1"/>
    </row>
    <row r="10648" spans="15:28">
      <c r="O10648" s="1"/>
      <c r="P10648" s="1"/>
      <c r="Q10648" s="1"/>
      <c r="R10648" s="1"/>
      <c r="Z10648" s="103"/>
      <c r="AA10648" s="103"/>
      <c r="AB10648" s="1"/>
    </row>
    <row r="10649" spans="15:28">
      <c r="O10649" s="1"/>
      <c r="P10649" s="1"/>
      <c r="Q10649" s="1"/>
      <c r="R10649" s="1"/>
      <c r="Z10649" s="103"/>
      <c r="AA10649" s="103"/>
      <c r="AB10649" s="1"/>
    </row>
    <row r="10650" spans="15:28">
      <c r="O10650" s="1"/>
      <c r="P10650" s="1"/>
      <c r="Q10650" s="1"/>
      <c r="R10650" s="1"/>
      <c r="Z10650" s="103"/>
      <c r="AA10650" s="103"/>
      <c r="AB10650" s="1"/>
    </row>
    <row r="10651" spans="15:28">
      <c r="O10651" s="1"/>
      <c r="P10651" s="1"/>
      <c r="Q10651" s="1"/>
      <c r="R10651" s="1"/>
      <c r="Z10651" s="103"/>
      <c r="AA10651" s="103"/>
      <c r="AB10651" s="1"/>
    </row>
    <row r="10652" spans="15:28">
      <c r="O10652" s="1"/>
      <c r="P10652" s="1"/>
      <c r="Q10652" s="1"/>
      <c r="R10652" s="1"/>
      <c r="Z10652" s="103"/>
      <c r="AA10652" s="103"/>
      <c r="AB10652" s="1"/>
    </row>
    <row r="10653" spans="15:28">
      <c r="O10653" s="1"/>
      <c r="P10653" s="1"/>
      <c r="Q10653" s="1"/>
      <c r="R10653" s="1"/>
      <c r="Z10653" s="103"/>
      <c r="AA10653" s="103"/>
      <c r="AB10653" s="1"/>
    </row>
    <row r="10654" spans="15:28">
      <c r="O10654" s="1"/>
      <c r="P10654" s="1"/>
      <c r="Q10654" s="1"/>
      <c r="R10654" s="1"/>
      <c r="Z10654" s="103"/>
      <c r="AA10654" s="103"/>
      <c r="AB10654" s="1"/>
    </row>
    <row r="10655" spans="15:28">
      <c r="O10655" s="1"/>
      <c r="P10655" s="1"/>
      <c r="Q10655" s="1"/>
      <c r="R10655" s="1"/>
      <c r="Z10655" s="103"/>
      <c r="AA10655" s="103"/>
      <c r="AB10655" s="1"/>
    </row>
    <row r="10656" spans="15:28">
      <c r="O10656" s="1"/>
      <c r="P10656" s="1"/>
      <c r="Q10656" s="1"/>
      <c r="R10656" s="1"/>
      <c r="Z10656" s="103"/>
      <c r="AA10656" s="103"/>
      <c r="AB10656" s="1"/>
    </row>
    <row r="10657" spans="15:28">
      <c r="O10657" s="1"/>
      <c r="P10657" s="1"/>
      <c r="Q10657" s="1"/>
      <c r="R10657" s="1"/>
      <c r="Z10657" s="103"/>
      <c r="AA10657" s="103"/>
      <c r="AB10657" s="1"/>
    </row>
    <row r="10658" spans="15:28">
      <c r="O10658" s="1"/>
      <c r="P10658" s="1"/>
      <c r="Q10658" s="1"/>
      <c r="R10658" s="1"/>
      <c r="Z10658" s="103"/>
      <c r="AA10658" s="103"/>
      <c r="AB10658" s="1"/>
    </row>
    <row r="10659" spans="15:28">
      <c r="O10659" s="1"/>
      <c r="P10659" s="1"/>
      <c r="Q10659" s="1"/>
      <c r="R10659" s="1"/>
      <c r="Z10659" s="103"/>
      <c r="AA10659" s="103"/>
      <c r="AB10659" s="1"/>
    </row>
    <row r="10660" spans="15:28">
      <c r="O10660" s="1"/>
      <c r="P10660" s="1"/>
      <c r="Q10660" s="1"/>
      <c r="R10660" s="1"/>
      <c r="Z10660" s="103"/>
      <c r="AA10660" s="103"/>
      <c r="AB10660" s="1"/>
    </row>
    <row r="10661" spans="15:28">
      <c r="O10661" s="1"/>
      <c r="P10661" s="1"/>
      <c r="Q10661" s="1"/>
      <c r="R10661" s="1"/>
      <c r="Z10661" s="103"/>
      <c r="AA10661" s="103"/>
      <c r="AB10661" s="1"/>
    </row>
    <row r="10662" spans="15:28">
      <c r="O10662" s="1"/>
      <c r="P10662" s="1"/>
      <c r="Q10662" s="1"/>
      <c r="R10662" s="1"/>
      <c r="Z10662" s="103"/>
      <c r="AA10662" s="103"/>
      <c r="AB10662" s="1"/>
    </row>
    <row r="10663" spans="15:28">
      <c r="O10663" s="1"/>
      <c r="P10663" s="1"/>
      <c r="Q10663" s="1"/>
      <c r="R10663" s="1"/>
      <c r="Z10663" s="103"/>
      <c r="AA10663" s="103"/>
      <c r="AB10663" s="1"/>
    </row>
    <row r="10664" spans="15:28">
      <c r="O10664" s="1"/>
      <c r="P10664" s="1"/>
      <c r="Q10664" s="1"/>
      <c r="R10664" s="1"/>
      <c r="Z10664" s="103"/>
      <c r="AA10664" s="103"/>
      <c r="AB10664" s="1"/>
    </row>
    <row r="10665" spans="15:28">
      <c r="O10665" s="1"/>
      <c r="P10665" s="1"/>
      <c r="Q10665" s="1"/>
      <c r="R10665" s="1"/>
      <c r="Z10665" s="103"/>
      <c r="AA10665" s="103"/>
      <c r="AB10665" s="1"/>
    </row>
    <row r="10666" spans="15:28">
      <c r="O10666" s="1"/>
      <c r="P10666" s="1"/>
      <c r="Q10666" s="1"/>
      <c r="R10666" s="1"/>
      <c r="Z10666" s="103"/>
      <c r="AA10666" s="103"/>
      <c r="AB10666" s="1"/>
    </row>
    <row r="10667" spans="15:28">
      <c r="O10667" s="1"/>
      <c r="P10667" s="1"/>
      <c r="Q10667" s="1"/>
      <c r="R10667" s="1"/>
      <c r="Z10667" s="103"/>
      <c r="AA10667" s="103"/>
      <c r="AB10667" s="1"/>
    </row>
    <row r="10668" spans="15:28">
      <c r="O10668" s="1"/>
      <c r="P10668" s="1"/>
      <c r="Q10668" s="1"/>
      <c r="R10668" s="1"/>
      <c r="Z10668" s="103"/>
      <c r="AA10668" s="103"/>
      <c r="AB10668" s="1"/>
    </row>
    <row r="10669" spans="15:28">
      <c r="O10669" s="1"/>
      <c r="P10669" s="1"/>
      <c r="Q10669" s="1"/>
      <c r="R10669" s="1"/>
      <c r="Z10669" s="103"/>
      <c r="AA10669" s="103"/>
      <c r="AB10669" s="1"/>
    </row>
    <row r="10670" spans="15:28">
      <c r="O10670" s="1"/>
      <c r="P10670" s="1"/>
      <c r="Q10670" s="1"/>
      <c r="R10670" s="1"/>
      <c r="Z10670" s="103"/>
      <c r="AA10670" s="103"/>
      <c r="AB10670" s="1"/>
    </row>
    <row r="10671" spans="15:28">
      <c r="O10671" s="1"/>
      <c r="P10671" s="1"/>
      <c r="Q10671" s="1"/>
      <c r="R10671" s="1"/>
      <c r="Z10671" s="103"/>
      <c r="AA10671" s="103"/>
      <c r="AB10671" s="1"/>
    </row>
    <row r="10672" spans="15:28">
      <c r="O10672" s="1"/>
      <c r="P10672" s="1"/>
      <c r="Q10672" s="1"/>
      <c r="R10672" s="1"/>
      <c r="Z10672" s="103"/>
      <c r="AA10672" s="103"/>
      <c r="AB10672" s="1"/>
    </row>
    <row r="10673" spans="15:28">
      <c r="O10673" s="1"/>
      <c r="P10673" s="1"/>
      <c r="Q10673" s="1"/>
      <c r="R10673" s="1"/>
      <c r="Z10673" s="103"/>
      <c r="AA10673" s="103"/>
      <c r="AB10673" s="1"/>
    </row>
    <row r="10674" spans="15:28">
      <c r="O10674" s="1"/>
      <c r="P10674" s="1"/>
      <c r="Q10674" s="1"/>
      <c r="R10674" s="1"/>
      <c r="Z10674" s="103"/>
      <c r="AA10674" s="103"/>
      <c r="AB10674" s="1"/>
    </row>
    <row r="10675" spans="15:28">
      <c r="O10675" s="1"/>
      <c r="P10675" s="1"/>
      <c r="Q10675" s="1"/>
      <c r="R10675" s="1"/>
      <c r="Z10675" s="103"/>
      <c r="AA10675" s="103"/>
      <c r="AB10675" s="1"/>
    </row>
    <row r="10676" spans="15:28">
      <c r="O10676" s="1"/>
      <c r="P10676" s="1"/>
      <c r="Q10676" s="1"/>
      <c r="R10676" s="1"/>
      <c r="Z10676" s="103"/>
      <c r="AA10676" s="103"/>
      <c r="AB10676" s="1"/>
    </row>
    <row r="10677" spans="15:28">
      <c r="O10677" s="1"/>
      <c r="P10677" s="1"/>
      <c r="Q10677" s="1"/>
      <c r="R10677" s="1"/>
      <c r="Z10677" s="103"/>
      <c r="AA10677" s="103"/>
      <c r="AB10677" s="1"/>
    </row>
    <row r="10678" spans="15:28">
      <c r="O10678" s="1"/>
      <c r="P10678" s="1"/>
      <c r="Q10678" s="1"/>
      <c r="R10678" s="1"/>
      <c r="Z10678" s="103"/>
      <c r="AA10678" s="103"/>
      <c r="AB10678" s="1"/>
    </row>
    <row r="10679" spans="15:28">
      <c r="O10679" s="1"/>
      <c r="P10679" s="1"/>
      <c r="Q10679" s="1"/>
      <c r="R10679" s="1"/>
      <c r="Z10679" s="103"/>
      <c r="AA10679" s="103"/>
      <c r="AB10679" s="1"/>
    </row>
    <row r="10680" spans="15:28">
      <c r="O10680" s="1"/>
      <c r="P10680" s="1"/>
      <c r="Q10680" s="1"/>
      <c r="R10680" s="1"/>
      <c r="Z10680" s="103"/>
      <c r="AA10680" s="103"/>
      <c r="AB10680" s="1"/>
    </row>
    <row r="10681" spans="15:28">
      <c r="O10681" s="1"/>
      <c r="P10681" s="1"/>
      <c r="Q10681" s="1"/>
      <c r="R10681" s="1"/>
      <c r="Z10681" s="103"/>
      <c r="AA10681" s="103"/>
      <c r="AB10681" s="1"/>
    </row>
    <row r="10682" spans="15:28">
      <c r="O10682" s="1"/>
      <c r="P10682" s="1"/>
      <c r="Q10682" s="1"/>
      <c r="R10682" s="1"/>
      <c r="Z10682" s="103"/>
      <c r="AA10682" s="103"/>
      <c r="AB10682" s="1"/>
    </row>
    <row r="10683" spans="15:28">
      <c r="O10683" s="1"/>
      <c r="P10683" s="1"/>
      <c r="Q10683" s="1"/>
      <c r="R10683" s="1"/>
      <c r="Z10683" s="103"/>
      <c r="AA10683" s="103"/>
      <c r="AB10683" s="1"/>
    </row>
    <row r="10684" spans="15:28">
      <c r="O10684" s="1"/>
      <c r="P10684" s="1"/>
      <c r="Q10684" s="1"/>
      <c r="R10684" s="1"/>
      <c r="Z10684" s="103"/>
      <c r="AA10684" s="103"/>
      <c r="AB10684" s="1"/>
    </row>
    <row r="10685" spans="15:28">
      <c r="O10685" s="1"/>
      <c r="P10685" s="1"/>
      <c r="Q10685" s="1"/>
      <c r="R10685" s="1"/>
      <c r="Z10685" s="103"/>
      <c r="AA10685" s="103"/>
      <c r="AB10685" s="1"/>
    </row>
    <row r="10686" spans="15:28">
      <c r="O10686" s="1"/>
      <c r="P10686" s="1"/>
      <c r="Q10686" s="1"/>
      <c r="R10686" s="1"/>
      <c r="Z10686" s="103"/>
      <c r="AA10686" s="103"/>
      <c r="AB10686" s="1"/>
    </row>
    <row r="10687" spans="15:28">
      <c r="O10687" s="1"/>
      <c r="P10687" s="1"/>
      <c r="Q10687" s="1"/>
      <c r="R10687" s="1"/>
      <c r="Z10687" s="103"/>
      <c r="AA10687" s="103"/>
      <c r="AB10687" s="1"/>
    </row>
    <row r="10688" spans="15:28">
      <c r="O10688" s="1"/>
      <c r="P10688" s="1"/>
      <c r="Q10688" s="1"/>
      <c r="R10688" s="1"/>
      <c r="Z10688" s="103"/>
      <c r="AA10688" s="103"/>
      <c r="AB10688" s="1"/>
    </row>
    <row r="10689" spans="15:28">
      <c r="O10689" s="1"/>
      <c r="P10689" s="1"/>
      <c r="Q10689" s="1"/>
      <c r="R10689" s="1"/>
      <c r="Z10689" s="103"/>
      <c r="AA10689" s="103"/>
      <c r="AB10689" s="1"/>
    </row>
    <row r="10690" spans="15:28">
      <c r="O10690" s="1"/>
      <c r="P10690" s="1"/>
      <c r="Q10690" s="1"/>
      <c r="R10690" s="1"/>
      <c r="Z10690" s="103"/>
      <c r="AA10690" s="103"/>
      <c r="AB10690" s="1"/>
    </row>
    <row r="10691" spans="15:28">
      <c r="O10691" s="1"/>
      <c r="P10691" s="1"/>
      <c r="Q10691" s="1"/>
      <c r="R10691" s="1"/>
      <c r="Z10691" s="103"/>
      <c r="AA10691" s="103"/>
      <c r="AB10691" s="1"/>
    </row>
    <row r="10692" spans="15:28">
      <c r="O10692" s="1"/>
      <c r="P10692" s="1"/>
      <c r="Q10692" s="1"/>
      <c r="R10692" s="1"/>
      <c r="Z10692" s="103"/>
      <c r="AA10692" s="103"/>
      <c r="AB10692" s="1"/>
    </row>
    <row r="10693" spans="15:28">
      <c r="O10693" s="1"/>
      <c r="P10693" s="1"/>
      <c r="Q10693" s="1"/>
      <c r="R10693" s="1"/>
      <c r="Z10693" s="103"/>
      <c r="AA10693" s="103"/>
      <c r="AB10693" s="1"/>
    </row>
    <row r="10694" spans="15:28">
      <c r="O10694" s="1"/>
      <c r="P10694" s="1"/>
      <c r="Q10694" s="1"/>
      <c r="R10694" s="1"/>
      <c r="Z10694" s="103"/>
      <c r="AA10694" s="103"/>
      <c r="AB10694" s="1"/>
    </row>
    <row r="10695" spans="15:28">
      <c r="O10695" s="1"/>
      <c r="P10695" s="1"/>
      <c r="Q10695" s="1"/>
      <c r="R10695" s="1"/>
      <c r="Z10695" s="103"/>
      <c r="AA10695" s="103"/>
      <c r="AB10695" s="1"/>
    </row>
    <row r="10696" spans="15:28">
      <c r="O10696" s="1"/>
      <c r="P10696" s="1"/>
      <c r="Q10696" s="1"/>
      <c r="R10696" s="1"/>
      <c r="Z10696" s="103"/>
      <c r="AA10696" s="103"/>
      <c r="AB10696" s="1"/>
    </row>
    <row r="10697" spans="15:28">
      <c r="O10697" s="1"/>
      <c r="P10697" s="1"/>
      <c r="Q10697" s="1"/>
      <c r="R10697" s="1"/>
      <c r="Z10697" s="103"/>
      <c r="AA10697" s="103"/>
      <c r="AB10697" s="1"/>
    </row>
    <row r="10698" spans="15:28">
      <c r="O10698" s="1"/>
      <c r="P10698" s="1"/>
      <c r="Q10698" s="1"/>
      <c r="R10698" s="1"/>
      <c r="Z10698" s="103"/>
      <c r="AA10698" s="103"/>
      <c r="AB10698" s="1"/>
    </row>
    <row r="10699" spans="15:28">
      <c r="O10699" s="1"/>
      <c r="P10699" s="1"/>
      <c r="Q10699" s="1"/>
      <c r="R10699" s="1"/>
      <c r="Z10699" s="103"/>
      <c r="AA10699" s="103"/>
      <c r="AB10699" s="1"/>
    </row>
    <row r="10700" spans="15:28">
      <c r="O10700" s="1"/>
      <c r="P10700" s="1"/>
      <c r="Q10700" s="1"/>
      <c r="R10700" s="1"/>
      <c r="Z10700" s="103"/>
      <c r="AA10700" s="103"/>
      <c r="AB10700" s="1"/>
    </row>
    <row r="10701" spans="15:28">
      <c r="O10701" s="1"/>
      <c r="P10701" s="1"/>
      <c r="Q10701" s="1"/>
      <c r="R10701" s="1"/>
      <c r="Z10701" s="103"/>
      <c r="AA10701" s="103"/>
      <c r="AB10701" s="1"/>
    </row>
    <row r="10702" spans="15:28">
      <c r="O10702" s="1"/>
      <c r="P10702" s="1"/>
      <c r="Q10702" s="1"/>
      <c r="R10702" s="1"/>
      <c r="Z10702" s="103"/>
      <c r="AA10702" s="103"/>
      <c r="AB10702" s="1"/>
    </row>
    <row r="10703" spans="15:28">
      <c r="O10703" s="1"/>
      <c r="P10703" s="1"/>
      <c r="Q10703" s="1"/>
      <c r="R10703" s="1"/>
      <c r="Z10703" s="103"/>
      <c r="AA10703" s="103"/>
      <c r="AB10703" s="1"/>
    </row>
    <row r="10704" spans="15:28">
      <c r="O10704" s="1"/>
      <c r="P10704" s="1"/>
      <c r="Q10704" s="1"/>
      <c r="R10704" s="1"/>
      <c r="Z10704" s="103"/>
      <c r="AA10704" s="103"/>
      <c r="AB10704" s="1"/>
    </row>
    <row r="10705" spans="15:28">
      <c r="O10705" s="1"/>
      <c r="P10705" s="1"/>
      <c r="Q10705" s="1"/>
      <c r="R10705" s="1"/>
      <c r="Z10705" s="103"/>
      <c r="AA10705" s="103"/>
      <c r="AB10705" s="1"/>
    </row>
    <row r="10706" spans="15:28">
      <c r="O10706" s="1"/>
      <c r="P10706" s="1"/>
      <c r="Q10706" s="1"/>
      <c r="R10706" s="1"/>
      <c r="Z10706" s="103"/>
      <c r="AA10706" s="103"/>
      <c r="AB10706" s="1"/>
    </row>
    <row r="10707" spans="15:28">
      <c r="O10707" s="1"/>
      <c r="P10707" s="1"/>
      <c r="Q10707" s="1"/>
      <c r="R10707" s="1"/>
      <c r="Z10707" s="103"/>
      <c r="AA10707" s="103"/>
      <c r="AB10707" s="1"/>
    </row>
    <row r="10708" spans="15:28">
      <c r="O10708" s="1"/>
      <c r="P10708" s="1"/>
      <c r="Q10708" s="1"/>
      <c r="R10708" s="1"/>
      <c r="Z10708" s="103"/>
      <c r="AA10708" s="103"/>
      <c r="AB10708" s="1"/>
    </row>
    <row r="10709" spans="15:28">
      <c r="O10709" s="1"/>
      <c r="P10709" s="1"/>
      <c r="Q10709" s="1"/>
      <c r="R10709" s="1"/>
      <c r="Z10709" s="103"/>
      <c r="AA10709" s="103"/>
      <c r="AB10709" s="1"/>
    </row>
    <row r="10710" spans="15:28">
      <c r="O10710" s="1"/>
      <c r="P10710" s="1"/>
      <c r="Q10710" s="1"/>
      <c r="R10710" s="1"/>
      <c r="Z10710" s="103"/>
      <c r="AA10710" s="103"/>
      <c r="AB10710" s="1"/>
    </row>
    <row r="10711" spans="15:28">
      <c r="O10711" s="1"/>
      <c r="P10711" s="1"/>
      <c r="Q10711" s="1"/>
      <c r="R10711" s="1"/>
      <c r="Z10711" s="103"/>
      <c r="AA10711" s="103"/>
      <c r="AB10711" s="1"/>
    </row>
    <row r="10712" spans="15:28">
      <c r="O10712" s="1"/>
      <c r="P10712" s="1"/>
      <c r="Q10712" s="1"/>
      <c r="R10712" s="1"/>
      <c r="Z10712" s="103"/>
      <c r="AA10712" s="103"/>
      <c r="AB10712" s="1"/>
    </row>
    <row r="10713" spans="15:28">
      <c r="O10713" s="1"/>
      <c r="P10713" s="1"/>
      <c r="Q10713" s="1"/>
      <c r="R10713" s="1"/>
      <c r="Z10713" s="103"/>
      <c r="AA10713" s="103"/>
      <c r="AB10713" s="1"/>
    </row>
    <row r="10714" spans="15:28">
      <c r="O10714" s="1"/>
      <c r="P10714" s="1"/>
      <c r="Q10714" s="1"/>
      <c r="R10714" s="1"/>
      <c r="Z10714" s="103"/>
      <c r="AA10714" s="103"/>
      <c r="AB10714" s="1"/>
    </row>
    <row r="10715" spans="15:28">
      <c r="O10715" s="1"/>
      <c r="P10715" s="1"/>
      <c r="Q10715" s="1"/>
      <c r="R10715" s="1"/>
      <c r="Z10715" s="103"/>
      <c r="AA10715" s="103"/>
      <c r="AB10715" s="1"/>
    </row>
    <row r="10716" spans="15:28">
      <c r="O10716" s="1"/>
      <c r="P10716" s="1"/>
      <c r="Q10716" s="1"/>
      <c r="R10716" s="1"/>
      <c r="Z10716" s="103"/>
      <c r="AA10716" s="103"/>
      <c r="AB10716" s="1"/>
    </row>
    <row r="10717" spans="15:28">
      <c r="O10717" s="1"/>
      <c r="P10717" s="1"/>
      <c r="Q10717" s="1"/>
      <c r="R10717" s="1"/>
      <c r="Z10717" s="103"/>
      <c r="AA10717" s="103"/>
      <c r="AB10717" s="1"/>
    </row>
    <row r="10718" spans="15:28">
      <c r="O10718" s="1"/>
      <c r="P10718" s="1"/>
      <c r="Q10718" s="1"/>
      <c r="R10718" s="1"/>
      <c r="Z10718" s="103"/>
      <c r="AA10718" s="103"/>
      <c r="AB10718" s="1"/>
    </row>
    <row r="10719" spans="15:28">
      <c r="O10719" s="1"/>
      <c r="P10719" s="1"/>
      <c r="Q10719" s="1"/>
      <c r="R10719" s="1"/>
      <c r="Z10719" s="103"/>
      <c r="AA10719" s="103"/>
      <c r="AB10719" s="1"/>
    </row>
    <row r="10720" spans="15:28">
      <c r="O10720" s="1"/>
      <c r="P10720" s="1"/>
      <c r="Q10720" s="1"/>
      <c r="R10720" s="1"/>
      <c r="Z10720" s="103"/>
      <c r="AA10720" s="103"/>
      <c r="AB10720" s="1"/>
    </row>
    <row r="10721" spans="15:28">
      <c r="O10721" s="1"/>
      <c r="P10721" s="1"/>
      <c r="Q10721" s="1"/>
      <c r="R10721" s="1"/>
      <c r="Z10721" s="103"/>
      <c r="AA10721" s="103"/>
      <c r="AB10721" s="1"/>
    </row>
    <row r="10722" spans="15:28">
      <c r="O10722" s="1"/>
      <c r="P10722" s="1"/>
      <c r="Q10722" s="1"/>
      <c r="R10722" s="1"/>
      <c r="Z10722" s="103"/>
      <c r="AA10722" s="103"/>
      <c r="AB10722" s="1"/>
    </row>
    <row r="10723" spans="15:28">
      <c r="O10723" s="1"/>
      <c r="P10723" s="1"/>
      <c r="Q10723" s="1"/>
      <c r="R10723" s="1"/>
      <c r="Z10723" s="103"/>
      <c r="AA10723" s="103"/>
      <c r="AB10723" s="1"/>
    </row>
    <row r="10724" spans="15:28">
      <c r="O10724" s="1"/>
      <c r="P10724" s="1"/>
      <c r="Q10724" s="1"/>
      <c r="R10724" s="1"/>
      <c r="Z10724" s="103"/>
      <c r="AA10724" s="103"/>
      <c r="AB10724" s="1"/>
    </row>
    <row r="10725" spans="15:28">
      <c r="O10725" s="1"/>
      <c r="P10725" s="1"/>
      <c r="Q10725" s="1"/>
      <c r="R10725" s="1"/>
      <c r="Z10725" s="103"/>
      <c r="AA10725" s="103"/>
      <c r="AB10725" s="1"/>
    </row>
    <row r="10726" spans="15:28">
      <c r="O10726" s="1"/>
      <c r="P10726" s="1"/>
      <c r="Q10726" s="1"/>
      <c r="R10726" s="1"/>
      <c r="Z10726" s="103"/>
      <c r="AA10726" s="103"/>
      <c r="AB10726" s="1"/>
    </row>
    <row r="10727" spans="15:28">
      <c r="O10727" s="1"/>
      <c r="P10727" s="1"/>
      <c r="Q10727" s="1"/>
      <c r="R10727" s="1"/>
      <c r="Z10727" s="103"/>
      <c r="AA10727" s="103"/>
      <c r="AB10727" s="1"/>
    </row>
    <row r="10728" spans="15:28">
      <c r="O10728" s="1"/>
      <c r="P10728" s="1"/>
      <c r="Q10728" s="1"/>
      <c r="R10728" s="1"/>
      <c r="Z10728" s="103"/>
      <c r="AA10728" s="103"/>
      <c r="AB10728" s="1"/>
    </row>
    <row r="10729" spans="15:28">
      <c r="O10729" s="1"/>
      <c r="P10729" s="1"/>
      <c r="Q10729" s="1"/>
      <c r="R10729" s="1"/>
      <c r="Z10729" s="103"/>
      <c r="AA10729" s="103"/>
      <c r="AB10729" s="1"/>
    </row>
    <row r="10730" spans="15:28">
      <c r="O10730" s="1"/>
      <c r="P10730" s="1"/>
      <c r="Q10730" s="1"/>
      <c r="R10730" s="1"/>
      <c r="Z10730" s="103"/>
      <c r="AA10730" s="103"/>
      <c r="AB10730" s="1"/>
    </row>
    <row r="10731" spans="15:28">
      <c r="O10731" s="1"/>
      <c r="P10731" s="1"/>
      <c r="Q10731" s="1"/>
      <c r="R10731" s="1"/>
      <c r="Z10731" s="103"/>
      <c r="AA10731" s="103"/>
      <c r="AB10731" s="1"/>
    </row>
    <row r="10732" spans="15:28">
      <c r="O10732" s="1"/>
      <c r="P10732" s="1"/>
      <c r="Q10732" s="1"/>
      <c r="R10732" s="1"/>
      <c r="Z10732" s="103"/>
      <c r="AA10732" s="103"/>
      <c r="AB10732" s="1"/>
    </row>
    <row r="10733" spans="15:28">
      <c r="O10733" s="1"/>
      <c r="P10733" s="1"/>
      <c r="Q10733" s="1"/>
      <c r="R10733" s="1"/>
      <c r="Z10733" s="103"/>
      <c r="AA10733" s="103"/>
      <c r="AB10733" s="1"/>
    </row>
    <row r="10734" spans="15:28">
      <c r="O10734" s="1"/>
      <c r="P10734" s="1"/>
      <c r="Q10734" s="1"/>
      <c r="R10734" s="1"/>
      <c r="Z10734" s="103"/>
      <c r="AA10734" s="103"/>
      <c r="AB10734" s="1"/>
    </row>
    <row r="10735" spans="15:28">
      <c r="O10735" s="1"/>
      <c r="P10735" s="1"/>
      <c r="Q10735" s="1"/>
      <c r="R10735" s="1"/>
      <c r="Z10735" s="103"/>
      <c r="AA10735" s="103"/>
      <c r="AB10735" s="1"/>
    </row>
    <row r="10736" spans="15:28">
      <c r="O10736" s="1"/>
      <c r="P10736" s="1"/>
      <c r="Q10736" s="1"/>
      <c r="R10736" s="1"/>
      <c r="Z10736" s="103"/>
      <c r="AA10736" s="103"/>
      <c r="AB10736" s="1"/>
    </row>
    <row r="10737" spans="15:28">
      <c r="O10737" s="1"/>
      <c r="P10737" s="1"/>
      <c r="Q10737" s="1"/>
      <c r="R10737" s="1"/>
      <c r="Z10737" s="103"/>
      <c r="AA10737" s="103"/>
      <c r="AB10737" s="1"/>
    </row>
    <row r="10738" spans="15:28">
      <c r="O10738" s="1"/>
      <c r="P10738" s="1"/>
      <c r="Q10738" s="1"/>
      <c r="R10738" s="1"/>
      <c r="Z10738" s="103"/>
      <c r="AA10738" s="103"/>
      <c r="AB10738" s="1"/>
    </row>
    <row r="10739" spans="15:28">
      <c r="O10739" s="1"/>
      <c r="P10739" s="1"/>
      <c r="Q10739" s="1"/>
      <c r="R10739" s="1"/>
      <c r="Z10739" s="103"/>
      <c r="AA10739" s="103"/>
      <c r="AB10739" s="1"/>
    </row>
    <row r="10740" spans="15:28">
      <c r="O10740" s="1"/>
      <c r="P10740" s="1"/>
      <c r="Q10740" s="1"/>
      <c r="R10740" s="1"/>
      <c r="Z10740" s="103"/>
      <c r="AA10740" s="103"/>
      <c r="AB10740" s="1"/>
    </row>
    <row r="10741" spans="15:28">
      <c r="O10741" s="1"/>
      <c r="P10741" s="1"/>
      <c r="Q10741" s="1"/>
      <c r="R10741" s="1"/>
      <c r="Z10741" s="103"/>
      <c r="AA10741" s="103"/>
      <c r="AB10741" s="1"/>
    </row>
    <row r="10742" spans="15:28">
      <c r="O10742" s="1"/>
      <c r="P10742" s="1"/>
      <c r="Q10742" s="1"/>
      <c r="R10742" s="1"/>
      <c r="Z10742" s="103"/>
      <c r="AA10742" s="103"/>
      <c r="AB10742" s="1"/>
    </row>
    <row r="10743" spans="15:28">
      <c r="O10743" s="1"/>
      <c r="P10743" s="1"/>
      <c r="Q10743" s="1"/>
      <c r="R10743" s="1"/>
      <c r="Z10743" s="103"/>
      <c r="AA10743" s="103"/>
      <c r="AB10743" s="1"/>
    </row>
    <row r="10744" spans="15:28">
      <c r="O10744" s="1"/>
      <c r="P10744" s="1"/>
      <c r="Q10744" s="1"/>
      <c r="R10744" s="1"/>
      <c r="Z10744" s="103"/>
      <c r="AA10744" s="103"/>
      <c r="AB10744" s="1"/>
    </row>
    <row r="10745" spans="15:28">
      <c r="O10745" s="1"/>
      <c r="P10745" s="1"/>
      <c r="Q10745" s="1"/>
      <c r="R10745" s="1"/>
      <c r="Z10745" s="103"/>
      <c r="AA10745" s="103"/>
      <c r="AB10745" s="1"/>
    </row>
    <row r="10746" spans="15:28">
      <c r="O10746" s="1"/>
      <c r="P10746" s="1"/>
      <c r="Q10746" s="1"/>
      <c r="R10746" s="1"/>
      <c r="Z10746" s="103"/>
      <c r="AA10746" s="103"/>
      <c r="AB10746" s="1"/>
    </row>
    <row r="10747" spans="15:28">
      <c r="O10747" s="1"/>
      <c r="P10747" s="1"/>
      <c r="Q10747" s="1"/>
      <c r="R10747" s="1"/>
      <c r="Z10747" s="103"/>
      <c r="AA10747" s="103"/>
      <c r="AB10747" s="1"/>
    </row>
    <row r="10748" spans="15:28">
      <c r="O10748" s="1"/>
      <c r="P10748" s="1"/>
      <c r="Q10748" s="1"/>
      <c r="R10748" s="1"/>
      <c r="Z10748" s="103"/>
      <c r="AA10748" s="103"/>
      <c r="AB10748" s="1"/>
    </row>
    <row r="10749" spans="15:28">
      <c r="O10749" s="1"/>
      <c r="P10749" s="1"/>
      <c r="Q10749" s="1"/>
      <c r="R10749" s="1"/>
      <c r="Z10749" s="103"/>
      <c r="AA10749" s="103"/>
      <c r="AB10749" s="1"/>
    </row>
    <row r="10750" spans="15:28">
      <c r="O10750" s="1"/>
      <c r="P10750" s="1"/>
      <c r="Q10750" s="1"/>
      <c r="R10750" s="1"/>
      <c r="Z10750" s="103"/>
      <c r="AA10750" s="103"/>
      <c r="AB10750" s="1"/>
    </row>
    <row r="10751" spans="15:28">
      <c r="O10751" s="1"/>
      <c r="P10751" s="1"/>
      <c r="Q10751" s="1"/>
      <c r="R10751" s="1"/>
      <c r="Z10751" s="103"/>
      <c r="AA10751" s="103"/>
      <c r="AB10751" s="1"/>
    </row>
    <row r="10752" spans="15:28">
      <c r="O10752" s="1"/>
      <c r="P10752" s="1"/>
      <c r="Q10752" s="1"/>
      <c r="R10752" s="1"/>
      <c r="Z10752" s="103"/>
      <c r="AA10752" s="103"/>
      <c r="AB10752" s="1"/>
    </row>
    <row r="10753" spans="15:28">
      <c r="O10753" s="1"/>
      <c r="P10753" s="1"/>
      <c r="Q10753" s="1"/>
      <c r="R10753" s="1"/>
      <c r="Z10753" s="103"/>
      <c r="AA10753" s="103"/>
      <c r="AB10753" s="1"/>
    </row>
    <row r="10754" spans="15:28">
      <c r="O10754" s="1"/>
      <c r="P10754" s="1"/>
      <c r="Q10754" s="1"/>
      <c r="R10754" s="1"/>
      <c r="Z10754" s="103"/>
      <c r="AA10754" s="103"/>
      <c r="AB10754" s="1"/>
    </row>
    <row r="10755" spans="15:28">
      <c r="O10755" s="1"/>
      <c r="P10755" s="1"/>
      <c r="Q10755" s="1"/>
      <c r="R10755" s="1"/>
      <c r="Z10755" s="103"/>
      <c r="AA10755" s="103"/>
      <c r="AB10755" s="1"/>
    </row>
    <row r="10756" spans="15:28">
      <c r="O10756" s="1"/>
      <c r="P10756" s="1"/>
      <c r="Q10756" s="1"/>
      <c r="R10756" s="1"/>
      <c r="Z10756" s="103"/>
      <c r="AA10756" s="103"/>
      <c r="AB10756" s="1"/>
    </row>
    <row r="10757" spans="15:28">
      <c r="O10757" s="1"/>
      <c r="P10757" s="1"/>
      <c r="Q10757" s="1"/>
      <c r="R10757" s="1"/>
      <c r="Z10757" s="103"/>
      <c r="AA10757" s="103"/>
      <c r="AB10757" s="1"/>
    </row>
    <row r="10758" spans="15:28">
      <c r="O10758" s="1"/>
      <c r="P10758" s="1"/>
      <c r="Q10758" s="1"/>
      <c r="R10758" s="1"/>
      <c r="Z10758" s="103"/>
      <c r="AA10758" s="103"/>
      <c r="AB10758" s="1"/>
    </row>
    <row r="10759" spans="15:28">
      <c r="O10759" s="1"/>
      <c r="P10759" s="1"/>
      <c r="Q10759" s="1"/>
      <c r="R10759" s="1"/>
      <c r="Z10759" s="103"/>
      <c r="AA10759" s="103"/>
      <c r="AB10759" s="1"/>
    </row>
    <row r="10760" spans="15:28">
      <c r="O10760" s="1"/>
      <c r="P10760" s="1"/>
      <c r="Q10760" s="1"/>
      <c r="R10760" s="1"/>
      <c r="Z10760" s="103"/>
      <c r="AA10760" s="103"/>
      <c r="AB10760" s="1"/>
    </row>
    <row r="10761" spans="15:28">
      <c r="O10761" s="1"/>
      <c r="P10761" s="1"/>
      <c r="Q10761" s="1"/>
      <c r="R10761" s="1"/>
      <c r="Z10761" s="103"/>
      <c r="AA10761" s="103"/>
      <c r="AB10761" s="1"/>
    </row>
    <row r="10762" spans="15:28">
      <c r="O10762" s="1"/>
      <c r="P10762" s="1"/>
      <c r="Q10762" s="1"/>
      <c r="R10762" s="1"/>
      <c r="Z10762" s="103"/>
      <c r="AA10762" s="103"/>
      <c r="AB10762" s="1"/>
    </row>
    <row r="10763" spans="15:28">
      <c r="O10763" s="1"/>
      <c r="P10763" s="1"/>
      <c r="Q10763" s="1"/>
      <c r="R10763" s="1"/>
      <c r="Z10763" s="103"/>
      <c r="AA10763" s="103"/>
      <c r="AB10763" s="1"/>
    </row>
    <row r="10764" spans="15:28">
      <c r="O10764" s="1"/>
      <c r="P10764" s="1"/>
      <c r="Q10764" s="1"/>
      <c r="R10764" s="1"/>
      <c r="Z10764" s="103"/>
      <c r="AA10764" s="103"/>
      <c r="AB10764" s="1"/>
    </row>
    <row r="10765" spans="15:28">
      <c r="O10765" s="1"/>
      <c r="P10765" s="1"/>
      <c r="Q10765" s="1"/>
      <c r="R10765" s="1"/>
      <c r="Z10765" s="103"/>
      <c r="AA10765" s="103"/>
      <c r="AB10765" s="1"/>
    </row>
    <row r="10766" spans="15:28">
      <c r="O10766" s="1"/>
      <c r="P10766" s="1"/>
      <c r="Q10766" s="1"/>
      <c r="R10766" s="1"/>
      <c r="Z10766" s="103"/>
      <c r="AA10766" s="103"/>
      <c r="AB10766" s="1"/>
    </row>
    <row r="10767" spans="15:28">
      <c r="O10767" s="1"/>
      <c r="P10767" s="1"/>
      <c r="Q10767" s="1"/>
      <c r="R10767" s="1"/>
      <c r="Z10767" s="103"/>
      <c r="AA10767" s="103"/>
      <c r="AB10767" s="1"/>
    </row>
    <row r="10768" spans="15:28">
      <c r="O10768" s="1"/>
      <c r="P10768" s="1"/>
      <c r="Q10768" s="1"/>
      <c r="R10768" s="1"/>
      <c r="Z10768" s="103"/>
      <c r="AA10768" s="103"/>
      <c r="AB10768" s="1"/>
    </row>
    <row r="10769" spans="15:28">
      <c r="O10769" s="1"/>
      <c r="P10769" s="1"/>
      <c r="Q10769" s="1"/>
      <c r="R10769" s="1"/>
      <c r="Z10769" s="103"/>
      <c r="AA10769" s="103"/>
      <c r="AB10769" s="1"/>
    </row>
    <row r="10770" spans="15:28">
      <c r="O10770" s="1"/>
      <c r="P10770" s="1"/>
      <c r="Q10770" s="1"/>
      <c r="R10770" s="1"/>
      <c r="Z10770" s="103"/>
      <c r="AA10770" s="103"/>
      <c r="AB10770" s="1"/>
    </row>
    <row r="10771" spans="15:28">
      <c r="O10771" s="1"/>
      <c r="P10771" s="1"/>
      <c r="Q10771" s="1"/>
      <c r="R10771" s="1"/>
      <c r="Z10771" s="103"/>
      <c r="AA10771" s="103"/>
      <c r="AB10771" s="1"/>
    </row>
    <row r="10772" spans="15:28">
      <c r="O10772" s="1"/>
      <c r="P10772" s="1"/>
      <c r="Q10772" s="1"/>
      <c r="R10772" s="1"/>
      <c r="Z10772" s="103"/>
      <c r="AA10772" s="103"/>
      <c r="AB10772" s="1"/>
    </row>
    <row r="10773" spans="15:28">
      <c r="O10773" s="1"/>
      <c r="P10773" s="1"/>
      <c r="Q10773" s="1"/>
      <c r="R10773" s="1"/>
      <c r="Z10773" s="103"/>
      <c r="AA10773" s="103"/>
      <c r="AB10773" s="1"/>
    </row>
    <row r="10774" spans="15:28">
      <c r="O10774" s="1"/>
      <c r="P10774" s="1"/>
      <c r="Q10774" s="1"/>
      <c r="R10774" s="1"/>
      <c r="Z10774" s="103"/>
      <c r="AA10774" s="103"/>
      <c r="AB10774" s="1"/>
    </row>
    <row r="10775" spans="15:28">
      <c r="O10775" s="1"/>
      <c r="P10775" s="1"/>
      <c r="Q10775" s="1"/>
      <c r="R10775" s="1"/>
      <c r="Z10775" s="103"/>
      <c r="AA10775" s="103"/>
      <c r="AB10775" s="1"/>
    </row>
    <row r="10776" spans="15:28">
      <c r="O10776" s="1"/>
      <c r="P10776" s="1"/>
      <c r="Q10776" s="1"/>
      <c r="R10776" s="1"/>
      <c r="Z10776" s="103"/>
      <c r="AA10776" s="103"/>
      <c r="AB10776" s="1"/>
    </row>
    <row r="10777" spans="15:28">
      <c r="O10777" s="1"/>
      <c r="P10777" s="1"/>
      <c r="Q10777" s="1"/>
      <c r="R10777" s="1"/>
      <c r="Z10777" s="103"/>
      <c r="AA10777" s="103"/>
      <c r="AB10777" s="1"/>
    </row>
    <row r="10778" spans="15:28">
      <c r="O10778" s="1"/>
      <c r="P10778" s="1"/>
      <c r="Q10778" s="1"/>
      <c r="R10778" s="1"/>
      <c r="Z10778" s="103"/>
      <c r="AA10778" s="103"/>
      <c r="AB10778" s="1"/>
    </row>
    <row r="10779" spans="15:28">
      <c r="O10779" s="1"/>
      <c r="P10779" s="1"/>
      <c r="Q10779" s="1"/>
      <c r="R10779" s="1"/>
      <c r="Z10779" s="103"/>
      <c r="AA10779" s="103"/>
      <c r="AB10779" s="1"/>
    </row>
    <row r="10780" spans="15:28">
      <c r="O10780" s="1"/>
      <c r="P10780" s="1"/>
      <c r="Q10780" s="1"/>
      <c r="R10780" s="1"/>
      <c r="Z10780" s="103"/>
      <c r="AA10780" s="103"/>
      <c r="AB10780" s="1"/>
    </row>
    <row r="10781" spans="15:28">
      <c r="O10781" s="1"/>
      <c r="P10781" s="1"/>
      <c r="Q10781" s="1"/>
      <c r="R10781" s="1"/>
      <c r="Z10781" s="103"/>
      <c r="AA10781" s="103"/>
      <c r="AB10781" s="1"/>
    </row>
    <row r="10782" spans="15:28">
      <c r="O10782" s="1"/>
      <c r="P10782" s="1"/>
      <c r="Q10782" s="1"/>
      <c r="R10782" s="1"/>
      <c r="Z10782" s="103"/>
      <c r="AA10782" s="103"/>
      <c r="AB10782" s="1"/>
    </row>
    <row r="10783" spans="15:28">
      <c r="O10783" s="1"/>
      <c r="P10783" s="1"/>
      <c r="Q10783" s="1"/>
      <c r="R10783" s="1"/>
      <c r="Z10783" s="103"/>
      <c r="AA10783" s="103"/>
      <c r="AB10783" s="1"/>
    </row>
    <row r="10784" spans="15:28">
      <c r="O10784" s="1"/>
      <c r="P10784" s="1"/>
      <c r="Q10784" s="1"/>
      <c r="R10784" s="1"/>
      <c r="Z10784" s="103"/>
      <c r="AA10784" s="103"/>
      <c r="AB10784" s="1"/>
    </row>
    <row r="10785" spans="15:28">
      <c r="O10785" s="1"/>
      <c r="P10785" s="1"/>
      <c r="Q10785" s="1"/>
      <c r="R10785" s="1"/>
      <c r="Z10785" s="103"/>
      <c r="AA10785" s="103"/>
      <c r="AB10785" s="1"/>
    </row>
    <row r="10786" spans="15:28">
      <c r="O10786" s="1"/>
      <c r="P10786" s="1"/>
      <c r="Q10786" s="1"/>
      <c r="R10786" s="1"/>
      <c r="Z10786" s="103"/>
      <c r="AA10786" s="103"/>
      <c r="AB10786" s="1"/>
    </row>
    <row r="10787" spans="15:28">
      <c r="O10787" s="1"/>
      <c r="P10787" s="1"/>
      <c r="Q10787" s="1"/>
      <c r="R10787" s="1"/>
      <c r="Z10787" s="103"/>
      <c r="AA10787" s="103"/>
      <c r="AB10787" s="1"/>
    </row>
    <row r="10788" spans="15:28">
      <c r="O10788" s="1"/>
      <c r="P10788" s="1"/>
      <c r="Q10788" s="1"/>
      <c r="R10788" s="1"/>
      <c r="Z10788" s="103"/>
      <c r="AA10788" s="103"/>
      <c r="AB10788" s="1"/>
    </row>
    <row r="10789" spans="15:28">
      <c r="O10789" s="1"/>
      <c r="P10789" s="1"/>
      <c r="Q10789" s="1"/>
      <c r="R10789" s="1"/>
      <c r="Z10789" s="103"/>
      <c r="AA10789" s="103"/>
      <c r="AB10789" s="1"/>
    </row>
    <row r="10790" spans="15:28">
      <c r="O10790" s="1"/>
      <c r="P10790" s="1"/>
      <c r="Q10790" s="1"/>
      <c r="R10790" s="1"/>
      <c r="Z10790" s="103"/>
      <c r="AA10790" s="103"/>
      <c r="AB10790" s="1"/>
    </row>
    <row r="10791" spans="15:28">
      <c r="O10791" s="1"/>
      <c r="P10791" s="1"/>
      <c r="Q10791" s="1"/>
      <c r="R10791" s="1"/>
      <c r="Z10791" s="103"/>
      <c r="AA10791" s="103"/>
      <c r="AB10791" s="1"/>
    </row>
    <row r="10792" spans="15:28">
      <c r="O10792" s="1"/>
      <c r="P10792" s="1"/>
      <c r="Q10792" s="1"/>
      <c r="R10792" s="1"/>
      <c r="Z10792" s="103"/>
      <c r="AA10792" s="103"/>
      <c r="AB10792" s="1"/>
    </row>
    <row r="10793" spans="15:28">
      <c r="O10793" s="1"/>
      <c r="P10793" s="1"/>
      <c r="Q10793" s="1"/>
      <c r="R10793" s="1"/>
      <c r="Z10793" s="103"/>
      <c r="AA10793" s="103"/>
      <c r="AB10793" s="1"/>
    </row>
    <row r="10794" spans="15:28">
      <c r="O10794" s="1"/>
      <c r="P10794" s="1"/>
      <c r="Q10794" s="1"/>
      <c r="R10794" s="1"/>
      <c r="Z10794" s="103"/>
      <c r="AA10794" s="103"/>
      <c r="AB10794" s="1"/>
    </row>
    <row r="10795" spans="15:28">
      <c r="O10795" s="1"/>
      <c r="P10795" s="1"/>
      <c r="Q10795" s="1"/>
      <c r="R10795" s="1"/>
      <c r="Z10795" s="103"/>
      <c r="AA10795" s="103"/>
      <c r="AB10795" s="1"/>
    </row>
    <row r="10796" spans="15:28">
      <c r="O10796" s="1"/>
      <c r="P10796" s="1"/>
      <c r="Q10796" s="1"/>
      <c r="R10796" s="1"/>
      <c r="Z10796" s="103"/>
      <c r="AA10796" s="103"/>
      <c r="AB10796" s="1"/>
    </row>
    <row r="10797" spans="15:28">
      <c r="O10797" s="1"/>
      <c r="P10797" s="1"/>
      <c r="Q10797" s="1"/>
      <c r="R10797" s="1"/>
      <c r="Z10797" s="103"/>
      <c r="AA10797" s="103"/>
      <c r="AB10797" s="1"/>
    </row>
    <row r="10798" spans="15:28">
      <c r="O10798" s="1"/>
      <c r="P10798" s="1"/>
      <c r="Q10798" s="1"/>
      <c r="R10798" s="1"/>
      <c r="Z10798" s="103"/>
      <c r="AA10798" s="103"/>
      <c r="AB10798" s="1"/>
    </row>
    <row r="10799" spans="15:28">
      <c r="O10799" s="1"/>
      <c r="P10799" s="1"/>
      <c r="Q10799" s="1"/>
      <c r="R10799" s="1"/>
      <c r="Z10799" s="103"/>
      <c r="AA10799" s="103"/>
      <c r="AB10799" s="1"/>
    </row>
    <row r="10800" spans="15:28">
      <c r="O10800" s="1"/>
      <c r="P10800" s="1"/>
      <c r="Q10800" s="1"/>
      <c r="R10800" s="1"/>
      <c r="Z10800" s="103"/>
      <c r="AA10800" s="103"/>
      <c r="AB10800" s="1"/>
    </row>
    <row r="10801" spans="15:28">
      <c r="O10801" s="1"/>
      <c r="P10801" s="1"/>
      <c r="Q10801" s="1"/>
      <c r="R10801" s="1"/>
      <c r="Z10801" s="103"/>
      <c r="AA10801" s="103"/>
      <c r="AB10801" s="1"/>
    </row>
    <row r="10802" spans="15:28">
      <c r="O10802" s="1"/>
      <c r="P10802" s="1"/>
      <c r="Q10802" s="1"/>
      <c r="R10802" s="1"/>
      <c r="Z10802" s="103"/>
      <c r="AA10802" s="103"/>
      <c r="AB10802" s="1"/>
    </row>
    <row r="10803" spans="15:28">
      <c r="O10803" s="1"/>
      <c r="P10803" s="1"/>
      <c r="Q10803" s="1"/>
      <c r="R10803" s="1"/>
      <c r="Z10803" s="103"/>
      <c r="AA10803" s="103"/>
      <c r="AB10803" s="1"/>
    </row>
    <row r="10804" spans="15:28">
      <c r="O10804" s="1"/>
      <c r="P10804" s="1"/>
      <c r="Q10804" s="1"/>
      <c r="R10804" s="1"/>
      <c r="Z10804" s="103"/>
      <c r="AA10804" s="103"/>
      <c r="AB10804" s="1"/>
    </row>
    <row r="10805" spans="15:28">
      <c r="O10805" s="1"/>
      <c r="P10805" s="1"/>
      <c r="Q10805" s="1"/>
      <c r="R10805" s="1"/>
      <c r="Z10805" s="103"/>
      <c r="AA10805" s="103"/>
      <c r="AB10805" s="1"/>
    </row>
    <row r="10806" spans="15:28">
      <c r="O10806" s="1"/>
      <c r="P10806" s="1"/>
      <c r="Q10806" s="1"/>
      <c r="R10806" s="1"/>
      <c r="Z10806" s="103"/>
      <c r="AA10806" s="103"/>
      <c r="AB10806" s="1"/>
    </row>
    <row r="10807" spans="15:28">
      <c r="O10807" s="1"/>
      <c r="P10807" s="1"/>
      <c r="Q10807" s="1"/>
      <c r="R10807" s="1"/>
      <c r="Z10807" s="103"/>
      <c r="AA10807" s="103"/>
      <c r="AB10807" s="1"/>
    </row>
    <row r="10808" spans="15:28">
      <c r="O10808" s="1"/>
      <c r="P10808" s="1"/>
      <c r="Q10808" s="1"/>
      <c r="R10808" s="1"/>
      <c r="Z10808" s="103"/>
      <c r="AA10808" s="103"/>
      <c r="AB10808" s="1"/>
    </row>
    <row r="10809" spans="15:28">
      <c r="O10809" s="1"/>
      <c r="P10809" s="1"/>
      <c r="Q10809" s="1"/>
      <c r="R10809" s="1"/>
      <c r="Z10809" s="103"/>
      <c r="AA10809" s="103"/>
      <c r="AB10809" s="1"/>
    </row>
    <row r="10810" spans="15:28">
      <c r="O10810" s="1"/>
      <c r="P10810" s="1"/>
      <c r="Q10810" s="1"/>
      <c r="R10810" s="1"/>
      <c r="Z10810" s="103"/>
      <c r="AA10810" s="103"/>
      <c r="AB10810" s="1"/>
    </row>
    <row r="10811" spans="15:28">
      <c r="O10811" s="1"/>
      <c r="P10811" s="1"/>
      <c r="Q10811" s="1"/>
      <c r="R10811" s="1"/>
      <c r="Z10811" s="103"/>
      <c r="AA10811" s="103"/>
      <c r="AB10811" s="1"/>
    </row>
    <row r="10812" spans="15:28">
      <c r="O10812" s="1"/>
      <c r="P10812" s="1"/>
      <c r="Q10812" s="1"/>
      <c r="R10812" s="1"/>
      <c r="Z10812" s="103"/>
      <c r="AA10812" s="103"/>
      <c r="AB10812" s="1"/>
    </row>
    <row r="10813" spans="15:28">
      <c r="O10813" s="1"/>
      <c r="P10813" s="1"/>
      <c r="Q10813" s="1"/>
      <c r="R10813" s="1"/>
      <c r="Z10813" s="103"/>
      <c r="AA10813" s="103"/>
      <c r="AB10813" s="1"/>
    </row>
    <row r="10814" spans="15:28">
      <c r="O10814" s="1"/>
      <c r="P10814" s="1"/>
      <c r="Q10814" s="1"/>
      <c r="R10814" s="1"/>
      <c r="Z10814" s="103"/>
      <c r="AA10814" s="103"/>
      <c r="AB10814" s="1"/>
    </row>
    <row r="10815" spans="15:28">
      <c r="O10815" s="1"/>
      <c r="P10815" s="1"/>
      <c r="Q10815" s="1"/>
      <c r="R10815" s="1"/>
      <c r="Z10815" s="103"/>
      <c r="AA10815" s="103"/>
      <c r="AB10815" s="1"/>
    </row>
    <row r="10816" spans="15:28">
      <c r="O10816" s="1"/>
      <c r="P10816" s="1"/>
      <c r="Q10816" s="1"/>
      <c r="R10816" s="1"/>
      <c r="Z10816" s="103"/>
      <c r="AA10816" s="103"/>
      <c r="AB10816" s="1"/>
    </row>
    <row r="10817" spans="15:28">
      <c r="O10817" s="1"/>
      <c r="P10817" s="1"/>
      <c r="Q10817" s="1"/>
      <c r="R10817" s="1"/>
      <c r="Z10817" s="103"/>
      <c r="AA10817" s="103"/>
      <c r="AB10817" s="1"/>
    </row>
    <row r="10818" spans="15:28">
      <c r="O10818" s="1"/>
      <c r="P10818" s="1"/>
      <c r="Q10818" s="1"/>
      <c r="R10818" s="1"/>
      <c r="Z10818" s="103"/>
      <c r="AA10818" s="103"/>
      <c r="AB10818" s="1"/>
    </row>
    <row r="10819" spans="15:28">
      <c r="O10819" s="1"/>
      <c r="P10819" s="1"/>
      <c r="Q10819" s="1"/>
      <c r="R10819" s="1"/>
      <c r="Z10819" s="103"/>
      <c r="AA10819" s="103"/>
      <c r="AB10819" s="1"/>
    </row>
    <row r="10820" spans="15:28">
      <c r="O10820" s="1"/>
      <c r="P10820" s="1"/>
      <c r="Q10820" s="1"/>
      <c r="R10820" s="1"/>
      <c r="Z10820" s="103"/>
      <c r="AA10820" s="103"/>
      <c r="AB10820" s="1"/>
    </row>
    <row r="10821" spans="15:28">
      <c r="O10821" s="1"/>
      <c r="P10821" s="1"/>
      <c r="Q10821" s="1"/>
      <c r="R10821" s="1"/>
      <c r="Z10821" s="103"/>
      <c r="AA10821" s="103"/>
      <c r="AB10821" s="1"/>
    </row>
    <row r="10822" spans="15:28">
      <c r="O10822" s="1"/>
      <c r="P10822" s="1"/>
      <c r="Q10822" s="1"/>
      <c r="R10822" s="1"/>
      <c r="Z10822" s="103"/>
      <c r="AA10822" s="103"/>
      <c r="AB10822" s="1"/>
    </row>
    <row r="10823" spans="15:28">
      <c r="O10823" s="1"/>
      <c r="P10823" s="1"/>
      <c r="Q10823" s="1"/>
      <c r="R10823" s="1"/>
      <c r="Z10823" s="103"/>
      <c r="AA10823" s="103"/>
      <c r="AB10823" s="1"/>
    </row>
    <row r="10824" spans="15:28">
      <c r="O10824" s="1"/>
      <c r="P10824" s="1"/>
      <c r="Q10824" s="1"/>
      <c r="R10824" s="1"/>
      <c r="Z10824" s="103"/>
      <c r="AA10824" s="103"/>
      <c r="AB10824" s="1"/>
    </row>
    <row r="10825" spans="15:28">
      <c r="O10825" s="1"/>
      <c r="P10825" s="1"/>
      <c r="Q10825" s="1"/>
      <c r="R10825" s="1"/>
      <c r="Z10825" s="103"/>
      <c r="AA10825" s="103"/>
      <c r="AB10825" s="1"/>
    </row>
    <row r="10826" spans="15:28">
      <c r="O10826" s="1"/>
      <c r="P10826" s="1"/>
      <c r="Q10826" s="1"/>
      <c r="R10826" s="1"/>
      <c r="Z10826" s="103"/>
      <c r="AA10826" s="103"/>
      <c r="AB10826" s="1"/>
    </row>
    <row r="10827" spans="15:28">
      <c r="O10827" s="1"/>
      <c r="P10827" s="1"/>
      <c r="Q10827" s="1"/>
      <c r="R10827" s="1"/>
      <c r="Z10827" s="103"/>
      <c r="AA10827" s="103"/>
      <c r="AB10827" s="1"/>
    </row>
    <row r="10828" spans="15:28">
      <c r="O10828" s="1"/>
      <c r="P10828" s="1"/>
      <c r="Q10828" s="1"/>
      <c r="R10828" s="1"/>
      <c r="Z10828" s="103"/>
      <c r="AA10828" s="103"/>
      <c r="AB10828" s="1"/>
    </row>
    <row r="10829" spans="15:28">
      <c r="O10829" s="1"/>
      <c r="P10829" s="1"/>
      <c r="Q10829" s="1"/>
      <c r="R10829" s="1"/>
      <c r="Z10829" s="103"/>
      <c r="AA10829" s="103"/>
      <c r="AB10829" s="1"/>
    </row>
    <row r="10830" spans="15:28">
      <c r="O10830" s="1"/>
      <c r="P10830" s="1"/>
      <c r="Q10830" s="1"/>
      <c r="R10830" s="1"/>
      <c r="Z10830" s="103"/>
      <c r="AA10830" s="103"/>
      <c r="AB10830" s="1"/>
    </row>
    <row r="10831" spans="15:28">
      <c r="O10831" s="1"/>
      <c r="P10831" s="1"/>
      <c r="Q10831" s="1"/>
      <c r="R10831" s="1"/>
      <c r="Z10831" s="103"/>
      <c r="AA10831" s="103"/>
      <c r="AB10831" s="1"/>
    </row>
    <row r="10832" spans="15:28">
      <c r="O10832" s="1"/>
      <c r="P10832" s="1"/>
      <c r="Q10832" s="1"/>
      <c r="R10832" s="1"/>
      <c r="Z10832" s="103"/>
      <c r="AA10832" s="103"/>
      <c r="AB10832" s="1"/>
    </row>
    <row r="10833" spans="15:30">
      <c r="O10833" s="1"/>
      <c r="P10833" s="1"/>
      <c r="Q10833" s="1"/>
      <c r="R10833" s="1"/>
      <c r="Z10833" s="103"/>
      <c r="AA10833" s="103"/>
      <c r="AB10833" s="1"/>
    </row>
    <row r="10834" spans="15:30">
      <c r="O10834" s="1"/>
      <c r="P10834" s="1"/>
      <c r="Q10834" s="1"/>
      <c r="R10834" s="1"/>
      <c r="Z10834" s="103"/>
      <c r="AA10834" s="103"/>
      <c r="AB10834" s="1"/>
    </row>
    <row r="10835" spans="15:30">
      <c r="O10835" s="1"/>
      <c r="P10835" s="1"/>
      <c r="Q10835" s="1"/>
      <c r="R10835" s="1"/>
      <c r="Z10835" s="103"/>
      <c r="AA10835" s="103"/>
      <c r="AB10835" s="1"/>
    </row>
    <row r="10836" spans="15:30">
      <c r="O10836" s="1"/>
      <c r="P10836" s="1"/>
      <c r="Q10836" s="1"/>
      <c r="R10836" s="1"/>
      <c r="Z10836" s="103"/>
      <c r="AA10836" s="103"/>
      <c r="AB10836" s="1"/>
    </row>
    <row r="10837" spans="15:30">
      <c r="O10837" s="1"/>
      <c r="P10837" s="1"/>
      <c r="Q10837" s="1"/>
      <c r="R10837" s="1"/>
      <c r="Z10837" s="103"/>
      <c r="AA10837" s="103"/>
      <c r="AB10837" s="1"/>
    </row>
    <row r="10838" spans="15:30">
      <c r="O10838" s="1"/>
      <c r="P10838" s="1"/>
      <c r="Q10838" s="1"/>
      <c r="R10838" s="1"/>
      <c r="Z10838" s="103"/>
      <c r="AA10838" s="103"/>
      <c r="AB10838" s="1"/>
    </row>
    <row r="10839" spans="15:30">
      <c r="O10839" s="1"/>
      <c r="P10839" s="1"/>
      <c r="Q10839" s="1"/>
      <c r="R10839" s="1"/>
      <c r="Z10839" s="103"/>
      <c r="AA10839" s="103"/>
      <c r="AB10839" s="1"/>
    </row>
    <row r="10840" spans="15:30">
      <c r="O10840" s="1"/>
      <c r="P10840" s="1"/>
      <c r="Q10840" s="1"/>
      <c r="R10840" s="1"/>
      <c r="Z10840" s="103"/>
      <c r="AA10840" s="103"/>
      <c r="AB10840" s="1"/>
    </row>
    <row r="10841" spans="15:30">
      <c r="O10841" s="1"/>
      <c r="P10841" s="1"/>
      <c r="Q10841" s="1"/>
      <c r="R10841" s="1"/>
      <c r="Z10841" s="103"/>
      <c r="AA10841" s="103"/>
      <c r="AB10841" s="1"/>
    </row>
    <row r="10842" spans="15:30">
      <c r="O10842" s="1"/>
      <c r="P10842" s="1"/>
      <c r="Q10842" s="1"/>
      <c r="R10842" s="1"/>
      <c r="Z10842" s="103"/>
      <c r="AA10842" s="103"/>
      <c r="AB10842" s="1"/>
    </row>
    <row r="10843" spans="15:30">
      <c r="O10843" s="1"/>
      <c r="P10843" s="1"/>
      <c r="Q10843" s="1"/>
      <c r="R10843" s="1"/>
      <c r="Z10843" s="103"/>
      <c r="AA10843" s="103"/>
      <c r="AB10843" s="1"/>
    </row>
    <row r="10844" spans="15:30">
      <c r="O10844" s="1"/>
      <c r="P10844" s="1"/>
      <c r="Q10844" s="1"/>
      <c r="R10844" s="1"/>
      <c r="Z10844" s="103"/>
      <c r="AA10844" s="103"/>
      <c r="AB10844" s="1"/>
    </row>
    <row r="10845" spans="15:30">
      <c r="O10845" s="1"/>
      <c r="P10845" s="1"/>
      <c r="Q10845" s="1"/>
      <c r="R10845" s="1"/>
      <c r="Z10845" s="103"/>
      <c r="AA10845" s="103"/>
      <c r="AB10845" s="1"/>
    </row>
    <row r="10846" spans="15:30">
      <c r="O10846" s="1"/>
      <c r="P10846" s="1"/>
      <c r="Q10846" s="1"/>
      <c r="R10846" s="1"/>
      <c r="Z10846" s="103"/>
      <c r="AA10846" s="103"/>
      <c r="AB10846" s="1"/>
      <c r="AD10846" s="102"/>
    </row>
    <row r="10847" spans="15:30">
      <c r="O10847" s="1"/>
      <c r="P10847" s="1"/>
      <c r="Q10847" s="1"/>
      <c r="R10847" s="1"/>
      <c r="Z10847" s="103"/>
      <c r="AA10847" s="103"/>
      <c r="AB10847" s="1"/>
    </row>
    <row r="10848" spans="15:30">
      <c r="O10848" s="1"/>
      <c r="P10848" s="1"/>
      <c r="Q10848" s="1"/>
      <c r="R10848" s="1"/>
      <c r="Z10848" s="103"/>
      <c r="AA10848" s="103"/>
      <c r="AB10848" s="1"/>
    </row>
    <row r="10849" spans="15:28">
      <c r="O10849" s="1"/>
      <c r="P10849" s="1"/>
      <c r="Q10849" s="1"/>
      <c r="R10849" s="1"/>
      <c r="Z10849" s="103"/>
      <c r="AA10849" s="103"/>
      <c r="AB10849" s="1"/>
    </row>
    <row r="10850" spans="15:28">
      <c r="O10850" s="1"/>
      <c r="P10850" s="1"/>
      <c r="Q10850" s="1"/>
      <c r="R10850" s="1"/>
      <c r="Z10850" s="103"/>
      <c r="AA10850" s="103"/>
      <c r="AB10850" s="1"/>
    </row>
    <row r="10851" spans="15:28">
      <c r="O10851" s="1"/>
      <c r="P10851" s="1"/>
      <c r="Q10851" s="1"/>
      <c r="R10851" s="1"/>
      <c r="Z10851" s="103"/>
      <c r="AA10851" s="103"/>
      <c r="AB10851" s="1"/>
    </row>
    <row r="10852" spans="15:28">
      <c r="O10852" s="1"/>
      <c r="P10852" s="1"/>
      <c r="Q10852" s="1"/>
      <c r="R10852" s="1"/>
      <c r="Z10852" s="103"/>
      <c r="AA10852" s="103"/>
      <c r="AB10852" s="1"/>
    </row>
    <row r="10853" spans="15:28">
      <c r="O10853" s="1"/>
      <c r="P10853" s="1"/>
      <c r="Q10853" s="1"/>
      <c r="R10853" s="1"/>
      <c r="Z10853" s="103"/>
      <c r="AA10853" s="103"/>
      <c r="AB10853" s="1"/>
    </row>
    <row r="10854" spans="15:28">
      <c r="O10854" s="1"/>
      <c r="P10854" s="1"/>
      <c r="Q10854" s="1"/>
      <c r="R10854" s="1"/>
      <c r="Z10854" s="103"/>
      <c r="AA10854" s="103"/>
      <c r="AB10854" s="1"/>
    </row>
    <row r="10855" spans="15:28">
      <c r="O10855" s="1"/>
      <c r="P10855" s="1"/>
      <c r="Q10855" s="1"/>
      <c r="R10855" s="1"/>
      <c r="Z10855" s="103"/>
      <c r="AA10855" s="103"/>
      <c r="AB10855" s="1"/>
    </row>
    <row r="10856" spans="15:28">
      <c r="O10856" s="1"/>
      <c r="P10856" s="1"/>
      <c r="Q10856" s="1"/>
      <c r="R10856" s="1"/>
      <c r="Z10856" s="103"/>
      <c r="AA10856" s="103"/>
      <c r="AB10856" s="1"/>
    </row>
    <row r="10857" spans="15:28">
      <c r="O10857" s="1"/>
      <c r="P10857" s="1"/>
      <c r="Q10857" s="1"/>
      <c r="R10857" s="1"/>
      <c r="Z10857" s="103"/>
      <c r="AA10857" s="103"/>
      <c r="AB10857" s="1"/>
    </row>
    <row r="10858" spans="15:28">
      <c r="O10858" s="1"/>
      <c r="P10858" s="1"/>
      <c r="Q10858" s="1"/>
      <c r="R10858" s="1"/>
      <c r="Z10858" s="103"/>
      <c r="AA10858" s="103"/>
      <c r="AB10858" s="1"/>
    </row>
    <row r="10859" spans="15:28">
      <c r="O10859" s="1"/>
      <c r="P10859" s="1"/>
      <c r="Q10859" s="1"/>
      <c r="R10859" s="1"/>
      <c r="Z10859" s="103"/>
      <c r="AA10859" s="103"/>
      <c r="AB10859" s="1"/>
    </row>
    <row r="10860" spans="15:28">
      <c r="O10860" s="1"/>
      <c r="P10860" s="1"/>
      <c r="Q10860" s="1"/>
      <c r="R10860" s="1"/>
      <c r="Z10860" s="103"/>
      <c r="AA10860" s="103"/>
      <c r="AB10860" s="1"/>
    </row>
    <row r="10861" spans="15:28">
      <c r="O10861" s="1"/>
      <c r="P10861" s="1"/>
      <c r="Q10861" s="1"/>
      <c r="R10861" s="1"/>
      <c r="Z10861" s="103"/>
      <c r="AA10861" s="103"/>
      <c r="AB10861" s="1"/>
    </row>
    <row r="10862" spans="15:28">
      <c r="O10862" s="1"/>
      <c r="P10862" s="1"/>
      <c r="Q10862" s="1"/>
      <c r="R10862" s="1"/>
      <c r="Z10862" s="103"/>
      <c r="AA10862" s="103"/>
      <c r="AB10862" s="1"/>
    </row>
    <row r="10863" spans="15:28">
      <c r="O10863" s="1"/>
      <c r="P10863" s="1"/>
      <c r="Q10863" s="1"/>
      <c r="R10863" s="1"/>
      <c r="Z10863" s="103"/>
      <c r="AA10863" s="103"/>
      <c r="AB10863" s="1"/>
    </row>
    <row r="10864" spans="15:28">
      <c r="O10864" s="1"/>
      <c r="P10864" s="1"/>
      <c r="Q10864" s="1"/>
      <c r="R10864" s="1"/>
      <c r="Z10864" s="103"/>
      <c r="AA10864" s="103"/>
      <c r="AB10864" s="1"/>
    </row>
    <row r="10865" spans="15:28">
      <c r="O10865" s="1"/>
      <c r="P10865" s="1"/>
      <c r="Q10865" s="1"/>
      <c r="R10865" s="1"/>
      <c r="Z10865" s="103"/>
      <c r="AA10865" s="103"/>
      <c r="AB10865" s="1"/>
    </row>
    <row r="10866" spans="15:28">
      <c r="O10866" s="1"/>
      <c r="P10866" s="1"/>
      <c r="Q10866" s="1"/>
      <c r="R10866" s="1"/>
      <c r="Z10866" s="103"/>
      <c r="AA10866" s="103"/>
      <c r="AB10866" s="1"/>
    </row>
    <row r="10867" spans="15:28">
      <c r="O10867" s="1"/>
      <c r="P10867" s="1"/>
      <c r="Q10867" s="1"/>
      <c r="R10867" s="1"/>
      <c r="Z10867" s="103"/>
      <c r="AA10867" s="103"/>
      <c r="AB10867" s="1"/>
    </row>
    <row r="10868" spans="15:28">
      <c r="O10868" s="1"/>
      <c r="P10868" s="1"/>
      <c r="Q10868" s="1"/>
      <c r="R10868" s="1"/>
      <c r="Z10868" s="103"/>
      <c r="AA10868" s="103"/>
      <c r="AB10868" s="1"/>
    </row>
    <row r="10869" spans="15:28">
      <c r="O10869" s="1"/>
      <c r="P10869" s="1"/>
      <c r="Q10869" s="1"/>
      <c r="R10869" s="1"/>
      <c r="Z10869" s="103"/>
      <c r="AA10869" s="103"/>
      <c r="AB10869" s="1"/>
    </row>
    <row r="10870" spans="15:28">
      <c r="O10870" s="1"/>
      <c r="P10870" s="1"/>
      <c r="Q10870" s="1"/>
      <c r="R10870" s="1"/>
      <c r="Z10870" s="103"/>
      <c r="AA10870" s="103"/>
      <c r="AB10870" s="1"/>
    </row>
    <row r="10871" spans="15:28">
      <c r="O10871" s="1"/>
      <c r="P10871" s="1"/>
      <c r="Q10871" s="1"/>
      <c r="R10871" s="1"/>
      <c r="Z10871" s="103"/>
      <c r="AA10871" s="103"/>
      <c r="AB10871" s="1"/>
    </row>
    <row r="10872" spans="15:28">
      <c r="O10872" s="1"/>
      <c r="P10872" s="1"/>
      <c r="Q10872" s="1"/>
      <c r="R10872" s="1"/>
      <c r="Z10872" s="103"/>
      <c r="AA10872" s="103"/>
      <c r="AB10872" s="1"/>
    </row>
    <row r="10873" spans="15:28">
      <c r="O10873" s="1"/>
      <c r="P10873" s="1"/>
      <c r="Q10873" s="1"/>
      <c r="R10873" s="1"/>
      <c r="Z10873" s="103"/>
      <c r="AA10873" s="103"/>
      <c r="AB10873" s="1"/>
    </row>
    <row r="10874" spans="15:28">
      <c r="O10874" s="1"/>
      <c r="P10874" s="1"/>
      <c r="Q10874" s="1"/>
      <c r="R10874" s="1"/>
      <c r="Z10874" s="103"/>
      <c r="AA10874" s="103"/>
      <c r="AB10874" s="1"/>
    </row>
    <row r="10875" spans="15:28">
      <c r="O10875" s="1"/>
      <c r="P10875" s="1"/>
      <c r="Q10875" s="1"/>
      <c r="R10875" s="1"/>
      <c r="Z10875" s="103"/>
      <c r="AA10875" s="103"/>
      <c r="AB10875" s="1"/>
    </row>
    <row r="10876" spans="15:28">
      <c r="O10876" s="1"/>
      <c r="P10876" s="1"/>
      <c r="Q10876" s="1"/>
      <c r="R10876" s="1"/>
      <c r="Z10876" s="103"/>
      <c r="AA10876" s="103"/>
      <c r="AB10876" s="1"/>
    </row>
    <row r="10877" spans="15:28">
      <c r="O10877" s="1"/>
      <c r="P10877" s="1"/>
      <c r="Q10877" s="1"/>
      <c r="R10877" s="1"/>
      <c r="Z10877" s="103"/>
      <c r="AA10877" s="103"/>
      <c r="AB10877" s="1"/>
    </row>
    <row r="10878" spans="15:28">
      <c r="O10878" s="1"/>
      <c r="P10878" s="1"/>
      <c r="Q10878" s="1"/>
      <c r="R10878" s="1"/>
      <c r="Z10878" s="103"/>
      <c r="AA10878" s="103"/>
      <c r="AB10878" s="1"/>
    </row>
    <row r="10879" spans="15:28">
      <c r="O10879" s="1"/>
      <c r="P10879" s="1"/>
      <c r="Q10879" s="1"/>
      <c r="R10879" s="1"/>
      <c r="Z10879" s="103"/>
      <c r="AA10879" s="103"/>
      <c r="AB10879" s="1"/>
    </row>
    <row r="10880" spans="15:28">
      <c r="O10880" s="1"/>
      <c r="P10880" s="1"/>
      <c r="Q10880" s="1"/>
      <c r="R10880" s="1"/>
      <c r="Z10880" s="103"/>
      <c r="AA10880" s="103"/>
      <c r="AB10880" s="1"/>
    </row>
    <row r="10881" spans="15:28">
      <c r="O10881" s="1"/>
      <c r="P10881" s="1"/>
      <c r="Q10881" s="1"/>
      <c r="R10881" s="1"/>
      <c r="Z10881" s="103"/>
      <c r="AA10881" s="103"/>
      <c r="AB10881" s="1"/>
    </row>
    <row r="10882" spans="15:28">
      <c r="O10882" s="1"/>
      <c r="P10882" s="1"/>
      <c r="Q10882" s="1"/>
      <c r="R10882" s="1"/>
      <c r="Z10882" s="103"/>
      <c r="AA10882" s="103"/>
      <c r="AB10882" s="1"/>
    </row>
    <row r="10883" spans="15:28">
      <c r="O10883" s="1"/>
      <c r="P10883" s="1"/>
      <c r="Q10883" s="1"/>
      <c r="R10883" s="1"/>
      <c r="Z10883" s="103"/>
      <c r="AA10883" s="103"/>
      <c r="AB10883" s="1"/>
    </row>
    <row r="10884" spans="15:28">
      <c r="O10884" s="1"/>
      <c r="P10884" s="1"/>
      <c r="Q10884" s="1"/>
      <c r="R10884" s="1"/>
      <c r="Z10884" s="103"/>
      <c r="AA10884" s="103"/>
      <c r="AB10884" s="1"/>
    </row>
    <row r="10885" spans="15:28">
      <c r="O10885" s="1"/>
      <c r="P10885" s="1"/>
      <c r="Q10885" s="1"/>
      <c r="R10885" s="1"/>
      <c r="Z10885" s="103"/>
      <c r="AA10885" s="103"/>
      <c r="AB10885" s="1"/>
    </row>
    <row r="10886" spans="15:28">
      <c r="O10886" s="1"/>
      <c r="P10886" s="1"/>
      <c r="Q10886" s="1"/>
      <c r="R10886" s="1"/>
      <c r="Z10886" s="103"/>
      <c r="AA10886" s="103"/>
      <c r="AB10886" s="1"/>
    </row>
    <row r="10887" spans="15:28">
      <c r="O10887" s="1"/>
      <c r="P10887" s="1"/>
      <c r="Q10887" s="1"/>
      <c r="R10887" s="1"/>
      <c r="Z10887" s="103"/>
      <c r="AA10887" s="103"/>
      <c r="AB10887" s="1"/>
    </row>
    <row r="10888" spans="15:28">
      <c r="O10888" s="1"/>
      <c r="P10888" s="1"/>
      <c r="Q10888" s="1"/>
      <c r="R10888" s="1"/>
      <c r="Z10888" s="103"/>
      <c r="AA10888" s="103"/>
      <c r="AB10888" s="1"/>
    </row>
    <row r="10889" spans="15:28">
      <c r="O10889" s="1"/>
      <c r="P10889" s="1"/>
      <c r="Q10889" s="1"/>
      <c r="R10889" s="1"/>
      <c r="Z10889" s="103"/>
      <c r="AA10889" s="103"/>
      <c r="AB10889" s="1"/>
    </row>
    <row r="10890" spans="15:28">
      <c r="O10890" s="1"/>
      <c r="P10890" s="1"/>
      <c r="Q10890" s="1"/>
      <c r="R10890" s="1"/>
      <c r="Z10890" s="103"/>
      <c r="AA10890" s="103"/>
      <c r="AB10890" s="1"/>
    </row>
    <row r="10891" spans="15:28">
      <c r="O10891" s="1"/>
      <c r="P10891" s="1"/>
      <c r="Q10891" s="1"/>
      <c r="R10891" s="1"/>
      <c r="Z10891" s="103"/>
      <c r="AA10891" s="103"/>
      <c r="AB10891" s="1"/>
    </row>
    <row r="10892" spans="15:28">
      <c r="O10892" s="1"/>
      <c r="P10892" s="1"/>
      <c r="Q10892" s="1"/>
      <c r="R10892" s="1"/>
      <c r="Z10892" s="103"/>
      <c r="AA10892" s="103"/>
      <c r="AB10892" s="1"/>
    </row>
    <row r="10893" spans="15:28">
      <c r="O10893" s="1"/>
      <c r="P10893" s="1"/>
      <c r="Q10893" s="1"/>
      <c r="R10893" s="1"/>
      <c r="Z10893" s="103"/>
      <c r="AA10893" s="103"/>
      <c r="AB10893" s="1"/>
    </row>
    <row r="10894" spans="15:28">
      <c r="O10894" s="1"/>
      <c r="P10894" s="1"/>
      <c r="Q10894" s="1"/>
      <c r="R10894" s="1"/>
      <c r="Z10894" s="103"/>
      <c r="AA10894" s="103"/>
      <c r="AB10894" s="1"/>
    </row>
    <row r="10895" spans="15:28">
      <c r="O10895" s="1"/>
      <c r="P10895" s="1"/>
      <c r="Q10895" s="1"/>
      <c r="R10895" s="1"/>
      <c r="Z10895" s="103"/>
      <c r="AA10895" s="103"/>
      <c r="AB10895" s="1"/>
    </row>
    <row r="10896" spans="15:28">
      <c r="O10896" s="1"/>
      <c r="P10896" s="1"/>
      <c r="Q10896" s="1"/>
      <c r="R10896" s="1"/>
      <c r="Z10896" s="103"/>
      <c r="AA10896" s="103"/>
      <c r="AB10896" s="1"/>
    </row>
    <row r="10897" spans="15:28">
      <c r="O10897" s="1"/>
      <c r="P10897" s="1"/>
      <c r="Q10897" s="1"/>
      <c r="R10897" s="1"/>
      <c r="Z10897" s="103"/>
      <c r="AA10897" s="103"/>
      <c r="AB10897" s="1"/>
    </row>
    <row r="10898" spans="15:28">
      <c r="O10898" s="1"/>
      <c r="P10898" s="1"/>
      <c r="Q10898" s="1"/>
      <c r="R10898" s="1"/>
      <c r="Z10898" s="103"/>
      <c r="AA10898" s="103"/>
      <c r="AB10898" s="1"/>
    </row>
    <row r="10899" spans="15:28">
      <c r="O10899" s="1"/>
      <c r="P10899" s="1"/>
      <c r="Q10899" s="1"/>
      <c r="R10899" s="1"/>
      <c r="Z10899" s="103"/>
      <c r="AA10899" s="103"/>
      <c r="AB10899" s="1"/>
    </row>
    <row r="10900" spans="15:28">
      <c r="O10900" s="1"/>
      <c r="P10900" s="1"/>
      <c r="Q10900" s="1"/>
      <c r="R10900" s="1"/>
      <c r="Z10900" s="103"/>
      <c r="AA10900" s="103"/>
      <c r="AB10900" s="1"/>
    </row>
    <row r="10901" spans="15:28">
      <c r="O10901" s="1"/>
      <c r="P10901" s="1"/>
      <c r="Q10901" s="1"/>
      <c r="R10901" s="1"/>
      <c r="Z10901" s="103"/>
      <c r="AA10901" s="103"/>
      <c r="AB10901" s="1"/>
    </row>
    <row r="10902" spans="15:28">
      <c r="O10902" s="1"/>
      <c r="P10902" s="1"/>
      <c r="Q10902" s="1"/>
      <c r="R10902" s="1"/>
      <c r="Z10902" s="103"/>
      <c r="AA10902" s="103"/>
      <c r="AB10902" s="1"/>
    </row>
    <row r="10903" spans="15:28">
      <c r="O10903" s="1"/>
      <c r="P10903" s="1"/>
      <c r="Q10903" s="1"/>
      <c r="R10903" s="1"/>
      <c r="Z10903" s="103"/>
      <c r="AA10903" s="103"/>
      <c r="AB10903" s="1"/>
    </row>
    <row r="10904" spans="15:28">
      <c r="O10904" s="1"/>
      <c r="P10904" s="1"/>
      <c r="Q10904" s="1"/>
      <c r="R10904" s="1"/>
      <c r="Z10904" s="103"/>
      <c r="AA10904" s="103"/>
      <c r="AB10904" s="1"/>
    </row>
    <row r="10905" spans="15:28">
      <c r="O10905" s="1"/>
      <c r="P10905" s="1"/>
      <c r="Q10905" s="1"/>
      <c r="R10905" s="1"/>
      <c r="Z10905" s="103"/>
      <c r="AA10905" s="103"/>
      <c r="AB10905" s="1"/>
    </row>
    <row r="10906" spans="15:28">
      <c r="O10906" s="1"/>
      <c r="P10906" s="1"/>
      <c r="Q10906" s="1"/>
      <c r="R10906" s="1"/>
      <c r="Z10906" s="103"/>
      <c r="AA10906" s="103"/>
      <c r="AB10906" s="1"/>
    </row>
    <row r="10907" spans="15:28">
      <c r="O10907" s="1"/>
      <c r="P10907" s="1"/>
      <c r="Q10907" s="1"/>
      <c r="R10907" s="1"/>
      <c r="Z10907" s="103"/>
      <c r="AA10907" s="103"/>
      <c r="AB10907" s="1"/>
    </row>
    <row r="10908" spans="15:28">
      <c r="O10908" s="1"/>
      <c r="P10908" s="1"/>
      <c r="Q10908" s="1"/>
      <c r="R10908" s="1"/>
      <c r="Z10908" s="103"/>
      <c r="AA10908" s="103"/>
      <c r="AB10908" s="1"/>
    </row>
    <row r="10909" spans="15:28">
      <c r="O10909" s="1"/>
      <c r="P10909" s="1"/>
      <c r="Q10909" s="1"/>
      <c r="R10909" s="1"/>
      <c r="Z10909" s="103"/>
      <c r="AA10909" s="103"/>
      <c r="AB10909" s="1"/>
    </row>
    <row r="10910" spans="15:28">
      <c r="O10910" s="1"/>
      <c r="P10910" s="1"/>
      <c r="Q10910" s="1"/>
      <c r="R10910" s="1"/>
      <c r="Z10910" s="103"/>
      <c r="AA10910" s="103"/>
      <c r="AB10910" s="1"/>
    </row>
    <row r="10911" spans="15:28">
      <c r="O10911" s="1"/>
      <c r="P10911" s="1"/>
      <c r="Q10911" s="1"/>
      <c r="R10911" s="1"/>
      <c r="Z10911" s="103"/>
      <c r="AA10911" s="103"/>
      <c r="AB10911" s="1"/>
    </row>
    <row r="10912" spans="15:28">
      <c r="O10912" s="1"/>
      <c r="P10912" s="1"/>
      <c r="Q10912" s="1"/>
      <c r="R10912" s="1"/>
      <c r="Z10912" s="103"/>
      <c r="AA10912" s="103"/>
      <c r="AB10912" s="1"/>
    </row>
    <row r="10913" spans="15:28">
      <c r="O10913" s="1"/>
      <c r="P10913" s="1"/>
      <c r="Q10913" s="1"/>
      <c r="R10913" s="1"/>
      <c r="Z10913" s="103"/>
      <c r="AA10913" s="103"/>
      <c r="AB10913" s="1"/>
    </row>
    <row r="10914" spans="15:28">
      <c r="O10914" s="1"/>
      <c r="P10914" s="1"/>
      <c r="Q10914" s="1"/>
      <c r="R10914" s="1"/>
      <c r="Z10914" s="103"/>
      <c r="AA10914" s="103"/>
      <c r="AB10914" s="1"/>
    </row>
    <row r="10915" spans="15:28">
      <c r="O10915" s="1"/>
      <c r="P10915" s="1"/>
      <c r="Q10915" s="1"/>
      <c r="R10915" s="1"/>
      <c r="Z10915" s="103"/>
      <c r="AA10915" s="103"/>
      <c r="AB10915" s="1"/>
    </row>
    <row r="10916" spans="15:28">
      <c r="O10916" s="1"/>
      <c r="P10916" s="1"/>
      <c r="Q10916" s="1"/>
      <c r="R10916" s="1"/>
      <c r="Z10916" s="103"/>
      <c r="AA10916" s="103"/>
      <c r="AB10916" s="1"/>
    </row>
    <row r="10917" spans="15:28">
      <c r="O10917" s="1"/>
      <c r="P10917" s="1"/>
      <c r="Q10917" s="1"/>
      <c r="R10917" s="1"/>
      <c r="Z10917" s="103"/>
      <c r="AA10917" s="103"/>
      <c r="AB10917" s="1"/>
    </row>
    <row r="10918" spans="15:28">
      <c r="O10918" s="1"/>
      <c r="P10918" s="1"/>
      <c r="Q10918" s="1"/>
      <c r="R10918" s="1"/>
      <c r="Z10918" s="103"/>
      <c r="AA10918" s="103"/>
      <c r="AB10918" s="1"/>
    </row>
    <row r="10919" spans="15:28">
      <c r="O10919" s="1"/>
      <c r="P10919" s="1"/>
      <c r="Q10919" s="1"/>
      <c r="R10919" s="1"/>
      <c r="Z10919" s="103"/>
      <c r="AA10919" s="103"/>
      <c r="AB10919" s="1"/>
    </row>
    <row r="10920" spans="15:28">
      <c r="O10920" s="1"/>
      <c r="P10920" s="1"/>
      <c r="Q10920" s="1"/>
      <c r="R10920" s="1"/>
      <c r="Z10920" s="103"/>
      <c r="AA10920" s="103"/>
      <c r="AB10920" s="1"/>
    </row>
    <row r="10921" spans="15:28">
      <c r="O10921" s="1"/>
      <c r="P10921" s="1"/>
      <c r="Q10921" s="1"/>
      <c r="R10921" s="1"/>
      <c r="Z10921" s="103"/>
      <c r="AA10921" s="103"/>
      <c r="AB10921" s="1"/>
    </row>
    <row r="10922" spans="15:28">
      <c r="O10922" s="1"/>
      <c r="P10922" s="1"/>
      <c r="Q10922" s="1"/>
      <c r="R10922" s="1"/>
      <c r="Z10922" s="103"/>
      <c r="AA10922" s="103"/>
      <c r="AB10922" s="1"/>
    </row>
    <row r="10923" spans="15:28">
      <c r="O10923" s="1"/>
      <c r="P10923" s="1"/>
      <c r="Q10923" s="1"/>
      <c r="R10923" s="1"/>
      <c r="Z10923" s="103"/>
      <c r="AA10923" s="103"/>
      <c r="AB10923" s="1"/>
    </row>
    <row r="10924" spans="15:28">
      <c r="O10924" s="1"/>
      <c r="P10924" s="1"/>
      <c r="Q10924" s="1"/>
      <c r="R10924" s="1"/>
      <c r="Z10924" s="103"/>
      <c r="AA10924" s="103"/>
      <c r="AB10924" s="1"/>
    </row>
    <row r="10925" spans="15:28">
      <c r="O10925" s="1"/>
      <c r="P10925" s="1"/>
      <c r="Q10925" s="1"/>
      <c r="R10925" s="1"/>
      <c r="Z10925" s="103"/>
      <c r="AA10925" s="103"/>
      <c r="AB10925" s="1"/>
    </row>
    <row r="10926" spans="15:28">
      <c r="O10926" s="1"/>
      <c r="P10926" s="1"/>
      <c r="Q10926" s="1"/>
      <c r="R10926" s="1"/>
      <c r="Z10926" s="103"/>
      <c r="AA10926" s="103"/>
      <c r="AB10926" s="1"/>
    </row>
    <row r="10927" spans="15:28">
      <c r="O10927" s="1"/>
      <c r="P10927" s="1"/>
      <c r="Q10927" s="1"/>
      <c r="R10927" s="1"/>
      <c r="Z10927" s="103"/>
      <c r="AA10927" s="103"/>
      <c r="AB10927" s="1"/>
    </row>
    <row r="10928" spans="15:28">
      <c r="O10928" s="1"/>
      <c r="P10928" s="1"/>
      <c r="Q10928" s="1"/>
      <c r="R10928" s="1"/>
      <c r="Z10928" s="103"/>
      <c r="AA10928" s="103"/>
      <c r="AB10928" s="1"/>
    </row>
    <row r="10929" spans="15:28">
      <c r="O10929" s="1"/>
      <c r="P10929" s="1"/>
      <c r="Q10929" s="1"/>
      <c r="R10929" s="1"/>
      <c r="Z10929" s="103"/>
      <c r="AA10929" s="103"/>
      <c r="AB10929" s="1"/>
    </row>
    <row r="10930" spans="15:28">
      <c r="O10930" s="1"/>
      <c r="P10930" s="1"/>
      <c r="Q10930" s="1"/>
      <c r="R10930" s="1"/>
      <c r="Z10930" s="103"/>
      <c r="AA10930" s="103"/>
      <c r="AB10930" s="1"/>
    </row>
    <row r="10931" spans="15:28">
      <c r="O10931" s="1"/>
      <c r="P10931" s="1"/>
      <c r="Q10931" s="1"/>
      <c r="R10931" s="1"/>
      <c r="Z10931" s="103"/>
      <c r="AA10931" s="103"/>
      <c r="AB10931" s="1"/>
    </row>
    <row r="10932" spans="15:28">
      <c r="O10932" s="1"/>
      <c r="P10932" s="1"/>
      <c r="Q10932" s="1"/>
      <c r="R10932" s="1"/>
      <c r="Z10932" s="103"/>
      <c r="AA10932" s="103"/>
      <c r="AB10932" s="1"/>
    </row>
    <row r="10933" spans="15:28">
      <c r="O10933" s="1"/>
      <c r="P10933" s="1"/>
      <c r="Q10933" s="1"/>
      <c r="R10933" s="1"/>
      <c r="Z10933" s="103"/>
      <c r="AA10933" s="103"/>
      <c r="AB10933" s="1"/>
    </row>
    <row r="10934" spans="15:28">
      <c r="O10934" s="1"/>
      <c r="P10934" s="1"/>
      <c r="Q10934" s="1"/>
      <c r="R10934" s="1"/>
      <c r="Z10934" s="103"/>
      <c r="AA10934" s="103"/>
      <c r="AB10934" s="1"/>
    </row>
    <row r="10935" spans="15:28">
      <c r="O10935" s="1"/>
      <c r="P10935" s="1"/>
      <c r="Q10935" s="1"/>
      <c r="R10935" s="1"/>
      <c r="Z10935" s="103"/>
      <c r="AA10935" s="103"/>
      <c r="AB10935" s="1"/>
    </row>
    <row r="10936" spans="15:28">
      <c r="O10936" s="1"/>
      <c r="P10936" s="1"/>
      <c r="Q10936" s="1"/>
      <c r="R10936" s="1"/>
      <c r="Z10936" s="103"/>
      <c r="AA10936" s="103"/>
      <c r="AB10936" s="1"/>
    </row>
    <row r="10937" spans="15:28">
      <c r="O10937" s="1"/>
      <c r="P10937" s="1"/>
      <c r="Q10937" s="1"/>
      <c r="R10937" s="1"/>
      <c r="Z10937" s="103"/>
      <c r="AA10937" s="103"/>
      <c r="AB10937" s="1"/>
    </row>
    <row r="10938" spans="15:28">
      <c r="O10938" s="1"/>
      <c r="P10938" s="1"/>
      <c r="Q10938" s="1"/>
      <c r="R10938" s="1"/>
      <c r="Z10938" s="103"/>
      <c r="AA10938" s="103"/>
      <c r="AB10938" s="1"/>
    </row>
    <row r="10939" spans="15:28">
      <c r="O10939" s="1"/>
      <c r="P10939" s="1"/>
      <c r="Q10939" s="1"/>
      <c r="R10939" s="1"/>
      <c r="Z10939" s="103"/>
      <c r="AA10939" s="103"/>
      <c r="AB10939" s="1"/>
    </row>
    <row r="10940" spans="15:28">
      <c r="O10940" s="1"/>
      <c r="P10940" s="1"/>
      <c r="Q10940" s="1"/>
      <c r="R10940" s="1"/>
      <c r="Z10940" s="103"/>
      <c r="AA10940" s="103"/>
      <c r="AB10940" s="1"/>
    </row>
    <row r="10941" spans="15:28">
      <c r="O10941" s="1"/>
      <c r="P10941" s="1"/>
      <c r="Q10941" s="1"/>
      <c r="R10941" s="1"/>
      <c r="Z10941" s="103"/>
      <c r="AA10941" s="103"/>
      <c r="AB10941" s="1"/>
    </row>
    <row r="10942" spans="15:28">
      <c r="O10942" s="1"/>
      <c r="P10942" s="1"/>
      <c r="Q10942" s="1"/>
      <c r="R10942" s="1"/>
      <c r="Z10942" s="103"/>
      <c r="AA10942" s="103"/>
      <c r="AB10942" s="1"/>
    </row>
    <row r="10943" spans="15:28">
      <c r="O10943" s="1"/>
      <c r="P10943" s="1"/>
      <c r="Q10943" s="1"/>
      <c r="R10943" s="1"/>
      <c r="Z10943" s="103"/>
      <c r="AA10943" s="103"/>
      <c r="AB10943" s="1"/>
    </row>
    <row r="10944" spans="15:28">
      <c r="O10944" s="1"/>
      <c r="P10944" s="1"/>
      <c r="Q10944" s="1"/>
      <c r="R10944" s="1"/>
      <c r="Z10944" s="103"/>
      <c r="AA10944" s="103"/>
      <c r="AB10944" s="1"/>
    </row>
    <row r="10945" spans="15:28">
      <c r="O10945" s="1"/>
      <c r="P10945" s="1"/>
      <c r="Q10945" s="1"/>
      <c r="R10945" s="1"/>
      <c r="Z10945" s="103"/>
      <c r="AA10945" s="103"/>
      <c r="AB10945" s="1"/>
    </row>
    <row r="10946" spans="15:28">
      <c r="O10946" s="1"/>
      <c r="P10946" s="1"/>
      <c r="Q10946" s="1"/>
      <c r="R10946" s="1"/>
      <c r="Z10946" s="103"/>
      <c r="AA10946" s="103"/>
      <c r="AB10946" s="1"/>
    </row>
    <row r="10947" spans="15:28">
      <c r="O10947" s="1"/>
      <c r="P10947" s="1"/>
      <c r="Q10947" s="1"/>
      <c r="R10947" s="1"/>
      <c r="Z10947" s="103"/>
      <c r="AA10947" s="103"/>
      <c r="AB10947" s="1"/>
    </row>
    <row r="10948" spans="15:28">
      <c r="O10948" s="1"/>
      <c r="P10948" s="1"/>
      <c r="Q10948" s="1"/>
      <c r="R10948" s="1"/>
      <c r="Z10948" s="103"/>
      <c r="AA10948" s="103"/>
      <c r="AB10948" s="1"/>
    </row>
    <row r="10949" spans="15:28">
      <c r="O10949" s="1"/>
      <c r="P10949" s="1"/>
      <c r="Q10949" s="1"/>
      <c r="R10949" s="1"/>
      <c r="Z10949" s="103"/>
      <c r="AA10949" s="103"/>
      <c r="AB10949" s="1"/>
    </row>
    <row r="10950" spans="15:28">
      <c r="O10950" s="1"/>
      <c r="P10950" s="1"/>
      <c r="Q10950" s="1"/>
      <c r="R10950" s="1"/>
      <c r="Z10950" s="103"/>
      <c r="AA10950" s="103"/>
      <c r="AB10950" s="1"/>
    </row>
    <row r="10951" spans="15:28">
      <c r="O10951" s="1"/>
      <c r="P10951" s="1"/>
      <c r="Q10951" s="1"/>
      <c r="R10951" s="1"/>
      <c r="Z10951" s="103"/>
      <c r="AA10951" s="103"/>
      <c r="AB10951" s="1"/>
    </row>
    <row r="10952" spans="15:28">
      <c r="O10952" s="1"/>
      <c r="P10952" s="1"/>
      <c r="Q10952" s="1"/>
      <c r="R10952" s="1"/>
      <c r="Z10952" s="103"/>
      <c r="AA10952" s="103"/>
      <c r="AB10952" s="1"/>
    </row>
    <row r="10953" spans="15:28">
      <c r="O10953" s="1"/>
      <c r="P10953" s="1"/>
      <c r="Q10953" s="1"/>
      <c r="R10953" s="1"/>
      <c r="Z10953" s="103"/>
      <c r="AA10953" s="103"/>
      <c r="AB10953" s="1"/>
    </row>
    <row r="10954" spans="15:28">
      <c r="O10954" s="1"/>
      <c r="P10954" s="1"/>
      <c r="Q10954" s="1"/>
      <c r="R10954" s="1"/>
      <c r="Z10954" s="103"/>
      <c r="AA10954" s="103"/>
      <c r="AB10954" s="1"/>
    </row>
    <row r="10955" spans="15:28">
      <c r="O10955" s="1"/>
      <c r="P10955" s="1"/>
      <c r="Q10955" s="1"/>
      <c r="R10955" s="1"/>
      <c r="Z10955" s="103"/>
      <c r="AA10955" s="103"/>
      <c r="AB10955" s="1"/>
    </row>
    <row r="10956" spans="15:28">
      <c r="O10956" s="1"/>
      <c r="P10956" s="1"/>
      <c r="Q10956" s="1"/>
      <c r="R10956" s="1"/>
      <c r="Z10956" s="103"/>
      <c r="AA10956" s="103"/>
      <c r="AB10956" s="1"/>
    </row>
    <row r="10957" spans="15:28">
      <c r="O10957" s="1"/>
      <c r="P10957" s="1"/>
      <c r="Q10957" s="1"/>
      <c r="R10957" s="1"/>
      <c r="Z10957" s="103"/>
      <c r="AA10957" s="103"/>
      <c r="AB10957" s="1"/>
    </row>
    <row r="10958" spans="15:28">
      <c r="O10958" s="1"/>
      <c r="P10958" s="1"/>
      <c r="Q10958" s="1"/>
      <c r="R10958" s="1"/>
      <c r="Z10958" s="103"/>
      <c r="AA10958" s="103"/>
      <c r="AB10958" s="1"/>
    </row>
    <row r="10959" spans="15:28">
      <c r="O10959" s="1"/>
      <c r="P10959" s="1"/>
      <c r="Q10959" s="1"/>
      <c r="R10959" s="1"/>
      <c r="Z10959" s="103"/>
      <c r="AA10959" s="103"/>
      <c r="AB10959" s="1"/>
    </row>
    <row r="10960" spans="15:28">
      <c r="O10960" s="1"/>
      <c r="P10960" s="1"/>
      <c r="Q10960" s="1"/>
      <c r="R10960" s="1"/>
      <c r="Z10960" s="103"/>
      <c r="AA10960" s="103"/>
      <c r="AB10960" s="1"/>
    </row>
    <row r="10961" spans="15:28">
      <c r="O10961" s="1"/>
      <c r="P10961" s="1"/>
      <c r="Q10961" s="1"/>
      <c r="R10961" s="1"/>
      <c r="Z10961" s="103"/>
      <c r="AA10961" s="103"/>
      <c r="AB10961" s="1"/>
    </row>
    <row r="10962" spans="15:28">
      <c r="O10962" s="1"/>
      <c r="P10962" s="1"/>
      <c r="Q10962" s="1"/>
      <c r="R10962" s="1"/>
      <c r="Z10962" s="103"/>
      <c r="AA10962" s="103"/>
      <c r="AB10962" s="1"/>
    </row>
    <row r="10963" spans="15:28">
      <c r="O10963" s="1"/>
      <c r="P10963" s="1"/>
      <c r="Q10963" s="1"/>
      <c r="R10963" s="1"/>
      <c r="Z10963" s="103"/>
      <c r="AA10963" s="103"/>
      <c r="AB10963" s="1"/>
    </row>
    <row r="10964" spans="15:28">
      <c r="O10964" s="1"/>
      <c r="P10964" s="1"/>
      <c r="Q10964" s="1"/>
      <c r="R10964" s="1"/>
      <c r="Z10964" s="103"/>
      <c r="AA10964" s="103"/>
      <c r="AB10964" s="1"/>
    </row>
    <row r="10965" spans="15:28">
      <c r="O10965" s="1"/>
      <c r="P10965" s="1"/>
      <c r="Q10965" s="1"/>
      <c r="R10965" s="1"/>
      <c r="Z10965" s="103"/>
      <c r="AA10965" s="103"/>
      <c r="AB10965" s="1"/>
    </row>
    <row r="10966" spans="15:28">
      <c r="O10966" s="1"/>
      <c r="P10966" s="1"/>
      <c r="Q10966" s="1"/>
      <c r="R10966" s="1"/>
      <c r="Z10966" s="103"/>
      <c r="AA10966" s="103"/>
      <c r="AB10966" s="1"/>
    </row>
    <row r="10967" spans="15:28">
      <c r="O10967" s="1"/>
      <c r="P10967" s="1"/>
      <c r="Q10967" s="1"/>
      <c r="R10967" s="1"/>
      <c r="Z10967" s="103"/>
      <c r="AA10967" s="103"/>
      <c r="AB10967" s="1"/>
    </row>
    <row r="10968" spans="15:28">
      <c r="O10968" s="1"/>
      <c r="P10968" s="1"/>
      <c r="Q10968" s="1"/>
      <c r="R10968" s="1"/>
      <c r="Z10968" s="103"/>
      <c r="AA10968" s="103"/>
      <c r="AB10968" s="1"/>
    </row>
    <row r="10969" spans="15:28">
      <c r="O10969" s="1"/>
      <c r="P10969" s="1"/>
      <c r="Q10969" s="1"/>
      <c r="R10969" s="1"/>
      <c r="Z10969" s="103"/>
      <c r="AA10969" s="103"/>
      <c r="AB10969" s="1"/>
    </row>
    <row r="10970" spans="15:28">
      <c r="O10970" s="1"/>
      <c r="P10970" s="1"/>
      <c r="Q10970" s="1"/>
      <c r="R10970" s="1"/>
      <c r="Z10970" s="103"/>
      <c r="AA10970" s="103"/>
      <c r="AB10970" s="1"/>
    </row>
    <row r="10971" spans="15:28">
      <c r="O10971" s="1"/>
      <c r="P10971" s="1"/>
      <c r="Q10971" s="1"/>
      <c r="R10971" s="1"/>
      <c r="Z10971" s="103"/>
      <c r="AA10971" s="103"/>
      <c r="AB10971" s="1"/>
    </row>
    <row r="10972" spans="15:28">
      <c r="O10972" s="1"/>
      <c r="P10972" s="1"/>
      <c r="Q10972" s="1"/>
      <c r="R10972" s="1"/>
      <c r="Z10972" s="103"/>
      <c r="AA10972" s="103"/>
      <c r="AB10972" s="1"/>
    </row>
    <row r="10973" spans="15:28">
      <c r="O10973" s="1"/>
      <c r="P10973" s="1"/>
      <c r="Q10973" s="1"/>
      <c r="R10973" s="1"/>
      <c r="Z10973" s="103"/>
      <c r="AA10973" s="103"/>
      <c r="AB10973" s="1"/>
    </row>
    <row r="10974" spans="15:28">
      <c r="O10974" s="1"/>
      <c r="P10974" s="1"/>
      <c r="Q10974" s="1"/>
      <c r="R10974" s="1"/>
      <c r="Z10974" s="103"/>
      <c r="AA10974" s="103"/>
      <c r="AB10974" s="1"/>
    </row>
    <row r="10975" spans="15:28">
      <c r="O10975" s="1"/>
      <c r="P10975" s="1"/>
      <c r="Q10975" s="1"/>
      <c r="R10975" s="1"/>
      <c r="Z10975" s="103"/>
      <c r="AA10975" s="103"/>
      <c r="AB10975" s="1"/>
    </row>
    <row r="10976" spans="15:28">
      <c r="O10976" s="1"/>
      <c r="P10976" s="1"/>
      <c r="Q10976" s="1"/>
      <c r="R10976" s="1"/>
      <c r="Z10976" s="103"/>
      <c r="AA10976" s="103"/>
      <c r="AB10976" s="1"/>
    </row>
    <row r="10977" spans="15:28">
      <c r="O10977" s="1"/>
      <c r="P10977" s="1"/>
      <c r="Q10977" s="1"/>
      <c r="R10977" s="1"/>
      <c r="Z10977" s="103"/>
      <c r="AA10977" s="103"/>
      <c r="AB10977" s="1"/>
    </row>
    <row r="10978" spans="15:28">
      <c r="O10978" s="1"/>
      <c r="P10978" s="1"/>
      <c r="Q10978" s="1"/>
      <c r="R10978" s="1"/>
      <c r="Z10978" s="103"/>
      <c r="AA10978" s="103"/>
      <c r="AB10978" s="1"/>
    </row>
    <row r="10979" spans="15:28">
      <c r="O10979" s="1"/>
      <c r="P10979" s="1"/>
      <c r="Q10979" s="1"/>
      <c r="R10979" s="1"/>
      <c r="Z10979" s="103"/>
      <c r="AA10979" s="103"/>
      <c r="AB10979" s="1"/>
    </row>
    <row r="10980" spans="15:28">
      <c r="O10980" s="1"/>
      <c r="P10980" s="1"/>
      <c r="Q10980" s="1"/>
      <c r="R10980" s="1"/>
      <c r="Z10980" s="103"/>
      <c r="AA10980" s="103"/>
      <c r="AB10980" s="1"/>
    </row>
    <row r="10981" spans="15:28">
      <c r="O10981" s="1"/>
      <c r="P10981" s="1"/>
      <c r="Q10981" s="1"/>
      <c r="R10981" s="1"/>
      <c r="Z10981" s="103"/>
      <c r="AA10981" s="103"/>
      <c r="AB10981" s="1"/>
    </row>
    <row r="10982" spans="15:28">
      <c r="O10982" s="1"/>
      <c r="P10982" s="1"/>
      <c r="Q10982" s="1"/>
      <c r="R10982" s="1"/>
      <c r="Z10982" s="103"/>
      <c r="AA10982" s="103"/>
      <c r="AB10982" s="1"/>
    </row>
    <row r="10983" spans="15:28">
      <c r="O10983" s="1"/>
      <c r="P10983" s="1"/>
      <c r="Q10983" s="1"/>
      <c r="R10983" s="1"/>
      <c r="Z10983" s="103"/>
      <c r="AA10983" s="103"/>
      <c r="AB10983" s="1"/>
    </row>
    <row r="10984" spans="15:28">
      <c r="O10984" s="1"/>
      <c r="P10984" s="1"/>
      <c r="Q10984" s="1"/>
      <c r="R10984" s="1"/>
      <c r="Z10984" s="103"/>
      <c r="AA10984" s="103"/>
      <c r="AB10984" s="1"/>
    </row>
    <row r="10985" spans="15:28">
      <c r="O10985" s="1"/>
      <c r="P10985" s="1"/>
      <c r="Q10985" s="1"/>
      <c r="R10985" s="1"/>
      <c r="Z10985" s="103"/>
      <c r="AA10985" s="103"/>
      <c r="AB10985" s="1"/>
    </row>
    <row r="10986" spans="15:28">
      <c r="O10986" s="1"/>
      <c r="P10986" s="1"/>
      <c r="Q10986" s="1"/>
      <c r="R10986" s="1"/>
      <c r="Z10986" s="103"/>
      <c r="AA10986" s="103"/>
      <c r="AB10986" s="1"/>
    </row>
    <row r="10987" spans="15:28">
      <c r="O10987" s="1"/>
      <c r="P10987" s="1"/>
      <c r="Q10987" s="1"/>
      <c r="R10987" s="1"/>
      <c r="Z10987" s="103"/>
      <c r="AA10987" s="103"/>
      <c r="AB10987" s="1"/>
    </row>
    <row r="10988" spans="15:28">
      <c r="O10988" s="1"/>
      <c r="P10988" s="1"/>
      <c r="Q10988" s="1"/>
      <c r="R10988" s="1"/>
      <c r="Z10988" s="103"/>
      <c r="AA10988" s="103"/>
      <c r="AB10988" s="1"/>
    </row>
    <row r="10989" spans="15:28">
      <c r="O10989" s="1"/>
      <c r="P10989" s="1"/>
      <c r="Q10989" s="1"/>
      <c r="R10989" s="1"/>
      <c r="Z10989" s="103"/>
      <c r="AA10989" s="103"/>
      <c r="AB10989" s="1"/>
    </row>
    <row r="10990" spans="15:28">
      <c r="O10990" s="1"/>
      <c r="P10990" s="1"/>
      <c r="Q10990" s="1"/>
      <c r="R10990" s="1"/>
      <c r="Z10990" s="103"/>
      <c r="AA10990" s="103"/>
      <c r="AB10990" s="1"/>
    </row>
    <row r="10991" spans="15:28">
      <c r="O10991" s="1"/>
      <c r="P10991" s="1"/>
      <c r="Q10991" s="1"/>
      <c r="R10991" s="1"/>
      <c r="Z10991" s="103"/>
      <c r="AA10991" s="103"/>
      <c r="AB10991" s="1"/>
    </row>
    <row r="10992" spans="15:28">
      <c r="O10992" s="1"/>
      <c r="P10992" s="1"/>
      <c r="Q10992" s="1"/>
      <c r="R10992" s="1"/>
      <c r="Z10992" s="103"/>
      <c r="AA10992" s="103"/>
      <c r="AB10992" s="1"/>
    </row>
    <row r="10993" spans="15:28">
      <c r="O10993" s="1"/>
      <c r="P10993" s="1"/>
      <c r="Q10993" s="1"/>
      <c r="R10993" s="1"/>
      <c r="Z10993" s="103"/>
      <c r="AA10993" s="103"/>
      <c r="AB10993" s="1"/>
    </row>
    <row r="10994" spans="15:28">
      <c r="O10994" s="1"/>
      <c r="P10994" s="1"/>
      <c r="Q10994" s="1"/>
      <c r="R10994" s="1"/>
      <c r="Z10994" s="103"/>
      <c r="AA10994" s="103"/>
      <c r="AB10994" s="1"/>
    </row>
    <row r="10995" spans="15:28">
      <c r="O10995" s="1"/>
      <c r="P10995" s="1"/>
      <c r="Q10995" s="1"/>
      <c r="R10995" s="1"/>
      <c r="Z10995" s="103"/>
      <c r="AA10995" s="103"/>
      <c r="AB10995" s="1"/>
    </row>
    <row r="10996" spans="15:28">
      <c r="O10996" s="1"/>
      <c r="P10996" s="1"/>
      <c r="Q10996" s="1"/>
      <c r="R10996" s="1"/>
      <c r="Z10996" s="103"/>
      <c r="AA10996" s="103"/>
      <c r="AB10996" s="1"/>
    </row>
    <row r="10997" spans="15:28">
      <c r="O10997" s="1"/>
      <c r="P10997" s="1"/>
      <c r="Q10997" s="1"/>
      <c r="R10997" s="1"/>
      <c r="Z10997" s="103"/>
      <c r="AA10997" s="103"/>
      <c r="AB10997" s="1"/>
    </row>
    <row r="10998" spans="15:28">
      <c r="O10998" s="1"/>
      <c r="P10998" s="1"/>
      <c r="Q10998" s="1"/>
      <c r="R10998" s="1"/>
      <c r="Z10998" s="103"/>
      <c r="AA10998" s="103"/>
      <c r="AB10998" s="1"/>
    </row>
    <row r="10999" spans="15:28">
      <c r="O10999" s="1"/>
      <c r="P10999" s="1"/>
      <c r="Q10999" s="1"/>
      <c r="R10999" s="1"/>
      <c r="Z10999" s="103"/>
      <c r="AA10999" s="103"/>
      <c r="AB10999" s="1"/>
    </row>
    <row r="11000" spans="15:28">
      <c r="O11000" s="1"/>
      <c r="P11000" s="1"/>
      <c r="Q11000" s="1"/>
      <c r="R11000" s="1"/>
      <c r="Z11000" s="103"/>
      <c r="AA11000" s="103"/>
      <c r="AB11000" s="1"/>
    </row>
    <row r="11001" spans="15:28">
      <c r="O11001" s="1"/>
      <c r="P11001" s="1"/>
      <c r="Q11001" s="1"/>
      <c r="R11001" s="1"/>
      <c r="Z11001" s="103"/>
      <c r="AA11001" s="103"/>
      <c r="AB11001" s="1"/>
    </row>
    <row r="11002" spans="15:28">
      <c r="O11002" s="1"/>
      <c r="P11002" s="1"/>
      <c r="Q11002" s="1"/>
      <c r="R11002" s="1"/>
      <c r="Z11002" s="103"/>
      <c r="AA11002" s="103"/>
      <c r="AB11002" s="1"/>
    </row>
    <row r="11003" spans="15:28">
      <c r="O11003" s="1"/>
      <c r="P11003" s="1"/>
      <c r="Q11003" s="1"/>
      <c r="R11003" s="1"/>
      <c r="Z11003" s="103"/>
      <c r="AA11003" s="103"/>
      <c r="AB11003" s="1"/>
    </row>
    <row r="11004" spans="15:28">
      <c r="O11004" s="1"/>
      <c r="P11004" s="1"/>
      <c r="Q11004" s="1"/>
      <c r="R11004" s="1"/>
      <c r="Z11004" s="103"/>
      <c r="AA11004" s="103"/>
      <c r="AB11004" s="1"/>
    </row>
    <row r="11005" spans="15:28">
      <c r="O11005" s="1"/>
      <c r="P11005" s="1"/>
      <c r="Q11005" s="1"/>
      <c r="R11005" s="1"/>
      <c r="Z11005" s="103"/>
      <c r="AA11005" s="103"/>
      <c r="AB11005" s="1"/>
    </row>
    <row r="11006" spans="15:28">
      <c r="O11006" s="1"/>
      <c r="P11006" s="1"/>
      <c r="Q11006" s="1"/>
      <c r="R11006" s="1"/>
      <c r="Z11006" s="103"/>
      <c r="AA11006" s="103"/>
      <c r="AB11006" s="1"/>
    </row>
    <row r="11007" spans="15:28">
      <c r="O11007" s="1"/>
      <c r="P11007" s="1"/>
      <c r="Q11007" s="1"/>
      <c r="R11007" s="1"/>
      <c r="Z11007" s="103"/>
      <c r="AA11007" s="103"/>
      <c r="AB11007" s="1"/>
    </row>
    <row r="11008" spans="15:28">
      <c r="O11008" s="1"/>
      <c r="P11008" s="1"/>
      <c r="Q11008" s="1"/>
      <c r="R11008" s="1"/>
      <c r="Z11008" s="103"/>
      <c r="AA11008" s="103"/>
      <c r="AB11008" s="1"/>
    </row>
    <row r="11009" spans="15:28">
      <c r="O11009" s="1"/>
      <c r="P11009" s="1"/>
      <c r="Q11009" s="1"/>
      <c r="R11009" s="1"/>
      <c r="Z11009" s="103"/>
      <c r="AA11009" s="103"/>
      <c r="AB11009" s="1"/>
    </row>
    <row r="11010" spans="15:28">
      <c r="O11010" s="1"/>
      <c r="P11010" s="1"/>
      <c r="Q11010" s="1"/>
      <c r="R11010" s="1"/>
      <c r="Z11010" s="103"/>
      <c r="AA11010" s="103"/>
      <c r="AB11010" s="1"/>
    </row>
    <row r="11011" spans="15:28">
      <c r="O11011" s="1"/>
      <c r="P11011" s="1"/>
      <c r="Q11011" s="1"/>
      <c r="R11011" s="1"/>
      <c r="Z11011" s="103"/>
      <c r="AA11011" s="103"/>
      <c r="AB11011" s="1"/>
    </row>
    <row r="11012" spans="15:28">
      <c r="O11012" s="1"/>
      <c r="P11012" s="1"/>
      <c r="Q11012" s="1"/>
      <c r="R11012" s="1"/>
      <c r="Z11012" s="103"/>
      <c r="AA11012" s="103"/>
      <c r="AB11012" s="1"/>
    </row>
    <row r="11013" spans="15:28">
      <c r="O11013" s="1"/>
      <c r="P11013" s="1"/>
      <c r="Q11013" s="1"/>
      <c r="R11013" s="1"/>
      <c r="Z11013" s="103"/>
      <c r="AA11013" s="103"/>
      <c r="AB11013" s="1"/>
    </row>
    <row r="11014" spans="15:28">
      <c r="O11014" s="1"/>
      <c r="P11014" s="1"/>
      <c r="Q11014" s="1"/>
      <c r="R11014" s="1"/>
      <c r="Z11014" s="103"/>
      <c r="AA11014" s="103"/>
      <c r="AB11014" s="1"/>
    </row>
    <row r="11015" spans="15:28">
      <c r="O11015" s="1"/>
      <c r="P11015" s="1"/>
      <c r="Q11015" s="1"/>
      <c r="R11015" s="1"/>
      <c r="Z11015" s="103"/>
      <c r="AA11015" s="103"/>
      <c r="AB11015" s="1"/>
    </row>
    <row r="11016" spans="15:28">
      <c r="O11016" s="1"/>
      <c r="P11016" s="1"/>
      <c r="Q11016" s="1"/>
      <c r="R11016" s="1"/>
      <c r="Z11016" s="103"/>
      <c r="AA11016" s="103"/>
      <c r="AB11016" s="1"/>
    </row>
    <row r="11017" spans="15:28">
      <c r="O11017" s="1"/>
      <c r="P11017" s="1"/>
      <c r="Q11017" s="1"/>
      <c r="R11017" s="1"/>
      <c r="Z11017" s="103"/>
      <c r="AA11017" s="103"/>
      <c r="AB11017" s="1"/>
    </row>
    <row r="11018" spans="15:28">
      <c r="O11018" s="1"/>
      <c r="P11018" s="1"/>
      <c r="Q11018" s="1"/>
      <c r="R11018" s="1"/>
      <c r="Z11018" s="103"/>
      <c r="AA11018" s="103"/>
      <c r="AB11018" s="1"/>
    </row>
    <row r="11019" spans="15:28">
      <c r="O11019" s="1"/>
      <c r="P11019" s="1"/>
      <c r="Q11019" s="1"/>
      <c r="R11019" s="1"/>
      <c r="Z11019" s="103"/>
      <c r="AA11019" s="103"/>
      <c r="AB11019" s="1"/>
    </row>
    <row r="11020" spans="15:28">
      <c r="O11020" s="1"/>
      <c r="P11020" s="1"/>
      <c r="Q11020" s="1"/>
      <c r="R11020" s="1"/>
      <c r="Z11020" s="103"/>
      <c r="AA11020" s="103"/>
      <c r="AB11020" s="1"/>
    </row>
    <row r="11021" spans="15:28">
      <c r="O11021" s="1"/>
      <c r="P11021" s="1"/>
      <c r="Q11021" s="1"/>
      <c r="R11021" s="1"/>
      <c r="Z11021" s="103"/>
      <c r="AA11021" s="103"/>
      <c r="AB11021" s="1"/>
    </row>
    <row r="11022" spans="15:28">
      <c r="O11022" s="1"/>
      <c r="P11022" s="1"/>
      <c r="Q11022" s="1"/>
      <c r="R11022" s="1"/>
      <c r="Z11022" s="103"/>
      <c r="AA11022" s="103"/>
      <c r="AB11022" s="1"/>
    </row>
    <row r="11023" spans="15:28">
      <c r="O11023" s="1"/>
      <c r="P11023" s="1"/>
      <c r="Q11023" s="1"/>
      <c r="R11023" s="1"/>
      <c r="Z11023" s="103"/>
      <c r="AA11023" s="103"/>
      <c r="AB11023" s="1"/>
    </row>
    <row r="11024" spans="15:28">
      <c r="O11024" s="1"/>
      <c r="P11024" s="1"/>
      <c r="Q11024" s="1"/>
      <c r="R11024" s="1"/>
      <c r="Z11024" s="103"/>
      <c r="AA11024" s="103"/>
      <c r="AB11024" s="1"/>
    </row>
    <row r="11025" spans="15:28">
      <c r="O11025" s="1"/>
      <c r="P11025" s="1"/>
      <c r="Q11025" s="1"/>
      <c r="R11025" s="1"/>
      <c r="Z11025" s="103"/>
      <c r="AA11025" s="103"/>
      <c r="AB11025" s="1"/>
    </row>
    <row r="11026" spans="15:28">
      <c r="O11026" s="1"/>
      <c r="P11026" s="1"/>
      <c r="Q11026" s="1"/>
      <c r="R11026" s="1"/>
      <c r="Z11026" s="103"/>
      <c r="AA11026" s="103"/>
      <c r="AB11026" s="1"/>
    </row>
    <row r="11027" spans="15:28">
      <c r="O11027" s="1"/>
      <c r="P11027" s="1"/>
      <c r="Q11027" s="1"/>
      <c r="R11027" s="1"/>
      <c r="Z11027" s="103"/>
      <c r="AA11027" s="103"/>
      <c r="AB11027" s="1"/>
    </row>
    <row r="11028" spans="15:28">
      <c r="O11028" s="1"/>
      <c r="P11028" s="1"/>
      <c r="Q11028" s="1"/>
      <c r="R11028" s="1"/>
      <c r="Z11028" s="103"/>
      <c r="AA11028" s="103"/>
      <c r="AB11028" s="1"/>
    </row>
    <row r="11029" spans="15:28">
      <c r="O11029" s="1"/>
      <c r="P11029" s="1"/>
      <c r="Q11029" s="1"/>
      <c r="R11029" s="1"/>
      <c r="Z11029" s="103"/>
      <c r="AA11029" s="103"/>
      <c r="AB11029" s="1"/>
    </row>
    <row r="11030" spans="15:28">
      <c r="O11030" s="1"/>
      <c r="P11030" s="1"/>
      <c r="Q11030" s="1"/>
      <c r="R11030" s="1"/>
      <c r="Z11030" s="103"/>
      <c r="AA11030" s="103"/>
      <c r="AB11030" s="1"/>
    </row>
    <row r="11031" spans="15:28">
      <c r="O11031" s="1"/>
      <c r="P11031" s="1"/>
      <c r="Q11031" s="1"/>
      <c r="R11031" s="1"/>
      <c r="Z11031" s="103"/>
      <c r="AA11031" s="103"/>
      <c r="AB11031" s="1"/>
    </row>
    <row r="11032" spans="15:28">
      <c r="O11032" s="1"/>
      <c r="P11032" s="1"/>
      <c r="Q11032" s="1"/>
      <c r="R11032" s="1"/>
      <c r="Z11032" s="103"/>
      <c r="AA11032" s="103"/>
      <c r="AB11032" s="1"/>
    </row>
    <row r="11033" spans="15:28">
      <c r="O11033" s="1"/>
      <c r="P11033" s="1"/>
      <c r="Q11033" s="1"/>
      <c r="R11033" s="1"/>
      <c r="Z11033" s="103"/>
      <c r="AA11033" s="103"/>
      <c r="AB11033" s="1"/>
    </row>
    <row r="11034" spans="15:28">
      <c r="O11034" s="1"/>
      <c r="P11034" s="1"/>
      <c r="Q11034" s="1"/>
      <c r="R11034" s="1"/>
      <c r="Z11034" s="103"/>
      <c r="AA11034" s="103"/>
      <c r="AB11034" s="1"/>
    </row>
    <row r="11035" spans="15:28">
      <c r="O11035" s="1"/>
      <c r="P11035" s="1"/>
      <c r="Q11035" s="1"/>
      <c r="R11035" s="1"/>
      <c r="Z11035" s="103"/>
      <c r="AA11035" s="103"/>
      <c r="AB11035" s="1"/>
    </row>
    <row r="11036" spans="15:28">
      <c r="O11036" s="1"/>
      <c r="P11036" s="1"/>
      <c r="Q11036" s="1"/>
      <c r="R11036" s="1"/>
      <c r="Z11036" s="103"/>
      <c r="AA11036" s="103"/>
      <c r="AB11036" s="1"/>
    </row>
    <row r="11037" spans="15:28">
      <c r="O11037" s="1"/>
      <c r="P11037" s="1"/>
      <c r="Q11037" s="1"/>
      <c r="R11037" s="1"/>
      <c r="Z11037" s="103"/>
      <c r="AA11037" s="103"/>
      <c r="AB11037" s="1"/>
    </row>
    <row r="11038" spans="15:28">
      <c r="O11038" s="1"/>
      <c r="P11038" s="1"/>
      <c r="Q11038" s="1"/>
      <c r="R11038" s="1"/>
      <c r="Z11038" s="103"/>
      <c r="AA11038" s="103"/>
      <c r="AB11038" s="1"/>
    </row>
    <row r="11039" spans="15:28">
      <c r="O11039" s="1"/>
      <c r="P11039" s="1"/>
      <c r="Q11039" s="1"/>
      <c r="R11039" s="1"/>
      <c r="Z11039" s="103"/>
      <c r="AA11039" s="103"/>
      <c r="AB11039" s="1"/>
    </row>
    <row r="11040" spans="15:28">
      <c r="O11040" s="1"/>
      <c r="P11040" s="1"/>
      <c r="Q11040" s="1"/>
      <c r="R11040" s="1"/>
      <c r="Z11040" s="103"/>
      <c r="AA11040" s="103"/>
      <c r="AB11040" s="1"/>
    </row>
    <row r="11041" spans="15:28">
      <c r="O11041" s="1"/>
      <c r="P11041" s="1"/>
      <c r="Q11041" s="1"/>
      <c r="R11041" s="1"/>
      <c r="Z11041" s="103"/>
      <c r="AA11041" s="103"/>
      <c r="AB11041" s="1"/>
    </row>
    <row r="11042" spans="15:28">
      <c r="O11042" s="1"/>
      <c r="P11042" s="1"/>
      <c r="Q11042" s="1"/>
      <c r="R11042" s="1"/>
      <c r="Z11042" s="103"/>
      <c r="AA11042" s="103"/>
      <c r="AB11042" s="1"/>
    </row>
    <row r="11043" spans="15:28">
      <c r="O11043" s="1"/>
      <c r="P11043" s="1"/>
      <c r="Q11043" s="1"/>
      <c r="R11043" s="1"/>
      <c r="Z11043" s="103"/>
      <c r="AA11043" s="103"/>
      <c r="AB11043" s="1"/>
    </row>
    <row r="11044" spans="15:28">
      <c r="O11044" s="1"/>
      <c r="P11044" s="1"/>
      <c r="Q11044" s="1"/>
      <c r="R11044" s="1"/>
      <c r="Z11044" s="103"/>
      <c r="AA11044" s="103"/>
      <c r="AB11044" s="1"/>
    </row>
    <row r="11045" spans="15:28">
      <c r="O11045" s="1"/>
      <c r="P11045" s="1"/>
      <c r="Q11045" s="1"/>
      <c r="R11045" s="1"/>
      <c r="Z11045" s="103"/>
      <c r="AA11045" s="103"/>
      <c r="AB11045" s="1"/>
    </row>
    <row r="11046" spans="15:28">
      <c r="O11046" s="1"/>
      <c r="P11046" s="1"/>
      <c r="Q11046" s="1"/>
      <c r="R11046" s="1"/>
      <c r="Z11046" s="103"/>
      <c r="AA11046" s="103"/>
      <c r="AB11046" s="1"/>
    </row>
    <row r="11047" spans="15:28">
      <c r="O11047" s="1"/>
      <c r="P11047" s="1"/>
      <c r="Q11047" s="1"/>
      <c r="R11047" s="1"/>
      <c r="Z11047" s="103"/>
      <c r="AA11047" s="103"/>
      <c r="AB11047" s="1"/>
    </row>
    <row r="11048" spans="15:28">
      <c r="O11048" s="1"/>
      <c r="P11048" s="1"/>
      <c r="Q11048" s="1"/>
      <c r="R11048" s="1"/>
      <c r="Z11048" s="103"/>
      <c r="AA11048" s="103"/>
      <c r="AB11048" s="1"/>
    </row>
    <row r="11049" spans="15:28">
      <c r="O11049" s="1"/>
      <c r="P11049" s="1"/>
      <c r="Q11049" s="1"/>
      <c r="R11049" s="1"/>
      <c r="Z11049" s="103"/>
      <c r="AA11049" s="103"/>
      <c r="AB11049" s="1"/>
    </row>
    <row r="11050" spans="15:28">
      <c r="O11050" s="1"/>
      <c r="P11050" s="1"/>
      <c r="Q11050" s="1"/>
      <c r="R11050" s="1"/>
      <c r="Z11050" s="103"/>
      <c r="AA11050" s="103"/>
      <c r="AB11050" s="1"/>
    </row>
    <row r="11051" spans="15:28">
      <c r="O11051" s="1"/>
      <c r="P11051" s="1"/>
      <c r="Q11051" s="1"/>
      <c r="R11051" s="1"/>
      <c r="Z11051" s="103"/>
      <c r="AA11051" s="103"/>
      <c r="AB11051" s="1"/>
    </row>
    <row r="11052" spans="15:28">
      <c r="O11052" s="1"/>
      <c r="P11052" s="1"/>
      <c r="Q11052" s="1"/>
      <c r="R11052" s="1"/>
      <c r="Z11052" s="103"/>
      <c r="AA11052" s="103"/>
      <c r="AB11052" s="1"/>
    </row>
    <row r="11053" spans="15:28">
      <c r="O11053" s="1"/>
      <c r="P11053" s="1"/>
      <c r="Q11053" s="1"/>
      <c r="R11053" s="1"/>
      <c r="Z11053" s="103"/>
      <c r="AA11053" s="103"/>
      <c r="AB11053" s="1"/>
    </row>
    <row r="11054" spans="15:28">
      <c r="O11054" s="1"/>
      <c r="P11054" s="1"/>
      <c r="Q11054" s="1"/>
      <c r="R11054" s="1"/>
      <c r="Z11054" s="103"/>
      <c r="AA11054" s="103"/>
      <c r="AB11054" s="1"/>
    </row>
    <row r="11055" spans="15:28">
      <c r="O11055" s="1"/>
      <c r="P11055" s="1"/>
      <c r="Q11055" s="1"/>
      <c r="R11055" s="1"/>
      <c r="Z11055" s="103"/>
      <c r="AA11055" s="103"/>
      <c r="AB11055" s="1"/>
    </row>
    <row r="11056" spans="15:28">
      <c r="O11056" s="1"/>
      <c r="P11056" s="1"/>
      <c r="Q11056" s="1"/>
      <c r="R11056" s="1"/>
      <c r="Z11056" s="103"/>
      <c r="AA11056" s="103"/>
      <c r="AB11056" s="1"/>
    </row>
    <row r="11057" spans="15:28">
      <c r="O11057" s="1"/>
      <c r="P11057" s="1"/>
      <c r="Q11057" s="1"/>
      <c r="R11057" s="1"/>
      <c r="Z11057" s="103"/>
      <c r="AA11057" s="103"/>
      <c r="AB11057" s="1"/>
    </row>
    <row r="11058" spans="15:28">
      <c r="O11058" s="1"/>
      <c r="P11058" s="1"/>
      <c r="Q11058" s="1"/>
      <c r="R11058" s="1"/>
      <c r="Z11058" s="103"/>
      <c r="AA11058" s="103"/>
      <c r="AB11058" s="1"/>
    </row>
    <row r="11059" spans="15:28">
      <c r="O11059" s="1"/>
      <c r="P11059" s="1"/>
      <c r="Q11059" s="1"/>
      <c r="R11059" s="1"/>
      <c r="Z11059" s="103"/>
      <c r="AA11059" s="103"/>
      <c r="AB11059" s="1"/>
    </row>
    <row r="11060" spans="15:28">
      <c r="O11060" s="1"/>
      <c r="P11060" s="1"/>
      <c r="Q11060" s="1"/>
      <c r="R11060" s="1"/>
      <c r="Z11060" s="103"/>
      <c r="AA11060" s="103"/>
      <c r="AB11060" s="1"/>
    </row>
    <row r="11061" spans="15:28">
      <c r="O11061" s="1"/>
      <c r="P11061" s="1"/>
      <c r="Q11061" s="1"/>
      <c r="R11061" s="1"/>
      <c r="Z11061" s="103"/>
      <c r="AA11061" s="103"/>
      <c r="AB11061" s="1"/>
    </row>
    <row r="11062" spans="15:28">
      <c r="O11062" s="1"/>
      <c r="P11062" s="1"/>
      <c r="Q11062" s="1"/>
      <c r="R11062" s="1"/>
      <c r="Z11062" s="103"/>
      <c r="AA11062" s="103"/>
      <c r="AB11062" s="1"/>
    </row>
    <row r="11063" spans="15:28">
      <c r="O11063" s="1"/>
      <c r="P11063" s="1"/>
      <c r="Q11063" s="1"/>
      <c r="R11063" s="1"/>
      <c r="Z11063" s="103"/>
      <c r="AA11063" s="103"/>
      <c r="AB11063" s="1"/>
    </row>
    <row r="11064" spans="15:28">
      <c r="O11064" s="1"/>
      <c r="P11064" s="1"/>
      <c r="Q11064" s="1"/>
      <c r="R11064" s="1"/>
      <c r="Z11064" s="103"/>
      <c r="AA11064" s="103"/>
      <c r="AB11064" s="1"/>
    </row>
    <row r="11065" spans="15:28">
      <c r="O11065" s="1"/>
      <c r="P11065" s="1"/>
      <c r="Q11065" s="1"/>
      <c r="R11065" s="1"/>
      <c r="Z11065" s="103"/>
      <c r="AA11065" s="103"/>
      <c r="AB11065" s="1"/>
    </row>
    <row r="11066" spans="15:28">
      <c r="O11066" s="1"/>
      <c r="P11066" s="1"/>
      <c r="Q11066" s="1"/>
      <c r="R11066" s="1"/>
      <c r="Z11066" s="103"/>
      <c r="AA11066" s="103"/>
      <c r="AB11066" s="1"/>
    </row>
    <row r="11067" spans="15:28">
      <c r="O11067" s="1"/>
      <c r="P11067" s="1"/>
      <c r="Q11067" s="1"/>
      <c r="R11067" s="1"/>
      <c r="Z11067" s="103"/>
      <c r="AA11067" s="103"/>
      <c r="AB11067" s="1"/>
    </row>
    <row r="11068" spans="15:28">
      <c r="O11068" s="1"/>
      <c r="P11068" s="1"/>
      <c r="Q11068" s="1"/>
      <c r="R11068" s="1"/>
      <c r="Z11068" s="103"/>
      <c r="AA11068" s="103"/>
      <c r="AB11068" s="1"/>
    </row>
    <row r="11069" spans="15:28">
      <c r="O11069" s="1"/>
      <c r="P11069" s="1"/>
      <c r="Q11069" s="1"/>
      <c r="R11069" s="1"/>
      <c r="Z11069" s="103"/>
      <c r="AA11069" s="103"/>
      <c r="AB11069" s="1"/>
    </row>
    <row r="11070" spans="15:28">
      <c r="O11070" s="1"/>
      <c r="P11070" s="1"/>
      <c r="Q11070" s="1"/>
      <c r="R11070" s="1"/>
      <c r="Z11070" s="103"/>
      <c r="AA11070" s="103"/>
      <c r="AB11070" s="1"/>
    </row>
    <row r="11071" spans="15:28">
      <c r="O11071" s="1"/>
      <c r="P11071" s="1"/>
      <c r="Q11071" s="1"/>
      <c r="R11071" s="1"/>
      <c r="Z11071" s="103"/>
      <c r="AA11071" s="103"/>
      <c r="AB11071" s="1"/>
    </row>
    <row r="11072" spans="15:28">
      <c r="O11072" s="1"/>
      <c r="P11072" s="1"/>
      <c r="Q11072" s="1"/>
      <c r="R11072" s="1"/>
      <c r="Z11072" s="103"/>
      <c r="AA11072" s="103"/>
      <c r="AB11072" s="1"/>
    </row>
    <row r="11073" spans="15:28">
      <c r="O11073" s="1"/>
      <c r="P11073" s="1"/>
      <c r="Q11073" s="1"/>
      <c r="R11073" s="1"/>
      <c r="Z11073" s="103"/>
      <c r="AA11073" s="103"/>
      <c r="AB11073" s="1"/>
    </row>
    <row r="11074" spans="15:28">
      <c r="O11074" s="1"/>
      <c r="P11074" s="1"/>
      <c r="Q11074" s="1"/>
      <c r="R11074" s="1"/>
      <c r="Z11074" s="103"/>
      <c r="AA11074" s="103"/>
      <c r="AB11074" s="1"/>
    </row>
    <row r="11075" spans="15:28">
      <c r="O11075" s="1"/>
      <c r="P11075" s="1"/>
      <c r="Q11075" s="1"/>
      <c r="R11075" s="1"/>
      <c r="Z11075" s="103"/>
      <c r="AA11075" s="103"/>
      <c r="AB11075" s="1"/>
    </row>
    <row r="11076" spans="15:28">
      <c r="O11076" s="1"/>
      <c r="P11076" s="1"/>
      <c r="Q11076" s="1"/>
      <c r="R11076" s="1"/>
      <c r="Z11076" s="103"/>
      <c r="AA11076" s="103"/>
      <c r="AB11076" s="1"/>
    </row>
    <row r="11077" spans="15:28">
      <c r="O11077" s="1"/>
      <c r="P11077" s="1"/>
      <c r="Q11077" s="1"/>
      <c r="R11077" s="1"/>
      <c r="Z11077" s="103"/>
      <c r="AA11077" s="103"/>
      <c r="AB11077" s="1"/>
    </row>
    <row r="11078" spans="15:28">
      <c r="O11078" s="1"/>
      <c r="P11078" s="1"/>
      <c r="Q11078" s="1"/>
      <c r="R11078" s="1"/>
      <c r="Z11078" s="103"/>
      <c r="AA11078" s="103"/>
      <c r="AB11078" s="1"/>
    </row>
    <row r="11079" spans="15:28">
      <c r="O11079" s="1"/>
      <c r="P11079" s="1"/>
      <c r="Q11079" s="1"/>
      <c r="R11079" s="1"/>
      <c r="Z11079" s="103"/>
      <c r="AA11079" s="103"/>
      <c r="AB11079" s="1"/>
    </row>
    <row r="11080" spans="15:28">
      <c r="O11080" s="1"/>
      <c r="P11080" s="1"/>
      <c r="Q11080" s="1"/>
      <c r="R11080" s="1"/>
      <c r="Z11080" s="103"/>
      <c r="AA11080" s="103"/>
      <c r="AB11080" s="1"/>
    </row>
    <row r="11081" spans="15:28">
      <c r="O11081" s="1"/>
      <c r="P11081" s="1"/>
      <c r="Q11081" s="1"/>
      <c r="R11081" s="1"/>
      <c r="Z11081" s="103"/>
      <c r="AA11081" s="103"/>
      <c r="AB11081" s="1"/>
    </row>
    <row r="11082" spans="15:28">
      <c r="O11082" s="1"/>
      <c r="P11082" s="1"/>
      <c r="Q11082" s="1"/>
      <c r="R11082" s="1"/>
      <c r="Z11082" s="103"/>
      <c r="AA11082" s="103"/>
      <c r="AB11082" s="1"/>
    </row>
    <row r="11083" spans="15:28">
      <c r="O11083" s="1"/>
      <c r="P11083" s="1"/>
      <c r="Q11083" s="1"/>
      <c r="R11083" s="1"/>
      <c r="Z11083" s="103"/>
      <c r="AA11083" s="103"/>
      <c r="AB11083" s="1"/>
    </row>
    <row r="11084" spans="15:28">
      <c r="O11084" s="1"/>
      <c r="P11084" s="1"/>
      <c r="Q11084" s="1"/>
      <c r="R11084" s="1"/>
      <c r="Z11084" s="103"/>
      <c r="AA11084" s="103"/>
      <c r="AB11084" s="1"/>
    </row>
    <row r="11085" spans="15:28">
      <c r="O11085" s="1"/>
      <c r="P11085" s="1"/>
      <c r="Q11085" s="1"/>
      <c r="R11085" s="1"/>
      <c r="Z11085" s="103"/>
      <c r="AA11085" s="103"/>
      <c r="AB11085" s="1"/>
    </row>
    <row r="11086" spans="15:28">
      <c r="O11086" s="1"/>
      <c r="P11086" s="1"/>
      <c r="Q11086" s="1"/>
      <c r="R11086" s="1"/>
      <c r="Z11086" s="103"/>
      <c r="AA11086" s="103"/>
      <c r="AB11086" s="1"/>
    </row>
    <row r="11087" spans="15:28">
      <c r="O11087" s="1"/>
      <c r="P11087" s="1"/>
      <c r="Q11087" s="1"/>
      <c r="R11087" s="1"/>
      <c r="Z11087" s="103"/>
      <c r="AA11087" s="103"/>
      <c r="AB11087" s="1"/>
    </row>
    <row r="11088" spans="15:28">
      <c r="O11088" s="1"/>
      <c r="P11088" s="1"/>
      <c r="Q11088" s="1"/>
      <c r="R11088" s="1"/>
      <c r="Z11088" s="103"/>
      <c r="AA11088" s="103"/>
      <c r="AB11088" s="1"/>
    </row>
    <row r="11089" spans="15:30">
      <c r="O11089" s="1"/>
      <c r="P11089" s="1"/>
      <c r="Q11089" s="1"/>
      <c r="R11089" s="1"/>
      <c r="Z11089" s="103"/>
      <c r="AA11089" s="103"/>
      <c r="AB11089" s="1"/>
    </row>
    <row r="11090" spans="15:30">
      <c r="O11090" s="1"/>
      <c r="P11090" s="1"/>
      <c r="Q11090" s="1"/>
      <c r="R11090" s="1"/>
      <c r="Z11090" s="103"/>
      <c r="AA11090" s="103"/>
      <c r="AB11090" s="1"/>
    </row>
    <row r="11091" spans="15:30">
      <c r="O11091" s="1"/>
      <c r="P11091" s="1"/>
      <c r="Q11091" s="1"/>
      <c r="R11091" s="1"/>
      <c r="Z11091" s="103"/>
      <c r="AA11091" s="103"/>
      <c r="AB11091" s="1"/>
    </row>
    <row r="11092" spans="15:30">
      <c r="O11092" s="1"/>
      <c r="P11092" s="1"/>
      <c r="Q11092" s="1"/>
      <c r="R11092" s="1"/>
      <c r="Z11092" s="103"/>
      <c r="AA11092" s="103"/>
      <c r="AB11092" s="1"/>
    </row>
    <row r="11093" spans="15:30">
      <c r="O11093" s="1"/>
      <c r="P11093" s="1"/>
      <c r="Q11093" s="1"/>
      <c r="R11093" s="1"/>
      <c r="Z11093" s="103"/>
      <c r="AA11093" s="103"/>
      <c r="AB11093" s="1"/>
      <c r="AD11093" s="102"/>
    </row>
    <row r="11094" spans="15:30">
      <c r="O11094" s="1"/>
      <c r="P11094" s="1"/>
      <c r="Q11094" s="1"/>
      <c r="R11094" s="1"/>
      <c r="Z11094" s="103"/>
      <c r="AA11094" s="103"/>
      <c r="AB11094" s="1"/>
    </row>
    <row r="11095" spans="15:30">
      <c r="O11095" s="1"/>
      <c r="P11095" s="1"/>
      <c r="Q11095" s="1"/>
      <c r="R11095" s="1"/>
      <c r="Z11095" s="103"/>
      <c r="AA11095" s="103"/>
      <c r="AB11095" s="1"/>
    </row>
    <row r="11096" spans="15:30">
      <c r="O11096" s="1"/>
      <c r="P11096" s="1"/>
      <c r="Q11096" s="1"/>
      <c r="R11096" s="1"/>
      <c r="Z11096" s="103"/>
      <c r="AA11096" s="103"/>
      <c r="AB11096" s="1"/>
    </row>
    <row r="11097" spans="15:30">
      <c r="O11097" s="1"/>
      <c r="P11097" s="1"/>
      <c r="Q11097" s="1"/>
      <c r="R11097" s="1"/>
      <c r="Z11097" s="103"/>
      <c r="AA11097" s="103"/>
      <c r="AB11097" s="1"/>
    </row>
    <row r="11098" spans="15:30">
      <c r="O11098" s="1"/>
      <c r="P11098" s="1"/>
      <c r="Q11098" s="1"/>
      <c r="R11098" s="1"/>
      <c r="Z11098" s="103"/>
      <c r="AA11098" s="103"/>
      <c r="AB11098" s="1"/>
    </row>
    <row r="11099" spans="15:30">
      <c r="O11099" s="1"/>
      <c r="P11099" s="1"/>
      <c r="Q11099" s="1"/>
      <c r="R11099" s="1"/>
      <c r="Z11099" s="103"/>
      <c r="AA11099" s="103"/>
      <c r="AB11099" s="1"/>
    </row>
    <row r="11100" spans="15:30">
      <c r="O11100" s="1"/>
      <c r="P11100" s="1"/>
      <c r="Q11100" s="1"/>
      <c r="R11100" s="1"/>
      <c r="Z11100" s="103"/>
      <c r="AA11100" s="103"/>
      <c r="AB11100" s="1"/>
    </row>
    <row r="11101" spans="15:30">
      <c r="O11101" s="1"/>
      <c r="P11101" s="1"/>
      <c r="Q11101" s="1"/>
      <c r="R11101" s="1"/>
      <c r="Z11101" s="103"/>
      <c r="AA11101" s="103"/>
      <c r="AB11101" s="1"/>
    </row>
    <row r="11102" spans="15:30">
      <c r="O11102" s="1"/>
      <c r="P11102" s="1"/>
      <c r="Q11102" s="1"/>
      <c r="R11102" s="1"/>
      <c r="Z11102" s="103"/>
      <c r="AA11102" s="103"/>
      <c r="AB11102" s="1"/>
    </row>
    <row r="11103" spans="15:30">
      <c r="O11103" s="1"/>
      <c r="P11103" s="1"/>
      <c r="Q11103" s="1"/>
      <c r="R11103" s="1"/>
      <c r="Z11103" s="103"/>
      <c r="AA11103" s="103"/>
      <c r="AB11103" s="1"/>
    </row>
    <row r="11104" spans="15:30">
      <c r="O11104" s="1"/>
      <c r="P11104" s="1"/>
      <c r="Q11104" s="1"/>
      <c r="R11104" s="1"/>
      <c r="Z11104" s="103"/>
      <c r="AA11104" s="103"/>
      <c r="AB11104" s="1"/>
    </row>
    <row r="11105" spans="15:28">
      <c r="O11105" s="1"/>
      <c r="P11105" s="1"/>
      <c r="Q11105" s="1"/>
      <c r="R11105" s="1"/>
      <c r="Z11105" s="103"/>
      <c r="AA11105" s="103"/>
      <c r="AB11105" s="1"/>
    </row>
    <row r="11106" spans="15:28">
      <c r="O11106" s="1"/>
      <c r="P11106" s="1"/>
      <c r="Q11106" s="1"/>
      <c r="R11106" s="1"/>
      <c r="Z11106" s="103"/>
      <c r="AA11106" s="103"/>
      <c r="AB11106" s="1"/>
    </row>
    <row r="11107" spans="15:28">
      <c r="O11107" s="1"/>
      <c r="P11107" s="1"/>
      <c r="Q11107" s="1"/>
      <c r="R11107" s="1"/>
      <c r="Z11107" s="103"/>
      <c r="AA11107" s="103"/>
      <c r="AB11107" s="1"/>
    </row>
    <row r="11108" spans="15:28">
      <c r="O11108" s="1"/>
      <c r="P11108" s="1"/>
      <c r="Q11108" s="1"/>
      <c r="R11108" s="1"/>
      <c r="Z11108" s="103"/>
      <c r="AA11108" s="103"/>
      <c r="AB11108" s="1"/>
    </row>
    <row r="11109" spans="15:28">
      <c r="O11109" s="1"/>
      <c r="P11109" s="1"/>
      <c r="Q11109" s="1"/>
      <c r="R11109" s="1"/>
      <c r="Z11109" s="103"/>
      <c r="AA11109" s="103"/>
      <c r="AB11109" s="1"/>
    </row>
    <row r="11110" spans="15:28">
      <c r="O11110" s="1"/>
      <c r="P11110" s="1"/>
      <c r="Q11110" s="1"/>
      <c r="R11110" s="1"/>
      <c r="Z11110" s="103"/>
      <c r="AA11110" s="103"/>
      <c r="AB11110" s="1"/>
    </row>
    <row r="11111" spans="15:28">
      <c r="O11111" s="1"/>
      <c r="P11111" s="1"/>
      <c r="Q11111" s="1"/>
      <c r="R11111" s="1"/>
      <c r="Z11111" s="103"/>
      <c r="AA11111" s="103"/>
      <c r="AB11111" s="1"/>
    </row>
    <row r="11112" spans="15:28">
      <c r="O11112" s="1"/>
      <c r="P11112" s="1"/>
      <c r="Q11112" s="1"/>
      <c r="R11112" s="1"/>
      <c r="Z11112" s="103"/>
      <c r="AA11112" s="103"/>
      <c r="AB11112" s="1"/>
    </row>
    <row r="11113" spans="15:28">
      <c r="O11113" s="1"/>
      <c r="P11113" s="1"/>
      <c r="Q11113" s="1"/>
      <c r="R11113" s="1"/>
      <c r="Z11113" s="103"/>
      <c r="AA11113" s="103"/>
      <c r="AB11113" s="1"/>
    </row>
    <row r="11114" spans="15:28">
      <c r="O11114" s="1"/>
      <c r="P11114" s="1"/>
      <c r="Q11114" s="1"/>
      <c r="R11114" s="1"/>
      <c r="Z11114" s="103"/>
      <c r="AA11114" s="103"/>
      <c r="AB11114" s="1"/>
    </row>
    <row r="11115" spans="15:28">
      <c r="O11115" s="1"/>
      <c r="P11115" s="1"/>
      <c r="Q11115" s="1"/>
      <c r="R11115" s="1"/>
      <c r="Z11115" s="103"/>
      <c r="AA11115" s="103"/>
      <c r="AB11115" s="1"/>
    </row>
    <row r="11116" spans="15:28">
      <c r="O11116" s="1"/>
      <c r="P11116" s="1"/>
      <c r="Q11116" s="1"/>
      <c r="R11116" s="1"/>
      <c r="Z11116" s="103"/>
      <c r="AA11116" s="103"/>
      <c r="AB11116" s="1"/>
    </row>
    <row r="11117" spans="15:28">
      <c r="O11117" s="1"/>
      <c r="P11117" s="1"/>
      <c r="Q11117" s="1"/>
      <c r="R11117" s="1"/>
      <c r="Z11117" s="103"/>
      <c r="AA11117" s="103"/>
      <c r="AB11117" s="1"/>
    </row>
    <row r="11118" spans="15:28">
      <c r="O11118" s="1"/>
      <c r="P11118" s="1"/>
      <c r="Q11118" s="1"/>
      <c r="R11118" s="1"/>
      <c r="Z11118" s="103"/>
      <c r="AA11118" s="103"/>
      <c r="AB11118" s="1"/>
    </row>
    <row r="11119" spans="15:28">
      <c r="O11119" s="1"/>
      <c r="P11119" s="1"/>
      <c r="Q11119" s="1"/>
      <c r="R11119" s="1"/>
      <c r="Z11119" s="103"/>
      <c r="AA11119" s="103"/>
      <c r="AB11119" s="1"/>
    </row>
    <row r="11120" spans="15:28">
      <c r="O11120" s="1"/>
      <c r="P11120" s="1"/>
      <c r="Q11120" s="1"/>
      <c r="R11120" s="1"/>
      <c r="Z11120" s="103"/>
      <c r="AA11120" s="103"/>
      <c r="AB11120" s="1"/>
    </row>
    <row r="11121" spans="15:28">
      <c r="O11121" s="1"/>
      <c r="P11121" s="1"/>
      <c r="Q11121" s="1"/>
      <c r="R11121" s="1"/>
      <c r="Z11121" s="103"/>
      <c r="AA11121" s="103"/>
      <c r="AB11121" s="1"/>
    </row>
    <row r="11122" spans="15:28">
      <c r="O11122" s="1"/>
      <c r="P11122" s="1"/>
      <c r="Q11122" s="1"/>
      <c r="R11122" s="1"/>
      <c r="Z11122" s="103"/>
      <c r="AA11122" s="103"/>
      <c r="AB11122" s="1"/>
    </row>
    <row r="11123" spans="15:28">
      <c r="O11123" s="1"/>
      <c r="P11123" s="1"/>
      <c r="Q11123" s="1"/>
      <c r="R11123" s="1"/>
      <c r="Z11123" s="103"/>
      <c r="AA11123" s="103"/>
      <c r="AB11123" s="1"/>
    </row>
    <row r="11124" spans="15:28">
      <c r="O11124" s="1"/>
      <c r="P11124" s="1"/>
      <c r="Q11124" s="1"/>
      <c r="R11124" s="1"/>
      <c r="Z11124" s="103"/>
      <c r="AA11124" s="103"/>
      <c r="AB11124" s="1"/>
    </row>
    <row r="11125" spans="15:28">
      <c r="O11125" s="1"/>
      <c r="P11125" s="1"/>
      <c r="Q11125" s="1"/>
      <c r="R11125" s="1"/>
      <c r="Z11125" s="103"/>
      <c r="AA11125" s="103"/>
      <c r="AB11125" s="1"/>
    </row>
    <row r="11126" spans="15:28">
      <c r="O11126" s="1"/>
      <c r="P11126" s="1"/>
      <c r="Q11126" s="1"/>
      <c r="R11126" s="1"/>
      <c r="Z11126" s="103"/>
      <c r="AA11126" s="103"/>
      <c r="AB11126" s="1"/>
    </row>
    <row r="11127" spans="15:28">
      <c r="O11127" s="1"/>
      <c r="P11127" s="1"/>
      <c r="Q11127" s="1"/>
      <c r="R11127" s="1"/>
      <c r="Z11127" s="103"/>
      <c r="AA11127" s="103"/>
      <c r="AB11127" s="1"/>
    </row>
    <row r="11128" spans="15:28">
      <c r="O11128" s="1"/>
      <c r="P11128" s="1"/>
      <c r="Q11128" s="1"/>
      <c r="R11128" s="1"/>
      <c r="Z11128" s="103"/>
      <c r="AA11128" s="103"/>
      <c r="AB11128" s="1"/>
    </row>
    <row r="11129" spans="15:28">
      <c r="O11129" s="1"/>
      <c r="P11129" s="1"/>
      <c r="Q11129" s="1"/>
      <c r="R11129" s="1"/>
      <c r="Z11129" s="103"/>
      <c r="AA11129" s="103"/>
      <c r="AB11129" s="1"/>
    </row>
    <row r="11130" spans="15:28">
      <c r="O11130" s="1"/>
      <c r="P11130" s="1"/>
      <c r="Q11130" s="1"/>
      <c r="R11130" s="1"/>
      <c r="Z11130" s="103"/>
      <c r="AA11130" s="103"/>
      <c r="AB11130" s="1"/>
    </row>
    <row r="11131" spans="15:28">
      <c r="O11131" s="1"/>
      <c r="P11131" s="1"/>
      <c r="Q11131" s="1"/>
      <c r="R11131" s="1"/>
      <c r="Z11131" s="103"/>
      <c r="AA11131" s="103"/>
      <c r="AB11131" s="1"/>
    </row>
    <row r="11132" spans="15:28">
      <c r="O11132" s="1"/>
      <c r="P11132" s="1"/>
      <c r="Q11132" s="1"/>
      <c r="R11132" s="1"/>
      <c r="Z11132" s="103"/>
      <c r="AA11132" s="103"/>
      <c r="AB11132" s="1"/>
    </row>
    <row r="11133" spans="15:28">
      <c r="O11133" s="1"/>
      <c r="P11133" s="1"/>
      <c r="Q11133" s="1"/>
      <c r="R11133" s="1"/>
      <c r="Z11133" s="103"/>
      <c r="AA11133" s="103"/>
      <c r="AB11133" s="1"/>
    </row>
    <row r="11134" spans="15:28">
      <c r="O11134" s="1"/>
      <c r="P11134" s="1"/>
      <c r="Q11134" s="1"/>
      <c r="R11134" s="1"/>
      <c r="Z11134" s="103"/>
      <c r="AA11134" s="103"/>
      <c r="AB11134" s="1"/>
    </row>
    <row r="11135" spans="15:28">
      <c r="O11135" s="1"/>
      <c r="P11135" s="1"/>
      <c r="Q11135" s="1"/>
      <c r="R11135" s="1"/>
      <c r="Z11135" s="103"/>
      <c r="AA11135" s="103"/>
      <c r="AB11135" s="1"/>
    </row>
    <row r="11136" spans="15:28">
      <c r="O11136" s="1"/>
      <c r="P11136" s="1"/>
      <c r="Q11136" s="1"/>
      <c r="R11136" s="1"/>
      <c r="Z11136" s="103"/>
      <c r="AA11136" s="103"/>
      <c r="AB11136" s="1"/>
    </row>
    <row r="11137" spans="15:28">
      <c r="O11137" s="1"/>
      <c r="P11137" s="1"/>
      <c r="Q11137" s="1"/>
      <c r="R11137" s="1"/>
      <c r="Z11137" s="103"/>
      <c r="AA11137" s="103"/>
      <c r="AB11137" s="1"/>
    </row>
    <row r="11138" spans="15:28">
      <c r="O11138" s="1"/>
      <c r="P11138" s="1"/>
      <c r="Q11138" s="1"/>
      <c r="R11138" s="1"/>
      <c r="Z11138" s="103"/>
      <c r="AA11138" s="103"/>
      <c r="AB11138" s="1"/>
    </row>
    <row r="11139" spans="15:28">
      <c r="O11139" s="1"/>
      <c r="P11139" s="1"/>
      <c r="Q11139" s="1"/>
      <c r="R11139" s="1"/>
      <c r="Z11139" s="103"/>
      <c r="AA11139" s="103"/>
      <c r="AB11139" s="1"/>
    </row>
    <row r="11140" spans="15:28">
      <c r="O11140" s="1"/>
      <c r="P11140" s="1"/>
      <c r="Q11140" s="1"/>
      <c r="R11140" s="1"/>
      <c r="Z11140" s="103"/>
      <c r="AA11140" s="103"/>
      <c r="AB11140" s="1"/>
    </row>
    <row r="11141" spans="15:28">
      <c r="O11141" s="1"/>
      <c r="P11141" s="1"/>
      <c r="Q11141" s="1"/>
      <c r="R11141" s="1"/>
      <c r="Z11141" s="103"/>
      <c r="AA11141" s="103"/>
      <c r="AB11141" s="1"/>
    </row>
    <row r="11142" spans="15:28">
      <c r="O11142" s="1"/>
      <c r="P11142" s="1"/>
      <c r="Q11142" s="1"/>
      <c r="R11142" s="1"/>
      <c r="Z11142" s="103"/>
      <c r="AA11142" s="103"/>
      <c r="AB11142" s="1"/>
    </row>
    <row r="11143" spans="15:28">
      <c r="O11143" s="1"/>
      <c r="P11143" s="1"/>
      <c r="Q11143" s="1"/>
      <c r="R11143" s="1"/>
      <c r="Z11143" s="103"/>
      <c r="AA11143" s="103"/>
      <c r="AB11143" s="1"/>
    </row>
    <row r="11144" spans="15:28">
      <c r="O11144" s="1"/>
      <c r="P11144" s="1"/>
      <c r="Q11144" s="1"/>
      <c r="R11144" s="1"/>
      <c r="Z11144" s="103"/>
      <c r="AA11144" s="103"/>
      <c r="AB11144" s="1"/>
    </row>
    <row r="11145" spans="15:28">
      <c r="O11145" s="1"/>
      <c r="P11145" s="1"/>
      <c r="Q11145" s="1"/>
      <c r="R11145" s="1"/>
      <c r="Z11145" s="103"/>
      <c r="AA11145" s="103"/>
      <c r="AB11145" s="1"/>
    </row>
    <row r="11146" spans="15:28">
      <c r="O11146" s="1"/>
      <c r="P11146" s="1"/>
      <c r="Q11146" s="1"/>
      <c r="R11146" s="1"/>
      <c r="Z11146" s="103"/>
      <c r="AA11146" s="103"/>
      <c r="AB11146" s="1"/>
    </row>
    <row r="11147" spans="15:28">
      <c r="O11147" s="1"/>
      <c r="P11147" s="1"/>
      <c r="Q11147" s="1"/>
      <c r="R11147" s="1"/>
      <c r="Z11147" s="103"/>
      <c r="AA11147" s="103"/>
      <c r="AB11147" s="1"/>
    </row>
    <row r="11148" spans="15:28">
      <c r="O11148" s="1"/>
      <c r="P11148" s="1"/>
      <c r="Q11148" s="1"/>
      <c r="R11148" s="1"/>
      <c r="Z11148" s="103"/>
      <c r="AA11148" s="103"/>
      <c r="AB11148" s="1"/>
    </row>
    <row r="11149" spans="15:28">
      <c r="O11149" s="1"/>
      <c r="P11149" s="1"/>
      <c r="Q11149" s="1"/>
      <c r="R11149" s="1"/>
      <c r="Z11149" s="103"/>
      <c r="AA11149" s="103"/>
      <c r="AB11149" s="1"/>
    </row>
    <row r="11150" spans="15:28">
      <c r="O11150" s="1"/>
      <c r="P11150" s="1"/>
      <c r="Q11150" s="1"/>
      <c r="R11150" s="1"/>
      <c r="Z11150" s="103"/>
      <c r="AA11150" s="103"/>
      <c r="AB11150" s="1"/>
    </row>
    <row r="11151" spans="15:28">
      <c r="O11151" s="1"/>
      <c r="P11151" s="1"/>
      <c r="Q11151" s="1"/>
      <c r="R11151" s="1"/>
      <c r="Z11151" s="103"/>
      <c r="AA11151" s="103"/>
      <c r="AB11151" s="1"/>
    </row>
    <row r="11152" spans="15:28">
      <c r="O11152" s="1"/>
      <c r="P11152" s="1"/>
      <c r="Q11152" s="1"/>
      <c r="R11152" s="1"/>
      <c r="Z11152" s="103"/>
      <c r="AA11152" s="103"/>
      <c r="AB11152" s="1"/>
    </row>
    <row r="11153" spans="15:28">
      <c r="O11153" s="1"/>
      <c r="P11153" s="1"/>
      <c r="Q11153" s="1"/>
      <c r="R11153" s="1"/>
      <c r="Z11153" s="103"/>
      <c r="AA11153" s="103"/>
      <c r="AB11153" s="1"/>
    </row>
    <row r="11154" spans="15:28">
      <c r="O11154" s="1"/>
      <c r="P11154" s="1"/>
      <c r="Q11154" s="1"/>
      <c r="R11154" s="1"/>
      <c r="Z11154" s="103"/>
      <c r="AA11154" s="103"/>
      <c r="AB11154" s="1"/>
    </row>
    <row r="11155" spans="15:28">
      <c r="O11155" s="1"/>
      <c r="P11155" s="1"/>
      <c r="Q11155" s="1"/>
      <c r="R11155" s="1"/>
      <c r="Z11155" s="103"/>
      <c r="AA11155" s="103"/>
      <c r="AB11155" s="1"/>
    </row>
    <row r="11156" spans="15:28">
      <c r="O11156" s="1"/>
      <c r="P11156" s="1"/>
      <c r="Q11156" s="1"/>
      <c r="R11156" s="1"/>
      <c r="Z11156" s="103"/>
      <c r="AA11156" s="103"/>
      <c r="AB11156" s="1"/>
    </row>
    <row r="11157" spans="15:28">
      <c r="O11157" s="1"/>
      <c r="P11157" s="1"/>
      <c r="Q11157" s="1"/>
      <c r="R11157" s="1"/>
      <c r="Z11157" s="103"/>
      <c r="AA11157" s="103"/>
      <c r="AB11157" s="1"/>
    </row>
    <row r="11158" spans="15:28">
      <c r="O11158" s="1"/>
      <c r="P11158" s="1"/>
      <c r="Q11158" s="1"/>
      <c r="R11158" s="1"/>
      <c r="Z11158" s="103"/>
      <c r="AA11158" s="103"/>
      <c r="AB11158" s="1"/>
    </row>
    <row r="11159" spans="15:28">
      <c r="O11159" s="1"/>
      <c r="P11159" s="1"/>
      <c r="Q11159" s="1"/>
      <c r="R11159" s="1"/>
      <c r="Z11159" s="103"/>
      <c r="AA11159" s="103"/>
      <c r="AB11159" s="1"/>
    </row>
    <row r="11160" spans="15:28">
      <c r="O11160" s="1"/>
      <c r="P11160" s="1"/>
      <c r="Q11160" s="1"/>
      <c r="R11160" s="1"/>
      <c r="Z11160" s="103"/>
      <c r="AA11160" s="103"/>
      <c r="AB11160" s="1"/>
    </row>
    <row r="11161" spans="15:28">
      <c r="O11161" s="1"/>
      <c r="P11161" s="1"/>
      <c r="Q11161" s="1"/>
      <c r="R11161" s="1"/>
      <c r="Z11161" s="103"/>
      <c r="AA11161" s="103"/>
      <c r="AB11161" s="1"/>
    </row>
    <row r="11162" spans="15:28">
      <c r="O11162" s="1"/>
      <c r="P11162" s="1"/>
      <c r="Q11162" s="1"/>
      <c r="R11162" s="1"/>
      <c r="Z11162" s="103"/>
      <c r="AA11162" s="103"/>
      <c r="AB11162" s="1"/>
    </row>
    <row r="11163" spans="15:28">
      <c r="O11163" s="1"/>
      <c r="P11163" s="1"/>
      <c r="Q11163" s="1"/>
      <c r="R11163" s="1"/>
      <c r="Z11163" s="103"/>
      <c r="AA11163" s="103"/>
      <c r="AB11163" s="1"/>
    </row>
    <row r="11164" spans="15:28">
      <c r="O11164" s="1"/>
      <c r="P11164" s="1"/>
      <c r="Q11164" s="1"/>
      <c r="R11164" s="1"/>
      <c r="Z11164" s="103"/>
      <c r="AA11164" s="103"/>
      <c r="AB11164" s="1"/>
    </row>
    <row r="11165" spans="15:28">
      <c r="O11165" s="1"/>
      <c r="P11165" s="1"/>
      <c r="Q11165" s="1"/>
      <c r="R11165" s="1"/>
      <c r="Z11165" s="103"/>
      <c r="AA11165" s="103"/>
      <c r="AB11165" s="1"/>
    </row>
    <row r="11166" spans="15:28">
      <c r="O11166" s="1"/>
      <c r="P11166" s="1"/>
      <c r="Q11166" s="1"/>
      <c r="R11166" s="1"/>
      <c r="Z11166" s="103"/>
      <c r="AA11166" s="103"/>
      <c r="AB11166" s="1"/>
    </row>
    <row r="11167" spans="15:28">
      <c r="O11167" s="1"/>
      <c r="P11167" s="1"/>
      <c r="Q11167" s="1"/>
      <c r="R11167" s="1"/>
      <c r="Z11167" s="103"/>
      <c r="AA11167" s="103"/>
      <c r="AB11167" s="1"/>
    </row>
    <row r="11168" spans="15:28">
      <c r="O11168" s="1"/>
      <c r="P11168" s="1"/>
      <c r="Q11168" s="1"/>
      <c r="R11168" s="1"/>
      <c r="Z11168" s="103"/>
      <c r="AA11168" s="103"/>
      <c r="AB11168" s="1"/>
    </row>
    <row r="11169" spans="15:28">
      <c r="O11169" s="1"/>
      <c r="P11169" s="1"/>
      <c r="Q11169" s="1"/>
      <c r="R11169" s="1"/>
      <c r="Z11169" s="103"/>
      <c r="AA11169" s="103"/>
      <c r="AB11169" s="1"/>
    </row>
    <row r="11170" spans="15:28">
      <c r="O11170" s="1"/>
      <c r="P11170" s="1"/>
      <c r="Q11170" s="1"/>
      <c r="R11170" s="1"/>
      <c r="Z11170" s="103"/>
      <c r="AA11170" s="103"/>
      <c r="AB11170" s="1"/>
    </row>
    <row r="11171" spans="15:28">
      <c r="O11171" s="1"/>
      <c r="P11171" s="1"/>
      <c r="Q11171" s="1"/>
      <c r="R11171" s="1"/>
      <c r="Z11171" s="103"/>
      <c r="AA11171" s="103"/>
      <c r="AB11171" s="1"/>
    </row>
    <row r="11172" spans="15:28">
      <c r="O11172" s="1"/>
      <c r="P11172" s="1"/>
      <c r="Q11172" s="1"/>
      <c r="R11172" s="1"/>
      <c r="Z11172" s="103"/>
      <c r="AA11172" s="103"/>
      <c r="AB11172" s="1"/>
    </row>
    <row r="11173" spans="15:28">
      <c r="O11173" s="1"/>
      <c r="P11173" s="1"/>
      <c r="Q11173" s="1"/>
      <c r="R11173" s="1"/>
      <c r="Z11173" s="103"/>
      <c r="AA11173" s="103"/>
      <c r="AB11173" s="1"/>
    </row>
    <row r="11174" spans="15:28">
      <c r="O11174" s="1"/>
      <c r="P11174" s="1"/>
      <c r="Q11174" s="1"/>
      <c r="R11174" s="1"/>
      <c r="Z11174" s="103"/>
      <c r="AA11174" s="103"/>
      <c r="AB11174" s="1"/>
    </row>
    <row r="11175" spans="15:28">
      <c r="O11175" s="1"/>
      <c r="P11175" s="1"/>
      <c r="Q11175" s="1"/>
      <c r="R11175" s="1"/>
      <c r="Z11175" s="103"/>
      <c r="AA11175" s="103"/>
      <c r="AB11175" s="1"/>
    </row>
    <row r="11176" spans="15:28">
      <c r="O11176" s="1"/>
      <c r="P11176" s="1"/>
      <c r="Q11176" s="1"/>
      <c r="R11176" s="1"/>
      <c r="Z11176" s="103"/>
      <c r="AA11176" s="103"/>
      <c r="AB11176" s="1"/>
    </row>
    <row r="11177" spans="15:28">
      <c r="O11177" s="1"/>
      <c r="P11177" s="1"/>
      <c r="Q11177" s="1"/>
      <c r="R11177" s="1"/>
      <c r="Z11177" s="103"/>
      <c r="AA11177" s="103"/>
      <c r="AB11177" s="1"/>
    </row>
    <row r="11178" spans="15:28">
      <c r="O11178" s="1"/>
      <c r="P11178" s="1"/>
      <c r="Q11178" s="1"/>
      <c r="R11178" s="1"/>
      <c r="Z11178" s="103"/>
      <c r="AA11178" s="103"/>
      <c r="AB11178" s="1"/>
    </row>
    <row r="11179" spans="15:28">
      <c r="O11179" s="1"/>
      <c r="P11179" s="1"/>
      <c r="Q11179" s="1"/>
      <c r="R11179" s="1"/>
      <c r="Z11179" s="103"/>
      <c r="AA11179" s="103"/>
      <c r="AB11179" s="1"/>
    </row>
    <row r="11180" spans="15:28">
      <c r="O11180" s="1"/>
      <c r="P11180" s="1"/>
      <c r="Q11180" s="1"/>
      <c r="R11180" s="1"/>
      <c r="Z11180" s="103"/>
      <c r="AA11180" s="103"/>
      <c r="AB11180" s="1"/>
    </row>
    <row r="11181" spans="15:28">
      <c r="O11181" s="1"/>
      <c r="P11181" s="1"/>
      <c r="Q11181" s="1"/>
      <c r="R11181" s="1"/>
      <c r="Z11181" s="103"/>
      <c r="AA11181" s="103"/>
      <c r="AB11181" s="1"/>
    </row>
    <row r="11182" spans="15:28">
      <c r="O11182" s="1"/>
      <c r="P11182" s="1"/>
      <c r="Q11182" s="1"/>
      <c r="R11182" s="1"/>
      <c r="Z11182" s="103"/>
      <c r="AA11182" s="103"/>
      <c r="AB11182" s="1"/>
    </row>
    <row r="11183" spans="15:28">
      <c r="O11183" s="1"/>
      <c r="P11183" s="1"/>
      <c r="Q11183" s="1"/>
      <c r="R11183" s="1"/>
      <c r="Z11183" s="103"/>
      <c r="AA11183" s="103"/>
      <c r="AB11183" s="1"/>
    </row>
    <row r="11184" spans="15:28">
      <c r="O11184" s="1"/>
      <c r="P11184" s="1"/>
      <c r="Q11184" s="1"/>
      <c r="R11184" s="1"/>
      <c r="Z11184" s="103"/>
      <c r="AA11184" s="103"/>
      <c r="AB11184" s="1"/>
    </row>
    <row r="11185" spans="15:28">
      <c r="O11185" s="1"/>
      <c r="P11185" s="1"/>
      <c r="Q11185" s="1"/>
      <c r="R11185" s="1"/>
      <c r="Z11185" s="103"/>
      <c r="AA11185" s="103"/>
      <c r="AB11185" s="1"/>
    </row>
    <row r="11186" spans="15:28">
      <c r="O11186" s="1"/>
      <c r="P11186" s="1"/>
      <c r="Q11186" s="1"/>
      <c r="R11186" s="1"/>
      <c r="Z11186" s="103"/>
      <c r="AA11186" s="103"/>
      <c r="AB11186" s="1"/>
    </row>
    <row r="11187" spans="15:28">
      <c r="O11187" s="1"/>
      <c r="P11187" s="1"/>
      <c r="Q11187" s="1"/>
      <c r="R11187" s="1"/>
      <c r="Z11187" s="103"/>
      <c r="AA11187" s="103"/>
      <c r="AB11187" s="1"/>
    </row>
    <row r="11188" spans="15:28">
      <c r="O11188" s="1"/>
      <c r="P11188" s="1"/>
      <c r="Q11188" s="1"/>
      <c r="R11188" s="1"/>
      <c r="Z11188" s="103"/>
      <c r="AA11188" s="103"/>
      <c r="AB11188" s="1"/>
    </row>
    <row r="11189" spans="15:28">
      <c r="O11189" s="1"/>
      <c r="P11189" s="1"/>
      <c r="Q11189" s="1"/>
      <c r="R11189" s="1"/>
      <c r="Z11189" s="103"/>
      <c r="AA11189" s="103"/>
      <c r="AB11189" s="1"/>
    </row>
    <row r="11190" spans="15:28">
      <c r="O11190" s="1"/>
      <c r="P11190" s="1"/>
      <c r="Q11190" s="1"/>
      <c r="R11190" s="1"/>
      <c r="Z11190" s="103"/>
      <c r="AA11190" s="103"/>
      <c r="AB11190" s="1"/>
    </row>
    <row r="11191" spans="15:28">
      <c r="O11191" s="1"/>
      <c r="P11191" s="1"/>
      <c r="Q11191" s="1"/>
      <c r="R11191" s="1"/>
      <c r="Z11191" s="103"/>
      <c r="AA11191" s="103"/>
      <c r="AB11191" s="1"/>
    </row>
    <row r="11192" spans="15:28">
      <c r="O11192" s="1"/>
      <c r="P11192" s="1"/>
      <c r="Q11192" s="1"/>
      <c r="R11192" s="1"/>
      <c r="Z11192" s="103"/>
      <c r="AA11192" s="103"/>
      <c r="AB11192" s="1"/>
    </row>
    <row r="11193" spans="15:28">
      <c r="O11193" s="1"/>
      <c r="P11193" s="1"/>
      <c r="Q11193" s="1"/>
      <c r="R11193" s="1"/>
      <c r="Z11193" s="103"/>
      <c r="AA11193" s="103"/>
      <c r="AB11193" s="1"/>
    </row>
    <row r="11194" spans="15:28">
      <c r="O11194" s="1"/>
      <c r="P11194" s="1"/>
      <c r="Q11194" s="1"/>
      <c r="R11194" s="1"/>
      <c r="Z11194" s="103"/>
      <c r="AA11194" s="103"/>
      <c r="AB11194" s="1"/>
    </row>
    <row r="11195" spans="15:28">
      <c r="O11195" s="1"/>
      <c r="P11195" s="1"/>
      <c r="Q11195" s="1"/>
      <c r="R11195" s="1"/>
      <c r="Z11195" s="103"/>
      <c r="AA11195" s="103"/>
      <c r="AB11195" s="1"/>
    </row>
    <row r="11196" spans="15:28">
      <c r="O11196" s="1"/>
      <c r="P11196" s="1"/>
      <c r="Q11196" s="1"/>
      <c r="R11196" s="1"/>
      <c r="Z11196" s="103"/>
      <c r="AA11196" s="103"/>
      <c r="AB11196" s="1"/>
    </row>
    <row r="11197" spans="15:28">
      <c r="O11197" s="1"/>
      <c r="P11197" s="1"/>
      <c r="Q11197" s="1"/>
      <c r="R11197" s="1"/>
      <c r="Z11197" s="103"/>
      <c r="AA11197" s="103"/>
      <c r="AB11197" s="1"/>
    </row>
    <row r="11198" spans="15:28">
      <c r="O11198" s="1"/>
      <c r="P11198" s="1"/>
      <c r="Q11198" s="1"/>
      <c r="R11198" s="1"/>
      <c r="Z11198" s="103"/>
      <c r="AA11198" s="103"/>
      <c r="AB11198" s="1"/>
    </row>
    <row r="11199" spans="15:28">
      <c r="O11199" s="1"/>
      <c r="P11199" s="1"/>
      <c r="Q11199" s="1"/>
      <c r="R11199" s="1"/>
      <c r="Z11199" s="103"/>
      <c r="AA11199" s="103"/>
      <c r="AB11199" s="1"/>
    </row>
    <row r="11200" spans="15:28">
      <c r="O11200" s="1"/>
      <c r="P11200" s="1"/>
      <c r="Q11200" s="1"/>
      <c r="R11200" s="1"/>
      <c r="Z11200" s="103"/>
      <c r="AA11200" s="103"/>
      <c r="AB11200" s="1"/>
    </row>
    <row r="11201" spans="15:28">
      <c r="O11201" s="1"/>
      <c r="P11201" s="1"/>
      <c r="Q11201" s="1"/>
      <c r="R11201" s="1"/>
      <c r="Z11201" s="103"/>
      <c r="AA11201" s="103"/>
      <c r="AB11201" s="1"/>
    </row>
    <row r="11202" spans="15:28">
      <c r="O11202" s="1"/>
      <c r="P11202" s="1"/>
      <c r="Q11202" s="1"/>
      <c r="R11202" s="1"/>
      <c r="Z11202" s="103"/>
      <c r="AA11202" s="103"/>
      <c r="AB11202" s="1"/>
    </row>
    <row r="11203" spans="15:28">
      <c r="O11203" s="1"/>
      <c r="P11203" s="1"/>
      <c r="Q11203" s="1"/>
      <c r="R11203" s="1"/>
      <c r="Z11203" s="103"/>
      <c r="AA11203" s="103"/>
      <c r="AB11203" s="1"/>
    </row>
    <row r="11204" spans="15:28">
      <c r="O11204" s="1"/>
      <c r="P11204" s="1"/>
      <c r="Q11204" s="1"/>
      <c r="R11204" s="1"/>
      <c r="Z11204" s="103"/>
      <c r="AA11204" s="103"/>
      <c r="AB11204" s="1"/>
    </row>
    <row r="11205" spans="15:28">
      <c r="O11205" s="1"/>
      <c r="P11205" s="1"/>
      <c r="Q11205" s="1"/>
      <c r="R11205" s="1"/>
      <c r="Z11205" s="103"/>
      <c r="AA11205" s="103"/>
      <c r="AB11205" s="1"/>
    </row>
    <row r="11206" spans="15:28">
      <c r="O11206" s="1"/>
      <c r="P11206" s="1"/>
      <c r="Q11206" s="1"/>
      <c r="R11206" s="1"/>
      <c r="Z11206" s="103"/>
      <c r="AA11206" s="103"/>
      <c r="AB11206" s="1"/>
    </row>
    <row r="11207" spans="15:28">
      <c r="O11207" s="1"/>
      <c r="P11207" s="1"/>
      <c r="Q11207" s="1"/>
      <c r="R11207" s="1"/>
      <c r="Z11207" s="103"/>
      <c r="AA11207" s="103"/>
      <c r="AB11207" s="1"/>
    </row>
    <row r="11208" spans="15:28">
      <c r="O11208" s="1"/>
      <c r="P11208" s="1"/>
      <c r="Q11208" s="1"/>
      <c r="R11208" s="1"/>
      <c r="Z11208" s="103"/>
      <c r="AA11208" s="103"/>
      <c r="AB11208" s="1"/>
    </row>
    <row r="11209" spans="15:28">
      <c r="O11209" s="1"/>
      <c r="P11209" s="1"/>
      <c r="Q11209" s="1"/>
      <c r="R11209" s="1"/>
      <c r="Z11209" s="103"/>
      <c r="AA11209" s="103"/>
      <c r="AB11209" s="1"/>
    </row>
    <row r="11210" spans="15:28">
      <c r="O11210" s="1"/>
      <c r="P11210" s="1"/>
      <c r="Q11210" s="1"/>
      <c r="R11210" s="1"/>
      <c r="Z11210" s="103"/>
      <c r="AA11210" s="103"/>
      <c r="AB11210" s="1"/>
    </row>
    <row r="11211" spans="15:28">
      <c r="O11211" s="1"/>
      <c r="P11211" s="1"/>
      <c r="Q11211" s="1"/>
      <c r="R11211" s="1"/>
      <c r="Z11211" s="103"/>
      <c r="AA11211" s="103"/>
      <c r="AB11211" s="1"/>
    </row>
    <row r="11212" spans="15:28">
      <c r="O11212" s="1"/>
      <c r="P11212" s="1"/>
      <c r="Q11212" s="1"/>
      <c r="R11212" s="1"/>
      <c r="Z11212" s="103"/>
      <c r="AA11212" s="103"/>
      <c r="AB11212" s="1"/>
    </row>
    <row r="11213" spans="15:28">
      <c r="O11213" s="1"/>
      <c r="P11213" s="1"/>
      <c r="Q11213" s="1"/>
      <c r="R11213" s="1"/>
      <c r="Z11213" s="103"/>
      <c r="AA11213" s="103"/>
      <c r="AB11213" s="1"/>
    </row>
    <row r="11214" spans="15:28">
      <c r="O11214" s="1"/>
      <c r="P11214" s="1"/>
      <c r="Q11214" s="1"/>
      <c r="R11214" s="1"/>
      <c r="Z11214" s="103"/>
      <c r="AA11214" s="103"/>
      <c r="AB11214" s="1"/>
    </row>
    <row r="11215" spans="15:28">
      <c r="O11215" s="1"/>
      <c r="P11215" s="1"/>
      <c r="Q11215" s="1"/>
      <c r="R11215" s="1"/>
      <c r="Z11215" s="103"/>
      <c r="AA11215" s="103"/>
      <c r="AB11215" s="1"/>
    </row>
    <row r="11216" spans="15:28">
      <c r="O11216" s="1"/>
      <c r="P11216" s="1"/>
      <c r="Q11216" s="1"/>
      <c r="R11216" s="1"/>
      <c r="Z11216" s="103"/>
      <c r="AA11216" s="103"/>
      <c r="AB11216" s="1"/>
    </row>
    <row r="11217" spans="15:28">
      <c r="O11217" s="1"/>
      <c r="P11217" s="1"/>
      <c r="Q11217" s="1"/>
      <c r="R11217" s="1"/>
      <c r="Z11217" s="103"/>
      <c r="AA11217" s="103"/>
      <c r="AB11217" s="1"/>
    </row>
    <row r="11218" spans="15:28">
      <c r="O11218" s="1"/>
      <c r="P11218" s="1"/>
      <c r="Q11218" s="1"/>
      <c r="R11218" s="1"/>
      <c r="Z11218" s="103"/>
      <c r="AA11218" s="103"/>
      <c r="AB11218" s="1"/>
    </row>
    <row r="11219" spans="15:28">
      <c r="O11219" s="1"/>
      <c r="P11219" s="1"/>
      <c r="Q11219" s="1"/>
      <c r="R11219" s="1"/>
      <c r="Z11219" s="103"/>
      <c r="AA11219" s="103"/>
      <c r="AB11219" s="1"/>
    </row>
    <row r="11220" spans="15:28">
      <c r="O11220" s="1"/>
      <c r="P11220" s="1"/>
      <c r="Q11220" s="1"/>
      <c r="R11220" s="1"/>
      <c r="Z11220" s="103"/>
      <c r="AA11220" s="103"/>
      <c r="AB11220" s="1"/>
    </row>
    <row r="11221" spans="15:28">
      <c r="O11221" s="1"/>
      <c r="P11221" s="1"/>
      <c r="Q11221" s="1"/>
      <c r="R11221" s="1"/>
      <c r="Z11221" s="103"/>
      <c r="AA11221" s="103"/>
      <c r="AB11221" s="1"/>
    </row>
    <row r="11222" spans="15:28">
      <c r="O11222" s="1"/>
      <c r="P11222" s="1"/>
      <c r="Q11222" s="1"/>
      <c r="R11222" s="1"/>
      <c r="Z11222" s="103"/>
      <c r="AA11222" s="103"/>
      <c r="AB11222" s="1"/>
    </row>
    <row r="11223" spans="15:28">
      <c r="O11223" s="1"/>
      <c r="P11223" s="1"/>
      <c r="Q11223" s="1"/>
      <c r="R11223" s="1"/>
      <c r="Z11223" s="103"/>
      <c r="AA11223" s="103"/>
      <c r="AB11223" s="1"/>
    </row>
    <row r="11224" spans="15:28">
      <c r="O11224" s="1"/>
      <c r="P11224" s="1"/>
      <c r="Q11224" s="1"/>
      <c r="R11224" s="1"/>
      <c r="Z11224" s="103"/>
      <c r="AA11224" s="103"/>
      <c r="AB11224" s="1"/>
    </row>
    <row r="11225" spans="15:28">
      <c r="O11225" s="1"/>
      <c r="P11225" s="1"/>
      <c r="Q11225" s="1"/>
      <c r="R11225" s="1"/>
      <c r="Z11225" s="103"/>
      <c r="AA11225" s="103"/>
      <c r="AB11225" s="1"/>
    </row>
    <row r="11226" spans="15:28">
      <c r="O11226" s="1"/>
      <c r="P11226" s="1"/>
      <c r="Q11226" s="1"/>
      <c r="R11226" s="1"/>
      <c r="Z11226" s="103"/>
      <c r="AA11226" s="103"/>
      <c r="AB11226" s="1"/>
    </row>
    <row r="11227" spans="15:28">
      <c r="O11227" s="1"/>
      <c r="P11227" s="1"/>
      <c r="Q11227" s="1"/>
      <c r="R11227" s="1"/>
      <c r="Z11227" s="103"/>
      <c r="AA11227" s="103"/>
      <c r="AB11227" s="1"/>
    </row>
    <row r="11228" spans="15:28">
      <c r="O11228" s="1"/>
      <c r="P11228" s="1"/>
      <c r="Q11228" s="1"/>
      <c r="R11228" s="1"/>
      <c r="Z11228" s="103"/>
      <c r="AA11228" s="103"/>
      <c r="AB11228" s="1"/>
    </row>
    <row r="11229" spans="15:28">
      <c r="O11229" s="1"/>
      <c r="P11229" s="1"/>
      <c r="Q11229" s="1"/>
      <c r="R11229" s="1"/>
      <c r="Z11229" s="103"/>
      <c r="AA11229" s="103"/>
      <c r="AB11229" s="1"/>
    </row>
    <row r="11230" spans="15:28">
      <c r="O11230" s="1"/>
      <c r="P11230" s="1"/>
      <c r="Q11230" s="1"/>
      <c r="R11230" s="1"/>
      <c r="Z11230" s="103"/>
      <c r="AA11230" s="103"/>
      <c r="AB11230" s="1"/>
    </row>
    <row r="11231" spans="15:28">
      <c r="O11231" s="1"/>
      <c r="P11231" s="1"/>
      <c r="Q11231" s="1"/>
      <c r="R11231" s="1"/>
      <c r="Z11231" s="103"/>
      <c r="AA11231" s="103"/>
      <c r="AB11231" s="1"/>
    </row>
    <row r="11232" spans="15:28">
      <c r="O11232" s="1"/>
      <c r="P11232" s="1"/>
      <c r="Q11232" s="1"/>
      <c r="R11232" s="1"/>
      <c r="Z11232" s="103"/>
      <c r="AA11232" s="103"/>
      <c r="AB11232" s="1"/>
    </row>
    <row r="11233" spans="15:28">
      <c r="O11233" s="1"/>
      <c r="P11233" s="1"/>
      <c r="Q11233" s="1"/>
      <c r="R11233" s="1"/>
      <c r="Z11233" s="103"/>
      <c r="AA11233" s="103"/>
      <c r="AB11233" s="1"/>
    </row>
    <row r="11234" spans="15:28">
      <c r="O11234" s="1"/>
      <c r="P11234" s="1"/>
      <c r="Q11234" s="1"/>
      <c r="R11234" s="1"/>
      <c r="Z11234" s="103"/>
      <c r="AA11234" s="103"/>
      <c r="AB11234" s="1"/>
    </row>
    <row r="11235" spans="15:28">
      <c r="O11235" s="1"/>
      <c r="P11235" s="1"/>
      <c r="Q11235" s="1"/>
      <c r="R11235" s="1"/>
      <c r="Z11235" s="103"/>
      <c r="AA11235" s="103"/>
      <c r="AB11235" s="1"/>
    </row>
    <row r="11236" spans="15:28">
      <c r="O11236" s="1"/>
      <c r="P11236" s="1"/>
      <c r="Q11236" s="1"/>
      <c r="R11236" s="1"/>
      <c r="Z11236" s="103"/>
      <c r="AA11236" s="103"/>
      <c r="AB11236" s="1"/>
    </row>
    <row r="11237" spans="15:28">
      <c r="O11237" s="1"/>
      <c r="P11237" s="1"/>
      <c r="Q11237" s="1"/>
      <c r="R11237" s="1"/>
      <c r="Z11237" s="103"/>
      <c r="AA11237" s="103"/>
      <c r="AB11237" s="1"/>
    </row>
    <row r="11238" spans="15:28">
      <c r="O11238" s="1"/>
      <c r="P11238" s="1"/>
      <c r="Q11238" s="1"/>
      <c r="R11238" s="1"/>
      <c r="Z11238" s="103"/>
      <c r="AA11238" s="103"/>
      <c r="AB11238" s="1"/>
    </row>
    <row r="11239" spans="15:28">
      <c r="O11239" s="1"/>
      <c r="P11239" s="1"/>
      <c r="Q11239" s="1"/>
      <c r="R11239" s="1"/>
      <c r="Z11239" s="103"/>
      <c r="AA11239" s="103"/>
      <c r="AB11239" s="1"/>
    </row>
    <row r="11240" spans="15:28">
      <c r="O11240" s="1"/>
      <c r="P11240" s="1"/>
      <c r="Q11240" s="1"/>
      <c r="R11240" s="1"/>
      <c r="Z11240" s="103"/>
      <c r="AA11240" s="103"/>
      <c r="AB11240" s="1"/>
    </row>
    <row r="11241" spans="15:28">
      <c r="O11241" s="1"/>
      <c r="P11241" s="1"/>
      <c r="Q11241" s="1"/>
      <c r="R11241" s="1"/>
      <c r="Z11241" s="103"/>
      <c r="AA11241" s="103"/>
      <c r="AB11241" s="1"/>
    </row>
    <row r="11242" spans="15:28">
      <c r="O11242" s="1"/>
      <c r="P11242" s="1"/>
      <c r="Q11242" s="1"/>
      <c r="R11242" s="1"/>
      <c r="Z11242" s="103"/>
      <c r="AA11242" s="103"/>
      <c r="AB11242" s="1"/>
    </row>
    <row r="11243" spans="15:28">
      <c r="O11243" s="1"/>
      <c r="P11243" s="1"/>
      <c r="Q11243" s="1"/>
      <c r="R11243" s="1"/>
      <c r="Z11243" s="103"/>
      <c r="AA11243" s="103"/>
      <c r="AB11243" s="1"/>
    </row>
    <row r="11244" spans="15:28">
      <c r="O11244" s="1"/>
      <c r="P11244" s="1"/>
      <c r="Q11244" s="1"/>
      <c r="R11244" s="1"/>
      <c r="Z11244" s="103"/>
      <c r="AA11244" s="103"/>
      <c r="AB11244" s="1"/>
    </row>
    <row r="11245" spans="15:28">
      <c r="O11245" s="1"/>
      <c r="P11245" s="1"/>
      <c r="Q11245" s="1"/>
      <c r="R11245" s="1"/>
      <c r="Z11245" s="103"/>
      <c r="AA11245" s="103"/>
      <c r="AB11245" s="1"/>
    </row>
    <row r="11246" spans="15:28">
      <c r="O11246" s="1"/>
      <c r="P11246" s="1"/>
      <c r="Q11246" s="1"/>
      <c r="R11246" s="1"/>
      <c r="Z11246" s="103"/>
      <c r="AA11246" s="103"/>
      <c r="AB11246" s="1"/>
    </row>
    <row r="11247" spans="15:28">
      <c r="O11247" s="1"/>
      <c r="P11247" s="1"/>
      <c r="Q11247" s="1"/>
      <c r="R11247" s="1"/>
      <c r="Z11247" s="103"/>
      <c r="AA11247" s="103"/>
      <c r="AB11247" s="1"/>
    </row>
    <row r="11248" spans="15:28">
      <c r="O11248" s="1"/>
      <c r="P11248" s="1"/>
      <c r="Q11248" s="1"/>
      <c r="R11248" s="1"/>
      <c r="Z11248" s="103"/>
      <c r="AA11248" s="103"/>
      <c r="AB11248" s="1"/>
    </row>
    <row r="11249" spans="15:28">
      <c r="O11249" s="1"/>
      <c r="P11249" s="1"/>
      <c r="Q11249" s="1"/>
      <c r="R11249" s="1"/>
      <c r="Z11249" s="103"/>
      <c r="AA11249" s="103"/>
      <c r="AB11249" s="1"/>
    </row>
    <row r="11250" spans="15:28">
      <c r="O11250" s="1"/>
      <c r="P11250" s="1"/>
      <c r="Q11250" s="1"/>
      <c r="R11250" s="1"/>
      <c r="Z11250" s="103"/>
      <c r="AA11250" s="103"/>
      <c r="AB11250" s="1"/>
    </row>
    <row r="11251" spans="15:28">
      <c r="O11251" s="1"/>
      <c r="P11251" s="1"/>
      <c r="Q11251" s="1"/>
      <c r="R11251" s="1"/>
      <c r="Z11251" s="103"/>
      <c r="AA11251" s="103"/>
      <c r="AB11251" s="1"/>
    </row>
    <row r="11252" spans="15:28">
      <c r="O11252" s="1"/>
      <c r="P11252" s="1"/>
      <c r="Q11252" s="1"/>
      <c r="R11252" s="1"/>
      <c r="Z11252" s="103"/>
      <c r="AA11252" s="103"/>
      <c r="AB11252" s="1"/>
    </row>
    <row r="11253" spans="15:28">
      <c r="O11253" s="1"/>
      <c r="P11253" s="1"/>
      <c r="Q11253" s="1"/>
      <c r="R11253" s="1"/>
      <c r="Z11253" s="103"/>
      <c r="AA11253" s="103"/>
      <c r="AB11253" s="1"/>
    </row>
    <row r="11254" spans="15:28">
      <c r="O11254" s="1"/>
      <c r="P11254" s="1"/>
      <c r="Q11254" s="1"/>
      <c r="R11254" s="1"/>
      <c r="Z11254" s="103"/>
      <c r="AA11254" s="103"/>
      <c r="AB11254" s="1"/>
    </row>
    <row r="11255" spans="15:28">
      <c r="O11255" s="1"/>
      <c r="P11255" s="1"/>
      <c r="Q11255" s="1"/>
      <c r="R11255" s="1"/>
      <c r="Z11255" s="103"/>
      <c r="AA11255" s="103"/>
      <c r="AB11255" s="1"/>
    </row>
    <row r="11256" spans="15:28">
      <c r="O11256" s="1"/>
      <c r="P11256" s="1"/>
      <c r="Q11256" s="1"/>
      <c r="R11256" s="1"/>
      <c r="Z11256" s="103"/>
      <c r="AA11256" s="103"/>
      <c r="AB11256" s="1"/>
    </row>
    <row r="11257" spans="15:28">
      <c r="O11257" s="1"/>
      <c r="P11257" s="1"/>
      <c r="Q11257" s="1"/>
      <c r="R11257" s="1"/>
      <c r="Z11257" s="103"/>
      <c r="AA11257" s="103"/>
      <c r="AB11257" s="1"/>
    </row>
    <row r="11258" spans="15:28">
      <c r="O11258" s="1"/>
      <c r="P11258" s="1"/>
      <c r="Q11258" s="1"/>
      <c r="R11258" s="1"/>
      <c r="Z11258" s="103"/>
      <c r="AA11258" s="103"/>
      <c r="AB11258" s="1"/>
    </row>
    <row r="11259" spans="15:28">
      <c r="O11259" s="1"/>
      <c r="P11259" s="1"/>
      <c r="Q11259" s="1"/>
      <c r="R11259" s="1"/>
      <c r="Z11259" s="103"/>
      <c r="AA11259" s="103"/>
      <c r="AB11259" s="1"/>
    </row>
    <row r="11260" spans="15:28">
      <c r="O11260" s="1"/>
      <c r="P11260" s="1"/>
      <c r="Q11260" s="1"/>
      <c r="R11260" s="1"/>
      <c r="Z11260" s="103"/>
      <c r="AA11260" s="103"/>
      <c r="AB11260" s="1"/>
    </row>
    <row r="11261" spans="15:28">
      <c r="O11261" s="1"/>
      <c r="P11261" s="1"/>
      <c r="Q11261" s="1"/>
      <c r="R11261" s="1"/>
      <c r="Z11261" s="103"/>
      <c r="AA11261" s="103"/>
      <c r="AB11261" s="1"/>
    </row>
    <row r="11262" spans="15:28">
      <c r="O11262" s="1"/>
      <c r="P11262" s="1"/>
      <c r="Q11262" s="1"/>
      <c r="R11262" s="1"/>
      <c r="Z11262" s="103"/>
      <c r="AA11262" s="103"/>
      <c r="AB11262" s="1"/>
    </row>
    <row r="11263" spans="15:28">
      <c r="O11263" s="1"/>
      <c r="P11263" s="1"/>
      <c r="Q11263" s="1"/>
      <c r="R11263" s="1"/>
      <c r="Z11263" s="103"/>
      <c r="AA11263" s="103"/>
      <c r="AB11263" s="1"/>
    </row>
    <row r="11264" spans="15:28">
      <c r="O11264" s="1"/>
      <c r="P11264" s="1"/>
      <c r="Q11264" s="1"/>
      <c r="R11264" s="1"/>
      <c r="Z11264" s="103"/>
      <c r="AA11264" s="103"/>
      <c r="AB11264" s="1"/>
    </row>
    <row r="11265" spans="15:28">
      <c r="O11265" s="1"/>
      <c r="P11265" s="1"/>
      <c r="Q11265" s="1"/>
      <c r="R11265" s="1"/>
      <c r="Z11265" s="103"/>
      <c r="AA11265" s="103"/>
      <c r="AB11265" s="1"/>
    </row>
    <row r="11266" spans="15:28">
      <c r="O11266" s="1"/>
      <c r="P11266" s="1"/>
      <c r="Q11266" s="1"/>
      <c r="R11266" s="1"/>
      <c r="Z11266" s="103"/>
      <c r="AA11266" s="103"/>
      <c r="AB11266" s="1"/>
    </row>
    <row r="11267" spans="15:28">
      <c r="O11267" s="1"/>
      <c r="P11267" s="1"/>
      <c r="Q11267" s="1"/>
      <c r="R11267" s="1"/>
      <c r="Z11267" s="103"/>
      <c r="AA11267" s="103"/>
      <c r="AB11267" s="1"/>
    </row>
    <row r="11268" spans="15:28">
      <c r="O11268" s="1"/>
      <c r="P11268" s="1"/>
      <c r="Q11268" s="1"/>
      <c r="R11268" s="1"/>
      <c r="Z11268" s="103"/>
      <c r="AA11268" s="103"/>
      <c r="AB11268" s="1"/>
    </row>
    <row r="11269" spans="15:28">
      <c r="O11269" s="1"/>
      <c r="P11269" s="1"/>
      <c r="Q11269" s="1"/>
      <c r="R11269" s="1"/>
      <c r="Z11269" s="103"/>
      <c r="AA11269" s="103"/>
      <c r="AB11269" s="1"/>
    </row>
    <row r="11270" spans="15:28">
      <c r="O11270" s="1"/>
      <c r="P11270" s="1"/>
      <c r="Q11270" s="1"/>
      <c r="R11270" s="1"/>
      <c r="Z11270" s="103"/>
      <c r="AA11270" s="103"/>
      <c r="AB11270" s="1"/>
    </row>
    <row r="11271" spans="15:28">
      <c r="O11271" s="1"/>
      <c r="P11271" s="1"/>
      <c r="Q11271" s="1"/>
      <c r="R11271" s="1"/>
      <c r="Z11271" s="103"/>
      <c r="AA11271" s="103"/>
      <c r="AB11271" s="1"/>
    </row>
    <row r="11272" spans="15:28">
      <c r="O11272" s="1"/>
      <c r="P11272" s="1"/>
      <c r="Q11272" s="1"/>
      <c r="R11272" s="1"/>
      <c r="Z11272" s="103"/>
      <c r="AA11272" s="103"/>
      <c r="AB11272" s="1"/>
    </row>
    <row r="11273" spans="15:28">
      <c r="O11273" s="1"/>
      <c r="P11273" s="1"/>
      <c r="Q11273" s="1"/>
      <c r="R11273" s="1"/>
      <c r="Z11273" s="103"/>
      <c r="AA11273" s="103"/>
      <c r="AB11273" s="1"/>
    </row>
    <row r="11274" spans="15:28">
      <c r="O11274" s="1"/>
      <c r="P11274" s="1"/>
      <c r="Q11274" s="1"/>
      <c r="R11274" s="1"/>
      <c r="Z11274" s="103"/>
      <c r="AA11274" s="103"/>
      <c r="AB11274" s="1"/>
    </row>
    <row r="11275" spans="15:28">
      <c r="O11275" s="1"/>
      <c r="P11275" s="1"/>
      <c r="Q11275" s="1"/>
      <c r="R11275" s="1"/>
      <c r="Z11275" s="103"/>
      <c r="AA11275" s="103"/>
      <c r="AB11275" s="1"/>
    </row>
    <row r="11276" spans="15:28">
      <c r="O11276" s="1"/>
      <c r="P11276" s="1"/>
      <c r="Q11276" s="1"/>
      <c r="R11276" s="1"/>
      <c r="Z11276" s="103"/>
      <c r="AA11276" s="103"/>
      <c r="AB11276" s="1"/>
    </row>
    <row r="11277" spans="15:28">
      <c r="O11277" s="1"/>
      <c r="P11277" s="1"/>
      <c r="Q11277" s="1"/>
      <c r="R11277" s="1"/>
      <c r="Z11277" s="103"/>
      <c r="AA11277" s="103"/>
      <c r="AB11277" s="1"/>
    </row>
    <row r="11278" spans="15:28">
      <c r="O11278" s="1"/>
      <c r="P11278" s="1"/>
      <c r="Q11278" s="1"/>
      <c r="R11278" s="1"/>
      <c r="Z11278" s="103"/>
      <c r="AA11278" s="103"/>
      <c r="AB11278" s="1"/>
    </row>
    <row r="11279" spans="15:28">
      <c r="O11279" s="1"/>
      <c r="P11279" s="1"/>
      <c r="Q11279" s="1"/>
      <c r="R11279" s="1"/>
      <c r="Z11279" s="103"/>
      <c r="AA11279" s="103"/>
      <c r="AB11279" s="1"/>
    </row>
    <row r="11280" spans="15:28">
      <c r="O11280" s="1"/>
      <c r="P11280" s="1"/>
      <c r="Q11280" s="1"/>
      <c r="R11280" s="1"/>
      <c r="Z11280" s="103"/>
      <c r="AA11280" s="103"/>
      <c r="AB11280" s="1"/>
    </row>
    <row r="11281" spans="15:28">
      <c r="O11281" s="1"/>
      <c r="P11281" s="1"/>
      <c r="Q11281" s="1"/>
      <c r="R11281" s="1"/>
      <c r="Z11281" s="103"/>
      <c r="AA11281" s="103"/>
      <c r="AB11281" s="1"/>
    </row>
    <row r="11282" spans="15:28">
      <c r="O11282" s="1"/>
      <c r="P11282" s="1"/>
      <c r="Q11282" s="1"/>
      <c r="R11282" s="1"/>
      <c r="Z11282" s="103"/>
      <c r="AA11282" s="103"/>
      <c r="AB11282" s="1"/>
    </row>
    <row r="11283" spans="15:28">
      <c r="O11283" s="1"/>
      <c r="P11283" s="1"/>
      <c r="Q11283" s="1"/>
      <c r="R11283" s="1"/>
      <c r="Z11283" s="103"/>
      <c r="AA11283" s="103"/>
      <c r="AB11283" s="1"/>
    </row>
    <row r="11284" spans="15:28">
      <c r="O11284" s="1"/>
      <c r="P11284" s="1"/>
      <c r="Q11284" s="1"/>
      <c r="R11284" s="1"/>
      <c r="Z11284" s="103"/>
      <c r="AA11284" s="103"/>
      <c r="AB11284" s="1"/>
    </row>
    <row r="11285" spans="15:28">
      <c r="O11285" s="1"/>
      <c r="P11285" s="1"/>
      <c r="Q11285" s="1"/>
      <c r="R11285" s="1"/>
      <c r="Z11285" s="103"/>
      <c r="AA11285" s="103"/>
      <c r="AB11285" s="1"/>
    </row>
    <row r="11286" spans="15:28">
      <c r="O11286" s="1"/>
      <c r="P11286" s="1"/>
      <c r="Q11286" s="1"/>
      <c r="R11286" s="1"/>
      <c r="Z11286" s="103"/>
      <c r="AA11286" s="103"/>
      <c r="AB11286" s="1"/>
    </row>
    <row r="11287" spans="15:28">
      <c r="O11287" s="1"/>
      <c r="P11287" s="1"/>
      <c r="Q11287" s="1"/>
      <c r="R11287" s="1"/>
      <c r="Z11287" s="103"/>
      <c r="AA11287" s="103"/>
      <c r="AB11287" s="1"/>
    </row>
    <row r="11288" spans="15:28">
      <c r="O11288" s="1"/>
      <c r="P11288" s="1"/>
      <c r="Q11288" s="1"/>
      <c r="R11288" s="1"/>
      <c r="Z11288" s="103"/>
      <c r="AA11288" s="103"/>
      <c r="AB11288" s="1"/>
    </row>
    <row r="11289" spans="15:28">
      <c r="O11289" s="1"/>
      <c r="P11289" s="1"/>
      <c r="Q11289" s="1"/>
      <c r="R11289" s="1"/>
      <c r="Z11289" s="103"/>
      <c r="AA11289" s="103"/>
      <c r="AB11289" s="1"/>
    </row>
    <row r="11290" spans="15:28">
      <c r="O11290" s="1"/>
      <c r="P11290" s="1"/>
      <c r="Q11290" s="1"/>
      <c r="R11290" s="1"/>
      <c r="Z11290" s="103"/>
      <c r="AA11290" s="103"/>
      <c r="AB11290" s="1"/>
    </row>
    <row r="11291" spans="15:28">
      <c r="O11291" s="1"/>
      <c r="P11291" s="1"/>
      <c r="Q11291" s="1"/>
      <c r="R11291" s="1"/>
      <c r="Z11291" s="103"/>
      <c r="AA11291" s="103"/>
      <c r="AB11291" s="1"/>
    </row>
    <row r="11292" spans="15:28">
      <c r="O11292" s="1"/>
      <c r="P11292" s="1"/>
      <c r="Q11292" s="1"/>
      <c r="R11292" s="1"/>
      <c r="Z11292" s="103"/>
      <c r="AA11292" s="103"/>
      <c r="AB11292" s="1"/>
    </row>
    <row r="11293" spans="15:28">
      <c r="O11293" s="1"/>
      <c r="P11293" s="1"/>
      <c r="Q11293" s="1"/>
      <c r="R11293" s="1"/>
      <c r="Z11293" s="103"/>
      <c r="AA11293" s="103"/>
      <c r="AB11293" s="1"/>
    </row>
    <row r="11294" spans="15:28">
      <c r="O11294" s="1"/>
      <c r="P11294" s="1"/>
      <c r="Q11294" s="1"/>
      <c r="R11294" s="1"/>
      <c r="Z11294" s="103"/>
      <c r="AA11294" s="103"/>
      <c r="AB11294" s="1"/>
    </row>
    <row r="11295" spans="15:28">
      <c r="O11295" s="1"/>
      <c r="P11295" s="1"/>
      <c r="Q11295" s="1"/>
      <c r="R11295" s="1"/>
      <c r="Z11295" s="103"/>
      <c r="AA11295" s="103"/>
      <c r="AB11295" s="1"/>
    </row>
    <row r="11296" spans="15:28">
      <c r="O11296" s="1"/>
      <c r="P11296" s="1"/>
      <c r="Q11296" s="1"/>
      <c r="R11296" s="1"/>
      <c r="Z11296" s="103"/>
      <c r="AA11296" s="103"/>
      <c r="AB11296" s="1"/>
    </row>
    <row r="11297" spans="15:28">
      <c r="O11297" s="1"/>
      <c r="P11297" s="1"/>
      <c r="Q11297" s="1"/>
      <c r="R11297" s="1"/>
      <c r="Z11297" s="103"/>
      <c r="AA11297" s="103"/>
      <c r="AB11297" s="1"/>
    </row>
    <row r="11298" spans="15:28">
      <c r="O11298" s="1"/>
      <c r="P11298" s="1"/>
      <c r="Q11298" s="1"/>
      <c r="R11298" s="1"/>
      <c r="Z11298" s="103"/>
      <c r="AA11298" s="103"/>
      <c r="AB11298" s="1"/>
    </row>
    <row r="11299" spans="15:28">
      <c r="O11299" s="1"/>
      <c r="P11299" s="1"/>
      <c r="Q11299" s="1"/>
      <c r="R11299" s="1"/>
      <c r="Z11299" s="103"/>
      <c r="AA11299" s="103"/>
      <c r="AB11299" s="1"/>
    </row>
    <row r="11300" spans="15:28">
      <c r="O11300" s="1"/>
      <c r="P11300" s="1"/>
      <c r="Q11300" s="1"/>
      <c r="R11300" s="1"/>
      <c r="Z11300" s="103"/>
      <c r="AA11300" s="103"/>
      <c r="AB11300" s="1"/>
    </row>
    <row r="11301" spans="15:28">
      <c r="O11301" s="1"/>
      <c r="P11301" s="1"/>
      <c r="Q11301" s="1"/>
      <c r="R11301" s="1"/>
      <c r="Z11301" s="103"/>
      <c r="AA11301" s="103"/>
      <c r="AB11301" s="1"/>
    </row>
    <row r="11302" spans="15:28">
      <c r="O11302" s="1"/>
      <c r="P11302" s="1"/>
      <c r="Q11302" s="1"/>
      <c r="R11302" s="1"/>
      <c r="Z11302" s="103"/>
      <c r="AA11302" s="103"/>
      <c r="AB11302" s="1"/>
    </row>
    <row r="11303" spans="15:28">
      <c r="O11303" s="1"/>
      <c r="P11303" s="1"/>
      <c r="Q11303" s="1"/>
      <c r="R11303" s="1"/>
      <c r="Z11303" s="103"/>
      <c r="AA11303" s="103"/>
      <c r="AB11303" s="1"/>
    </row>
    <row r="11304" spans="15:28">
      <c r="O11304" s="1"/>
      <c r="P11304" s="1"/>
      <c r="Q11304" s="1"/>
      <c r="R11304" s="1"/>
      <c r="Z11304" s="103"/>
      <c r="AA11304" s="103"/>
      <c r="AB11304" s="1"/>
    </row>
    <row r="11305" spans="15:28">
      <c r="O11305" s="1"/>
      <c r="P11305" s="1"/>
      <c r="Q11305" s="1"/>
      <c r="R11305" s="1"/>
      <c r="Z11305" s="103"/>
      <c r="AA11305" s="103"/>
      <c r="AB11305" s="1"/>
    </row>
    <row r="11306" spans="15:28">
      <c r="O11306" s="1"/>
      <c r="P11306" s="1"/>
      <c r="Q11306" s="1"/>
      <c r="R11306" s="1"/>
      <c r="Z11306" s="103"/>
      <c r="AA11306" s="103"/>
      <c r="AB11306" s="1"/>
    </row>
    <row r="11307" spans="15:28">
      <c r="O11307" s="1"/>
      <c r="P11307" s="1"/>
      <c r="Q11307" s="1"/>
      <c r="R11307" s="1"/>
      <c r="Z11307" s="103"/>
      <c r="AA11307" s="103"/>
      <c r="AB11307" s="1"/>
    </row>
    <row r="11308" spans="15:28">
      <c r="O11308" s="1"/>
      <c r="P11308" s="1"/>
      <c r="Q11308" s="1"/>
      <c r="R11308" s="1"/>
      <c r="Z11308" s="103"/>
      <c r="AA11308" s="103"/>
      <c r="AB11308" s="1"/>
    </row>
    <row r="11309" spans="15:28">
      <c r="O11309" s="1"/>
      <c r="P11309" s="1"/>
      <c r="Q11309" s="1"/>
      <c r="R11309" s="1"/>
      <c r="Z11309" s="103"/>
      <c r="AA11309" s="103"/>
      <c r="AB11309" s="1"/>
    </row>
    <row r="11310" spans="15:28">
      <c r="O11310" s="1"/>
      <c r="P11310" s="1"/>
      <c r="Q11310" s="1"/>
      <c r="R11310" s="1"/>
      <c r="Z11310" s="103"/>
      <c r="AA11310" s="103"/>
      <c r="AB11310" s="1"/>
    </row>
    <row r="11311" spans="15:28">
      <c r="O11311" s="1"/>
      <c r="P11311" s="1"/>
      <c r="Q11311" s="1"/>
      <c r="R11311" s="1"/>
      <c r="Z11311" s="103"/>
      <c r="AA11311" s="103"/>
      <c r="AB11311" s="1"/>
    </row>
    <row r="11312" spans="15:28">
      <c r="O11312" s="1"/>
      <c r="P11312" s="1"/>
      <c r="Q11312" s="1"/>
      <c r="R11312" s="1"/>
      <c r="Z11312" s="103"/>
      <c r="AA11312" s="103"/>
      <c r="AB11312" s="1"/>
    </row>
    <row r="11313" spans="15:28">
      <c r="O11313" s="1"/>
      <c r="P11313" s="1"/>
      <c r="Q11313" s="1"/>
      <c r="R11313" s="1"/>
      <c r="Z11313" s="103"/>
      <c r="AA11313" s="103"/>
      <c r="AB11313" s="1"/>
    </row>
    <row r="11314" spans="15:28">
      <c r="O11314" s="1"/>
      <c r="P11314" s="1"/>
      <c r="Q11314" s="1"/>
      <c r="R11314" s="1"/>
      <c r="Z11314" s="103"/>
      <c r="AA11314" s="103"/>
      <c r="AB11314" s="1"/>
    </row>
    <row r="11315" spans="15:28">
      <c r="O11315" s="1"/>
      <c r="P11315" s="1"/>
      <c r="Q11315" s="1"/>
      <c r="R11315" s="1"/>
      <c r="Z11315" s="103"/>
      <c r="AA11315" s="103"/>
      <c r="AB11315" s="1"/>
    </row>
    <row r="11316" spans="15:28">
      <c r="O11316" s="1"/>
      <c r="P11316" s="1"/>
      <c r="Q11316" s="1"/>
      <c r="R11316" s="1"/>
      <c r="Z11316" s="103"/>
      <c r="AA11316" s="103"/>
      <c r="AB11316" s="1"/>
    </row>
    <row r="11317" spans="15:28">
      <c r="O11317" s="1"/>
      <c r="P11317" s="1"/>
      <c r="Q11317" s="1"/>
      <c r="R11317" s="1"/>
      <c r="Z11317" s="103"/>
      <c r="AA11317" s="103"/>
      <c r="AB11317" s="1"/>
    </row>
    <row r="11318" spans="15:28">
      <c r="O11318" s="1"/>
      <c r="P11318" s="1"/>
      <c r="Q11318" s="1"/>
      <c r="R11318" s="1"/>
      <c r="Z11318" s="103"/>
      <c r="AA11318" s="103"/>
      <c r="AB11318" s="1"/>
    </row>
    <row r="11319" spans="15:28">
      <c r="O11319" s="1"/>
      <c r="P11319" s="1"/>
      <c r="Q11319" s="1"/>
      <c r="R11319" s="1"/>
      <c r="Z11319" s="103"/>
      <c r="AA11319" s="103"/>
      <c r="AB11319" s="1"/>
    </row>
    <row r="11320" spans="15:28">
      <c r="O11320" s="1"/>
      <c r="P11320" s="1"/>
      <c r="Q11320" s="1"/>
      <c r="R11320" s="1"/>
      <c r="Z11320" s="103"/>
      <c r="AA11320" s="103"/>
      <c r="AB11320" s="1"/>
    </row>
    <row r="11321" spans="15:28">
      <c r="O11321" s="1"/>
      <c r="P11321" s="1"/>
      <c r="Q11321" s="1"/>
      <c r="R11321" s="1"/>
      <c r="Z11321" s="103"/>
      <c r="AA11321" s="103"/>
      <c r="AB11321" s="1"/>
    </row>
    <row r="11322" spans="15:28">
      <c r="O11322" s="1"/>
      <c r="P11322" s="1"/>
      <c r="Q11322" s="1"/>
      <c r="R11322" s="1"/>
      <c r="Z11322" s="103"/>
      <c r="AA11322" s="103"/>
      <c r="AB11322" s="1"/>
    </row>
    <row r="11323" spans="15:28">
      <c r="O11323" s="1"/>
      <c r="P11323" s="1"/>
      <c r="Q11323" s="1"/>
      <c r="R11323" s="1"/>
      <c r="Z11323" s="103"/>
      <c r="AA11323" s="103"/>
      <c r="AB11323" s="1"/>
    </row>
    <row r="11324" spans="15:28">
      <c r="O11324" s="1"/>
      <c r="P11324" s="1"/>
      <c r="Q11324" s="1"/>
      <c r="R11324" s="1"/>
      <c r="Z11324" s="103"/>
      <c r="AA11324" s="103"/>
      <c r="AB11324" s="1"/>
    </row>
    <row r="11325" spans="15:28">
      <c r="O11325" s="1"/>
      <c r="P11325" s="1"/>
      <c r="Q11325" s="1"/>
      <c r="R11325" s="1"/>
      <c r="Z11325" s="103"/>
      <c r="AA11325" s="103"/>
      <c r="AB11325" s="1"/>
    </row>
    <row r="11326" spans="15:28">
      <c r="O11326" s="1"/>
      <c r="P11326" s="1"/>
      <c r="Q11326" s="1"/>
      <c r="R11326" s="1"/>
      <c r="Z11326" s="103"/>
      <c r="AA11326" s="103"/>
      <c r="AB11326" s="1"/>
    </row>
    <row r="11327" spans="15:28">
      <c r="O11327" s="1"/>
      <c r="P11327" s="1"/>
      <c r="Q11327" s="1"/>
      <c r="R11327" s="1"/>
      <c r="Z11327" s="103"/>
      <c r="AA11327" s="103"/>
      <c r="AB11327" s="1"/>
    </row>
    <row r="11328" spans="15:28">
      <c r="O11328" s="1"/>
      <c r="P11328" s="1"/>
      <c r="Q11328" s="1"/>
      <c r="R11328" s="1"/>
      <c r="Z11328" s="103"/>
      <c r="AA11328" s="103"/>
      <c r="AB11328" s="1"/>
    </row>
    <row r="11329" spans="15:28">
      <c r="O11329" s="1"/>
      <c r="P11329" s="1"/>
      <c r="Q11329" s="1"/>
      <c r="R11329" s="1"/>
      <c r="Z11329" s="103"/>
      <c r="AA11329" s="103"/>
      <c r="AB11329" s="1"/>
    </row>
    <row r="11330" spans="15:28">
      <c r="O11330" s="1"/>
      <c r="P11330" s="1"/>
      <c r="Q11330" s="1"/>
      <c r="R11330" s="1"/>
      <c r="Z11330" s="103"/>
      <c r="AA11330" s="103"/>
      <c r="AB11330" s="1"/>
    </row>
    <row r="11331" spans="15:28">
      <c r="O11331" s="1"/>
      <c r="P11331" s="1"/>
      <c r="Q11331" s="1"/>
      <c r="R11331" s="1"/>
      <c r="Z11331" s="103"/>
      <c r="AA11331" s="103"/>
      <c r="AB11331" s="1"/>
    </row>
    <row r="11332" spans="15:28">
      <c r="O11332" s="1"/>
      <c r="P11332" s="1"/>
      <c r="Q11332" s="1"/>
      <c r="R11332" s="1"/>
      <c r="Z11332" s="103"/>
      <c r="AA11332" s="103"/>
      <c r="AB11332" s="1"/>
    </row>
    <row r="11333" spans="15:28">
      <c r="O11333" s="1"/>
      <c r="P11333" s="1"/>
      <c r="Q11333" s="1"/>
      <c r="R11333" s="1"/>
      <c r="Z11333" s="103"/>
      <c r="AA11333" s="103"/>
      <c r="AB11333" s="1"/>
    </row>
    <row r="11334" spans="15:28">
      <c r="O11334" s="1"/>
      <c r="P11334" s="1"/>
      <c r="Q11334" s="1"/>
      <c r="R11334" s="1"/>
      <c r="Z11334" s="103"/>
      <c r="AA11334" s="103"/>
      <c r="AB11334" s="1"/>
    </row>
    <row r="11335" spans="15:28">
      <c r="O11335" s="1"/>
      <c r="P11335" s="1"/>
      <c r="Q11335" s="1"/>
      <c r="R11335" s="1"/>
      <c r="Z11335" s="103"/>
      <c r="AA11335" s="103"/>
      <c r="AB11335" s="1"/>
    </row>
    <row r="11336" spans="15:28">
      <c r="O11336" s="1"/>
      <c r="P11336" s="1"/>
      <c r="Q11336" s="1"/>
      <c r="R11336" s="1"/>
      <c r="Z11336" s="103"/>
      <c r="AA11336" s="103"/>
      <c r="AB11336" s="1"/>
    </row>
    <row r="11337" spans="15:28">
      <c r="O11337" s="1"/>
      <c r="P11337" s="1"/>
      <c r="Q11337" s="1"/>
      <c r="R11337" s="1"/>
      <c r="Z11337" s="103"/>
      <c r="AA11337" s="103"/>
      <c r="AB11337" s="1"/>
    </row>
    <row r="11338" spans="15:28">
      <c r="O11338" s="1"/>
      <c r="P11338" s="1"/>
      <c r="Q11338" s="1"/>
      <c r="R11338" s="1"/>
      <c r="Z11338" s="103"/>
      <c r="AA11338" s="103"/>
      <c r="AB11338" s="1"/>
    </row>
    <row r="11339" spans="15:28">
      <c r="O11339" s="1"/>
      <c r="P11339" s="1"/>
      <c r="Q11339" s="1"/>
      <c r="R11339" s="1"/>
      <c r="Z11339" s="103"/>
      <c r="AA11339" s="103"/>
      <c r="AB11339" s="1"/>
    </row>
    <row r="11340" spans="15:28">
      <c r="O11340" s="1"/>
      <c r="P11340" s="1"/>
      <c r="Q11340" s="1"/>
      <c r="R11340" s="1"/>
      <c r="Z11340" s="103"/>
      <c r="AA11340" s="103"/>
      <c r="AB11340" s="1"/>
    </row>
    <row r="11341" spans="15:28">
      <c r="O11341" s="1"/>
      <c r="P11341" s="1"/>
      <c r="Q11341" s="1"/>
      <c r="R11341" s="1"/>
      <c r="Z11341" s="103"/>
      <c r="AA11341" s="103"/>
      <c r="AB11341" s="1"/>
    </row>
    <row r="11342" spans="15:28">
      <c r="O11342" s="1"/>
      <c r="P11342" s="1"/>
      <c r="Q11342" s="1"/>
      <c r="R11342" s="1"/>
      <c r="Z11342" s="103"/>
      <c r="AA11342" s="103"/>
      <c r="AB11342" s="1"/>
    </row>
    <row r="11343" spans="15:28">
      <c r="O11343" s="1"/>
      <c r="P11343" s="1"/>
      <c r="Q11343" s="1"/>
      <c r="R11343" s="1"/>
      <c r="Z11343" s="103"/>
      <c r="AA11343" s="103"/>
      <c r="AB11343" s="1"/>
    </row>
    <row r="11344" spans="15:28">
      <c r="O11344" s="1"/>
      <c r="P11344" s="1"/>
      <c r="Q11344" s="1"/>
      <c r="R11344" s="1"/>
      <c r="Z11344" s="103"/>
      <c r="AA11344" s="103"/>
      <c r="AB11344" s="1"/>
    </row>
    <row r="11345" spans="15:28">
      <c r="O11345" s="1"/>
      <c r="P11345" s="1"/>
      <c r="Q11345" s="1"/>
      <c r="R11345" s="1"/>
      <c r="Z11345" s="103"/>
      <c r="AA11345" s="103"/>
      <c r="AB11345" s="1"/>
    </row>
    <row r="11346" spans="15:28">
      <c r="O11346" s="1"/>
      <c r="P11346" s="1"/>
      <c r="Q11346" s="1"/>
      <c r="R11346" s="1"/>
      <c r="Z11346" s="103"/>
      <c r="AA11346" s="103"/>
      <c r="AB11346" s="1"/>
    </row>
    <row r="11347" spans="15:28">
      <c r="O11347" s="1"/>
      <c r="P11347" s="1"/>
      <c r="Q11347" s="1"/>
      <c r="R11347" s="1"/>
      <c r="Z11347" s="103"/>
      <c r="AA11347" s="103"/>
      <c r="AB11347" s="1"/>
    </row>
    <row r="11348" spans="15:28">
      <c r="O11348" s="1"/>
      <c r="P11348" s="1"/>
      <c r="Q11348" s="1"/>
      <c r="R11348" s="1"/>
      <c r="Z11348" s="103"/>
      <c r="AA11348" s="103"/>
      <c r="AB11348" s="1"/>
    </row>
    <row r="11349" spans="15:28">
      <c r="O11349" s="1"/>
      <c r="P11349" s="1"/>
      <c r="Q11349" s="1"/>
      <c r="R11349" s="1"/>
      <c r="Z11349" s="103"/>
      <c r="AA11349" s="103"/>
      <c r="AB11349" s="1"/>
    </row>
    <row r="11350" spans="15:28">
      <c r="O11350" s="1"/>
      <c r="P11350" s="1"/>
      <c r="Q11350" s="1"/>
      <c r="R11350" s="1"/>
      <c r="Z11350" s="103"/>
      <c r="AA11350" s="103"/>
      <c r="AB11350" s="1"/>
    </row>
    <row r="11351" spans="15:28">
      <c r="O11351" s="1"/>
      <c r="P11351" s="1"/>
      <c r="Q11351" s="1"/>
      <c r="R11351" s="1"/>
      <c r="Z11351" s="103"/>
      <c r="AA11351" s="103"/>
      <c r="AB11351" s="1"/>
    </row>
    <row r="11352" spans="15:28">
      <c r="O11352" s="1"/>
      <c r="P11352" s="1"/>
      <c r="Q11352" s="1"/>
      <c r="R11352" s="1"/>
      <c r="Z11352" s="103"/>
      <c r="AA11352" s="103"/>
      <c r="AB11352" s="1"/>
    </row>
    <row r="11353" spans="15:28">
      <c r="O11353" s="1"/>
      <c r="P11353" s="1"/>
      <c r="Q11353" s="1"/>
      <c r="R11353" s="1"/>
      <c r="Z11353" s="103"/>
      <c r="AA11353" s="103"/>
      <c r="AB11353" s="1"/>
    </row>
    <row r="11354" spans="15:28">
      <c r="O11354" s="1"/>
      <c r="P11354" s="1"/>
      <c r="Q11354" s="1"/>
      <c r="R11354" s="1"/>
      <c r="Z11354" s="103"/>
      <c r="AA11354" s="103"/>
      <c r="AB11354" s="1"/>
    </row>
    <row r="11355" spans="15:28">
      <c r="O11355" s="1"/>
      <c r="P11355" s="1"/>
      <c r="Q11355" s="1"/>
      <c r="R11355" s="1"/>
      <c r="Z11355" s="103"/>
      <c r="AA11355" s="103"/>
      <c r="AB11355" s="1"/>
    </row>
    <row r="11356" spans="15:28">
      <c r="O11356" s="1"/>
      <c r="P11356" s="1"/>
      <c r="Q11356" s="1"/>
      <c r="R11356" s="1"/>
      <c r="Z11356" s="103"/>
      <c r="AA11356" s="103"/>
      <c r="AB11356" s="1"/>
    </row>
    <row r="11357" spans="15:28">
      <c r="O11357" s="1"/>
      <c r="P11357" s="1"/>
      <c r="Q11357" s="1"/>
      <c r="R11357" s="1"/>
      <c r="Z11357" s="103"/>
      <c r="AA11357" s="103"/>
      <c r="AB11357" s="1"/>
    </row>
    <row r="11358" spans="15:28">
      <c r="O11358" s="1"/>
      <c r="P11358" s="1"/>
      <c r="Q11358" s="1"/>
      <c r="R11358" s="1"/>
      <c r="Z11358" s="103"/>
      <c r="AA11358" s="103"/>
      <c r="AB11358" s="1"/>
    </row>
    <row r="11359" spans="15:28">
      <c r="O11359" s="1"/>
      <c r="P11359" s="1"/>
      <c r="Q11359" s="1"/>
      <c r="R11359" s="1"/>
      <c r="Z11359" s="103"/>
      <c r="AA11359" s="103"/>
      <c r="AB11359" s="1"/>
    </row>
    <row r="11360" spans="15:28">
      <c r="O11360" s="1"/>
      <c r="P11360" s="1"/>
      <c r="Q11360" s="1"/>
      <c r="R11360" s="1"/>
      <c r="Z11360" s="103"/>
      <c r="AA11360" s="103"/>
      <c r="AB11360" s="1"/>
    </row>
    <row r="11361" spans="6:28">
      <c r="O11361" s="1"/>
      <c r="P11361" s="1"/>
      <c r="Q11361" s="1"/>
      <c r="R11361" s="1"/>
      <c r="Z11361" s="103"/>
      <c r="AA11361" s="103"/>
      <c r="AB11361" s="1"/>
    </row>
    <row r="11362" spans="6:28">
      <c r="O11362" s="1"/>
      <c r="P11362" s="1"/>
      <c r="Q11362" s="1"/>
      <c r="R11362" s="1"/>
      <c r="Z11362" s="103"/>
      <c r="AA11362" s="103"/>
      <c r="AB11362" s="1"/>
    </row>
    <row r="11363" spans="6:28">
      <c r="O11363" s="1"/>
      <c r="P11363" s="1"/>
      <c r="Q11363" s="1"/>
      <c r="R11363" s="1"/>
      <c r="Z11363" s="103"/>
      <c r="AA11363" s="103"/>
      <c r="AB11363" s="1"/>
    </row>
    <row r="11364" spans="6:28">
      <c r="O11364" s="1"/>
      <c r="P11364" s="1"/>
      <c r="Q11364" s="1"/>
      <c r="R11364" s="1"/>
      <c r="Z11364" s="103"/>
      <c r="AA11364" s="103"/>
      <c r="AB11364" s="1"/>
    </row>
    <row r="11365" spans="6:28">
      <c r="O11365" s="1"/>
      <c r="P11365" s="1"/>
      <c r="Q11365" s="1"/>
      <c r="R11365" s="1"/>
      <c r="Z11365" s="103"/>
      <c r="AA11365" s="103"/>
      <c r="AB11365" s="1"/>
    </row>
    <row r="11366" spans="6:28">
      <c r="O11366" s="1"/>
      <c r="P11366" s="1"/>
      <c r="Q11366" s="1"/>
      <c r="R11366" s="1"/>
      <c r="Z11366" s="103"/>
      <c r="AA11366" s="103"/>
      <c r="AB11366" s="1"/>
    </row>
    <row r="11367" spans="6:28">
      <c r="O11367" s="1"/>
      <c r="P11367" s="1"/>
      <c r="Q11367" s="1"/>
      <c r="R11367" s="1"/>
      <c r="Z11367" s="103"/>
      <c r="AA11367" s="103"/>
      <c r="AB11367" s="1"/>
    </row>
    <row r="11368" spans="6:28">
      <c r="O11368" s="1"/>
      <c r="P11368" s="1"/>
      <c r="Q11368" s="1"/>
      <c r="R11368" s="1"/>
      <c r="Z11368" s="103"/>
      <c r="AA11368" s="103"/>
      <c r="AB11368" s="1"/>
    </row>
    <row r="11369" spans="6:28">
      <c r="O11369" s="1"/>
      <c r="P11369" s="1"/>
      <c r="Q11369" s="1"/>
      <c r="R11369" s="1"/>
      <c r="Z11369" s="103"/>
      <c r="AA11369" s="103"/>
      <c r="AB11369" s="1"/>
    </row>
    <row r="11370" spans="6:28">
      <c r="O11370" s="1"/>
      <c r="P11370" s="1"/>
      <c r="Q11370" s="1"/>
      <c r="R11370" s="1"/>
      <c r="Z11370" s="103"/>
      <c r="AA11370" s="103"/>
      <c r="AB11370" s="1"/>
    </row>
    <row r="11371" spans="6:28">
      <c r="O11371" s="1"/>
      <c r="P11371" s="1"/>
      <c r="Q11371" s="1"/>
      <c r="R11371" s="1"/>
      <c r="Z11371" s="103"/>
      <c r="AA11371" s="103"/>
      <c r="AB11371" s="1"/>
    </row>
    <row r="11372" spans="6:28">
      <c r="O11372" s="1"/>
      <c r="P11372" s="1"/>
      <c r="Q11372" s="1"/>
      <c r="R11372" s="1"/>
      <c r="Z11372" s="103"/>
      <c r="AA11372" s="103"/>
      <c r="AB11372" s="1"/>
    </row>
    <row r="11373" spans="6:28">
      <c r="O11373" s="1"/>
      <c r="P11373" s="1"/>
      <c r="Q11373" s="1"/>
      <c r="R11373" s="1"/>
      <c r="Z11373" s="103"/>
      <c r="AA11373" s="103"/>
      <c r="AB11373" s="1"/>
    </row>
    <row r="11374" spans="6:28">
      <c r="O11374" s="1"/>
      <c r="P11374" s="1"/>
      <c r="Q11374" s="1"/>
      <c r="R11374" s="1"/>
      <c r="Z11374" s="103"/>
      <c r="AA11374" s="103"/>
      <c r="AB11374" s="1"/>
    </row>
    <row r="11375" spans="6:28">
      <c r="O11375" s="1"/>
      <c r="P11375" s="1"/>
      <c r="Q11375" s="1"/>
      <c r="R11375" s="1"/>
      <c r="Z11375" s="103"/>
      <c r="AA11375" s="103"/>
      <c r="AB11375" s="1"/>
    </row>
    <row r="11376" spans="6:28">
      <c r="F11376">
        <f t="shared" ref="F11376:F11432" si="0">COUNTIF($D$2:$D$35910,D11376)</f>
        <v>0</v>
      </c>
      <c r="G11376">
        <f>COUNTIF($D$2:D11376,D11376)</f>
        <v>0</v>
      </c>
      <c r="H11376" t="str">
        <f t="shared" ref="H11376:H11432" si="1">D11376&amp;" - "&amp;G11376&amp;AH11376</f>
        <v xml:space="preserve"> - 0</v>
      </c>
      <c r="I11376">
        <f t="shared" ref="I11376:I11432" si="2">A11376</f>
        <v>0</v>
      </c>
      <c r="J11376">
        <f t="shared" ref="J11376:J11432" si="3">B11376</f>
        <v>0</v>
      </c>
    </row>
    <row r="11377" spans="6:10">
      <c r="F11377">
        <f t="shared" si="0"/>
        <v>0</v>
      </c>
      <c r="G11377">
        <f>COUNTIF($D$2:D11377,D11377)</f>
        <v>0</v>
      </c>
      <c r="H11377" t="str">
        <f t="shared" si="1"/>
        <v xml:space="preserve"> - 0</v>
      </c>
      <c r="I11377">
        <f t="shared" si="2"/>
        <v>0</v>
      </c>
      <c r="J11377">
        <f t="shared" si="3"/>
        <v>0</v>
      </c>
    </row>
    <row r="11378" spans="6:10">
      <c r="F11378">
        <f t="shared" si="0"/>
        <v>0</v>
      </c>
      <c r="G11378">
        <f>COUNTIF($D$2:D11378,D11378)</f>
        <v>0</v>
      </c>
      <c r="H11378" t="str">
        <f t="shared" si="1"/>
        <v xml:space="preserve"> - 0</v>
      </c>
      <c r="I11378">
        <f t="shared" si="2"/>
        <v>0</v>
      </c>
      <c r="J11378">
        <f t="shared" si="3"/>
        <v>0</v>
      </c>
    </row>
    <row r="11379" spans="6:10">
      <c r="F11379">
        <f t="shared" si="0"/>
        <v>0</v>
      </c>
      <c r="G11379">
        <f>COUNTIF($D$2:D11379,D11379)</f>
        <v>0</v>
      </c>
      <c r="H11379" t="str">
        <f t="shared" si="1"/>
        <v xml:space="preserve"> - 0</v>
      </c>
      <c r="I11379">
        <f t="shared" si="2"/>
        <v>0</v>
      </c>
      <c r="J11379">
        <f t="shared" si="3"/>
        <v>0</v>
      </c>
    </row>
    <row r="11380" spans="6:10">
      <c r="F11380">
        <f t="shared" si="0"/>
        <v>0</v>
      </c>
      <c r="G11380">
        <f>COUNTIF($D$2:D11380,D11380)</f>
        <v>0</v>
      </c>
      <c r="H11380" t="str">
        <f t="shared" si="1"/>
        <v xml:space="preserve"> - 0</v>
      </c>
      <c r="I11380">
        <f t="shared" si="2"/>
        <v>0</v>
      </c>
      <c r="J11380">
        <f t="shared" si="3"/>
        <v>0</v>
      </c>
    </row>
    <row r="11381" spans="6:10">
      <c r="F11381">
        <f t="shared" si="0"/>
        <v>0</v>
      </c>
      <c r="G11381">
        <f>COUNTIF($D$2:D11381,D11381)</f>
        <v>0</v>
      </c>
      <c r="H11381" t="str">
        <f t="shared" si="1"/>
        <v xml:space="preserve"> - 0</v>
      </c>
      <c r="I11381">
        <f t="shared" si="2"/>
        <v>0</v>
      </c>
      <c r="J11381">
        <f t="shared" si="3"/>
        <v>0</v>
      </c>
    </row>
    <row r="11382" spans="6:10">
      <c r="F11382">
        <f t="shared" si="0"/>
        <v>0</v>
      </c>
      <c r="G11382">
        <f>COUNTIF($D$2:D11382,D11382)</f>
        <v>0</v>
      </c>
      <c r="H11382" t="str">
        <f t="shared" si="1"/>
        <v xml:space="preserve"> - 0</v>
      </c>
      <c r="I11382">
        <f t="shared" si="2"/>
        <v>0</v>
      </c>
      <c r="J11382">
        <f t="shared" si="3"/>
        <v>0</v>
      </c>
    </row>
    <row r="11383" spans="6:10">
      <c r="F11383">
        <f t="shared" si="0"/>
        <v>0</v>
      </c>
      <c r="G11383">
        <f>COUNTIF($D$2:D11383,D11383)</f>
        <v>0</v>
      </c>
      <c r="H11383" t="str">
        <f t="shared" si="1"/>
        <v xml:space="preserve"> - 0</v>
      </c>
      <c r="I11383">
        <f t="shared" si="2"/>
        <v>0</v>
      </c>
      <c r="J11383">
        <f t="shared" si="3"/>
        <v>0</v>
      </c>
    </row>
    <row r="11384" spans="6:10">
      <c r="F11384">
        <f t="shared" si="0"/>
        <v>0</v>
      </c>
      <c r="G11384">
        <f>COUNTIF($D$2:D11384,D11384)</f>
        <v>0</v>
      </c>
      <c r="H11384" t="str">
        <f t="shared" si="1"/>
        <v xml:space="preserve"> - 0</v>
      </c>
      <c r="I11384">
        <f t="shared" si="2"/>
        <v>0</v>
      </c>
      <c r="J11384">
        <f t="shared" si="3"/>
        <v>0</v>
      </c>
    </row>
    <row r="11385" spans="6:10">
      <c r="F11385">
        <f t="shared" si="0"/>
        <v>0</v>
      </c>
      <c r="G11385">
        <f>COUNTIF($D$2:D11385,D11385)</f>
        <v>0</v>
      </c>
      <c r="H11385" t="str">
        <f t="shared" si="1"/>
        <v xml:space="preserve"> - 0</v>
      </c>
      <c r="I11385">
        <f t="shared" si="2"/>
        <v>0</v>
      </c>
      <c r="J11385">
        <f t="shared" si="3"/>
        <v>0</v>
      </c>
    </row>
    <row r="11386" spans="6:10">
      <c r="F11386">
        <f t="shared" si="0"/>
        <v>0</v>
      </c>
      <c r="G11386">
        <f>COUNTIF($D$2:D11386,D11386)</f>
        <v>0</v>
      </c>
      <c r="H11386" t="str">
        <f t="shared" si="1"/>
        <v xml:space="preserve"> - 0</v>
      </c>
      <c r="I11386">
        <f t="shared" si="2"/>
        <v>0</v>
      </c>
      <c r="J11386">
        <f t="shared" si="3"/>
        <v>0</v>
      </c>
    </row>
    <row r="11387" spans="6:10">
      <c r="F11387">
        <f t="shared" si="0"/>
        <v>0</v>
      </c>
      <c r="G11387">
        <f>COUNTIF($D$2:D11387,D11387)</f>
        <v>0</v>
      </c>
      <c r="H11387" t="str">
        <f t="shared" si="1"/>
        <v xml:space="preserve"> - 0</v>
      </c>
      <c r="I11387">
        <f t="shared" si="2"/>
        <v>0</v>
      </c>
      <c r="J11387">
        <f t="shared" si="3"/>
        <v>0</v>
      </c>
    </row>
    <row r="11388" spans="6:10">
      <c r="F11388">
        <f t="shared" si="0"/>
        <v>0</v>
      </c>
      <c r="G11388">
        <f>COUNTIF($D$2:D11388,D11388)</f>
        <v>0</v>
      </c>
      <c r="H11388" t="str">
        <f t="shared" si="1"/>
        <v xml:space="preserve"> - 0</v>
      </c>
      <c r="I11388">
        <f t="shared" si="2"/>
        <v>0</v>
      </c>
      <c r="J11388">
        <f t="shared" si="3"/>
        <v>0</v>
      </c>
    </row>
    <row r="11389" spans="6:10">
      <c r="F11389">
        <f t="shared" si="0"/>
        <v>0</v>
      </c>
      <c r="G11389">
        <f>COUNTIF($D$2:D11389,D11389)</f>
        <v>0</v>
      </c>
      <c r="H11389" t="str">
        <f t="shared" si="1"/>
        <v xml:space="preserve"> - 0</v>
      </c>
      <c r="I11389">
        <f t="shared" si="2"/>
        <v>0</v>
      </c>
      <c r="J11389">
        <f t="shared" si="3"/>
        <v>0</v>
      </c>
    </row>
    <row r="11390" spans="6:10">
      <c r="F11390">
        <f t="shared" si="0"/>
        <v>0</v>
      </c>
      <c r="G11390">
        <f>COUNTIF($D$2:D11390,D11390)</f>
        <v>0</v>
      </c>
      <c r="H11390" t="str">
        <f t="shared" si="1"/>
        <v xml:space="preserve"> - 0</v>
      </c>
      <c r="I11390">
        <f t="shared" si="2"/>
        <v>0</v>
      </c>
      <c r="J11390">
        <f t="shared" si="3"/>
        <v>0</v>
      </c>
    </row>
    <row r="11391" spans="6:10">
      <c r="F11391">
        <f t="shared" si="0"/>
        <v>0</v>
      </c>
      <c r="G11391">
        <f>COUNTIF($D$2:D11391,D11391)</f>
        <v>0</v>
      </c>
      <c r="H11391" t="str">
        <f t="shared" si="1"/>
        <v xml:space="preserve"> - 0</v>
      </c>
      <c r="I11391">
        <f t="shared" si="2"/>
        <v>0</v>
      </c>
      <c r="J11391">
        <f t="shared" si="3"/>
        <v>0</v>
      </c>
    </row>
    <row r="11392" spans="6:10">
      <c r="F11392">
        <f t="shared" si="0"/>
        <v>0</v>
      </c>
      <c r="G11392">
        <f>COUNTIF($D$2:D11392,D11392)</f>
        <v>0</v>
      </c>
      <c r="H11392" t="str">
        <f t="shared" si="1"/>
        <v xml:space="preserve"> - 0</v>
      </c>
      <c r="I11392">
        <f t="shared" si="2"/>
        <v>0</v>
      </c>
      <c r="J11392">
        <f t="shared" si="3"/>
        <v>0</v>
      </c>
    </row>
    <row r="11393" spans="6:10">
      <c r="F11393">
        <f t="shared" si="0"/>
        <v>0</v>
      </c>
      <c r="G11393">
        <f>COUNTIF($D$2:D11393,D11393)</f>
        <v>0</v>
      </c>
      <c r="H11393" t="str">
        <f t="shared" si="1"/>
        <v xml:space="preserve"> - 0</v>
      </c>
      <c r="I11393">
        <f t="shared" si="2"/>
        <v>0</v>
      </c>
      <c r="J11393">
        <f t="shared" si="3"/>
        <v>0</v>
      </c>
    </row>
    <row r="11394" spans="6:10">
      <c r="F11394">
        <f t="shared" si="0"/>
        <v>0</v>
      </c>
      <c r="G11394">
        <f>COUNTIF($D$2:D11394,D11394)</f>
        <v>0</v>
      </c>
      <c r="H11394" t="str">
        <f t="shared" si="1"/>
        <v xml:space="preserve"> - 0</v>
      </c>
      <c r="I11394">
        <f t="shared" si="2"/>
        <v>0</v>
      </c>
      <c r="J11394">
        <f t="shared" si="3"/>
        <v>0</v>
      </c>
    </row>
    <row r="11395" spans="6:10">
      <c r="F11395">
        <f t="shared" si="0"/>
        <v>0</v>
      </c>
      <c r="G11395">
        <f>COUNTIF($D$2:D11395,D11395)</f>
        <v>0</v>
      </c>
      <c r="H11395" t="str">
        <f t="shared" si="1"/>
        <v xml:space="preserve"> - 0</v>
      </c>
      <c r="I11395">
        <f t="shared" si="2"/>
        <v>0</v>
      </c>
      <c r="J11395">
        <f t="shared" si="3"/>
        <v>0</v>
      </c>
    </row>
    <row r="11396" spans="6:10">
      <c r="F11396">
        <f t="shared" si="0"/>
        <v>0</v>
      </c>
      <c r="G11396">
        <f>COUNTIF($D$2:D11396,D11396)</f>
        <v>0</v>
      </c>
      <c r="H11396" t="str">
        <f t="shared" si="1"/>
        <v xml:space="preserve"> - 0</v>
      </c>
      <c r="I11396">
        <f t="shared" si="2"/>
        <v>0</v>
      </c>
      <c r="J11396">
        <f t="shared" si="3"/>
        <v>0</v>
      </c>
    </row>
    <row r="11397" spans="6:10">
      <c r="F11397">
        <f t="shared" si="0"/>
        <v>0</v>
      </c>
      <c r="G11397">
        <f>COUNTIF($D$2:D11397,D11397)</f>
        <v>0</v>
      </c>
      <c r="H11397" t="str">
        <f t="shared" si="1"/>
        <v xml:space="preserve"> - 0</v>
      </c>
      <c r="I11397">
        <f t="shared" si="2"/>
        <v>0</v>
      </c>
      <c r="J11397">
        <f t="shared" si="3"/>
        <v>0</v>
      </c>
    </row>
    <row r="11398" spans="6:10">
      <c r="F11398">
        <f t="shared" si="0"/>
        <v>0</v>
      </c>
      <c r="G11398">
        <f>COUNTIF($D$2:D11398,D11398)</f>
        <v>0</v>
      </c>
      <c r="H11398" t="str">
        <f t="shared" si="1"/>
        <v xml:space="preserve"> - 0</v>
      </c>
      <c r="I11398">
        <f t="shared" si="2"/>
        <v>0</v>
      </c>
      <c r="J11398">
        <f t="shared" si="3"/>
        <v>0</v>
      </c>
    </row>
    <row r="11399" spans="6:10">
      <c r="F11399">
        <f t="shared" si="0"/>
        <v>0</v>
      </c>
      <c r="G11399">
        <f>COUNTIF($D$2:D11399,D11399)</f>
        <v>0</v>
      </c>
      <c r="H11399" t="str">
        <f t="shared" si="1"/>
        <v xml:space="preserve"> - 0</v>
      </c>
      <c r="I11399">
        <f t="shared" si="2"/>
        <v>0</v>
      </c>
      <c r="J11399">
        <f t="shared" si="3"/>
        <v>0</v>
      </c>
    </row>
    <row r="11400" spans="6:10">
      <c r="F11400">
        <f t="shared" si="0"/>
        <v>0</v>
      </c>
      <c r="G11400">
        <f>COUNTIF($D$2:D11400,D11400)</f>
        <v>0</v>
      </c>
      <c r="H11400" t="str">
        <f t="shared" si="1"/>
        <v xml:space="preserve"> - 0</v>
      </c>
      <c r="I11400">
        <f t="shared" si="2"/>
        <v>0</v>
      </c>
      <c r="J11400">
        <f t="shared" si="3"/>
        <v>0</v>
      </c>
    </row>
    <row r="11401" spans="6:10">
      <c r="F11401">
        <f t="shared" si="0"/>
        <v>0</v>
      </c>
      <c r="G11401">
        <f>COUNTIF($D$2:D11401,D11401)</f>
        <v>0</v>
      </c>
      <c r="H11401" t="str">
        <f t="shared" si="1"/>
        <v xml:space="preserve"> - 0</v>
      </c>
      <c r="I11401">
        <f t="shared" si="2"/>
        <v>0</v>
      </c>
      <c r="J11401">
        <f t="shared" si="3"/>
        <v>0</v>
      </c>
    </row>
    <row r="11402" spans="6:10">
      <c r="F11402">
        <f t="shared" si="0"/>
        <v>0</v>
      </c>
      <c r="G11402">
        <f>COUNTIF($D$2:D11402,D11402)</f>
        <v>0</v>
      </c>
      <c r="H11402" t="str">
        <f t="shared" si="1"/>
        <v xml:space="preserve"> - 0</v>
      </c>
      <c r="I11402">
        <f t="shared" si="2"/>
        <v>0</v>
      </c>
      <c r="J11402">
        <f t="shared" si="3"/>
        <v>0</v>
      </c>
    </row>
    <row r="11403" spans="6:10">
      <c r="F11403">
        <f t="shared" si="0"/>
        <v>0</v>
      </c>
      <c r="G11403">
        <f>COUNTIF($D$2:D11403,D11403)</f>
        <v>0</v>
      </c>
      <c r="H11403" t="str">
        <f t="shared" si="1"/>
        <v xml:space="preserve"> - 0</v>
      </c>
      <c r="I11403">
        <f t="shared" si="2"/>
        <v>0</v>
      </c>
      <c r="J11403">
        <f t="shared" si="3"/>
        <v>0</v>
      </c>
    </row>
    <row r="11404" spans="6:10">
      <c r="F11404">
        <f t="shared" si="0"/>
        <v>0</v>
      </c>
      <c r="G11404">
        <f>COUNTIF($D$2:D11404,D11404)</f>
        <v>0</v>
      </c>
      <c r="H11404" t="str">
        <f t="shared" si="1"/>
        <v xml:space="preserve"> - 0</v>
      </c>
      <c r="I11404">
        <f t="shared" si="2"/>
        <v>0</v>
      </c>
      <c r="J11404">
        <f t="shared" si="3"/>
        <v>0</v>
      </c>
    </row>
    <row r="11405" spans="6:10">
      <c r="F11405">
        <f t="shared" si="0"/>
        <v>0</v>
      </c>
      <c r="G11405">
        <f>COUNTIF($D$2:D11405,D11405)</f>
        <v>0</v>
      </c>
      <c r="H11405" t="str">
        <f t="shared" si="1"/>
        <v xml:space="preserve"> - 0</v>
      </c>
      <c r="I11405">
        <f t="shared" si="2"/>
        <v>0</v>
      </c>
      <c r="J11405">
        <f t="shared" si="3"/>
        <v>0</v>
      </c>
    </row>
    <row r="11406" spans="6:10">
      <c r="F11406">
        <f t="shared" si="0"/>
        <v>0</v>
      </c>
      <c r="G11406">
        <f>COUNTIF($D$2:D11406,D11406)</f>
        <v>0</v>
      </c>
      <c r="H11406" t="str">
        <f t="shared" si="1"/>
        <v xml:space="preserve"> - 0</v>
      </c>
      <c r="I11406">
        <f t="shared" si="2"/>
        <v>0</v>
      </c>
      <c r="J11406">
        <f t="shared" si="3"/>
        <v>0</v>
      </c>
    </row>
    <row r="11407" spans="6:10">
      <c r="F11407">
        <f t="shared" si="0"/>
        <v>0</v>
      </c>
      <c r="G11407">
        <f>COUNTIF($D$2:D11407,D11407)</f>
        <v>0</v>
      </c>
      <c r="H11407" t="str">
        <f t="shared" si="1"/>
        <v xml:space="preserve"> - 0</v>
      </c>
      <c r="I11407">
        <f t="shared" si="2"/>
        <v>0</v>
      </c>
      <c r="J11407">
        <f t="shared" si="3"/>
        <v>0</v>
      </c>
    </row>
    <row r="11408" spans="6:10">
      <c r="F11408">
        <f t="shared" si="0"/>
        <v>0</v>
      </c>
      <c r="G11408">
        <f>COUNTIF($D$2:D11408,D11408)</f>
        <v>0</v>
      </c>
      <c r="H11408" t="str">
        <f t="shared" si="1"/>
        <v xml:space="preserve"> - 0</v>
      </c>
      <c r="I11408">
        <f t="shared" si="2"/>
        <v>0</v>
      </c>
      <c r="J11408">
        <f t="shared" si="3"/>
        <v>0</v>
      </c>
    </row>
    <row r="11409" spans="6:10">
      <c r="F11409">
        <f t="shared" si="0"/>
        <v>0</v>
      </c>
      <c r="G11409">
        <f>COUNTIF($D$2:D11409,D11409)</f>
        <v>0</v>
      </c>
      <c r="H11409" t="str">
        <f t="shared" si="1"/>
        <v xml:space="preserve"> - 0</v>
      </c>
      <c r="I11409">
        <f t="shared" si="2"/>
        <v>0</v>
      </c>
      <c r="J11409">
        <f t="shared" si="3"/>
        <v>0</v>
      </c>
    </row>
    <row r="11410" spans="6:10">
      <c r="F11410">
        <f t="shared" si="0"/>
        <v>0</v>
      </c>
      <c r="G11410">
        <f>COUNTIF($D$2:D11410,D11410)</f>
        <v>0</v>
      </c>
      <c r="H11410" t="str">
        <f t="shared" si="1"/>
        <v xml:space="preserve"> - 0</v>
      </c>
      <c r="I11410">
        <f t="shared" si="2"/>
        <v>0</v>
      </c>
      <c r="J11410">
        <f t="shared" si="3"/>
        <v>0</v>
      </c>
    </row>
    <row r="11411" spans="6:10">
      <c r="F11411">
        <f t="shared" si="0"/>
        <v>0</v>
      </c>
      <c r="G11411">
        <f>COUNTIF($D$2:D11411,D11411)</f>
        <v>0</v>
      </c>
      <c r="H11411" t="str">
        <f t="shared" si="1"/>
        <v xml:space="preserve"> - 0</v>
      </c>
      <c r="I11411">
        <f t="shared" si="2"/>
        <v>0</v>
      </c>
      <c r="J11411">
        <f t="shared" si="3"/>
        <v>0</v>
      </c>
    </row>
    <row r="11412" spans="6:10">
      <c r="F11412">
        <f t="shared" si="0"/>
        <v>0</v>
      </c>
      <c r="G11412">
        <f>COUNTIF($D$2:D11412,D11412)</f>
        <v>0</v>
      </c>
      <c r="H11412" t="str">
        <f t="shared" si="1"/>
        <v xml:space="preserve"> - 0</v>
      </c>
      <c r="I11412">
        <f t="shared" si="2"/>
        <v>0</v>
      </c>
      <c r="J11412">
        <f t="shared" si="3"/>
        <v>0</v>
      </c>
    </row>
    <row r="11413" spans="6:10">
      <c r="F11413">
        <f t="shared" si="0"/>
        <v>0</v>
      </c>
      <c r="G11413">
        <f>COUNTIF($D$2:D11413,D11413)</f>
        <v>0</v>
      </c>
      <c r="H11413" t="str">
        <f t="shared" si="1"/>
        <v xml:space="preserve"> - 0</v>
      </c>
      <c r="I11413">
        <f t="shared" si="2"/>
        <v>0</v>
      </c>
      <c r="J11413">
        <f t="shared" si="3"/>
        <v>0</v>
      </c>
    </row>
    <row r="11414" spans="6:10">
      <c r="F11414">
        <f t="shared" si="0"/>
        <v>0</v>
      </c>
      <c r="G11414">
        <f>COUNTIF($D$2:D11414,D11414)</f>
        <v>0</v>
      </c>
      <c r="H11414" t="str">
        <f t="shared" si="1"/>
        <v xml:space="preserve"> - 0</v>
      </c>
      <c r="I11414">
        <f t="shared" si="2"/>
        <v>0</v>
      </c>
      <c r="J11414">
        <f t="shared" si="3"/>
        <v>0</v>
      </c>
    </row>
    <row r="11415" spans="6:10">
      <c r="F11415">
        <f t="shared" si="0"/>
        <v>0</v>
      </c>
      <c r="G11415">
        <f>COUNTIF($D$2:D11415,D11415)</f>
        <v>0</v>
      </c>
      <c r="H11415" t="str">
        <f t="shared" si="1"/>
        <v xml:space="preserve"> - 0</v>
      </c>
      <c r="I11415">
        <f t="shared" si="2"/>
        <v>0</v>
      </c>
      <c r="J11415">
        <f t="shared" si="3"/>
        <v>0</v>
      </c>
    </row>
    <row r="11416" spans="6:10">
      <c r="F11416">
        <f t="shared" si="0"/>
        <v>0</v>
      </c>
      <c r="G11416">
        <f>COUNTIF($D$2:D11416,D11416)</f>
        <v>0</v>
      </c>
      <c r="H11416" t="str">
        <f t="shared" si="1"/>
        <v xml:space="preserve"> - 0</v>
      </c>
      <c r="I11416">
        <f t="shared" si="2"/>
        <v>0</v>
      </c>
      <c r="J11416">
        <f t="shared" si="3"/>
        <v>0</v>
      </c>
    </row>
    <row r="11417" spans="6:10">
      <c r="F11417">
        <f t="shared" si="0"/>
        <v>0</v>
      </c>
      <c r="G11417">
        <f>COUNTIF($D$2:D11417,D11417)</f>
        <v>0</v>
      </c>
      <c r="H11417" t="str">
        <f t="shared" si="1"/>
        <v xml:space="preserve"> - 0</v>
      </c>
      <c r="I11417">
        <f t="shared" si="2"/>
        <v>0</v>
      </c>
      <c r="J11417">
        <f t="shared" si="3"/>
        <v>0</v>
      </c>
    </row>
    <row r="11418" spans="6:10">
      <c r="F11418">
        <f t="shared" si="0"/>
        <v>0</v>
      </c>
      <c r="G11418">
        <f>COUNTIF($D$2:D11418,D11418)</f>
        <v>0</v>
      </c>
      <c r="H11418" t="str">
        <f t="shared" si="1"/>
        <v xml:space="preserve"> - 0</v>
      </c>
      <c r="I11418">
        <f t="shared" si="2"/>
        <v>0</v>
      </c>
      <c r="J11418">
        <f t="shared" si="3"/>
        <v>0</v>
      </c>
    </row>
    <row r="11419" spans="6:10">
      <c r="F11419">
        <f t="shared" si="0"/>
        <v>0</v>
      </c>
      <c r="G11419">
        <f>COUNTIF($D$2:D11419,D11419)</f>
        <v>0</v>
      </c>
      <c r="H11419" t="str">
        <f t="shared" si="1"/>
        <v xml:space="preserve"> - 0</v>
      </c>
      <c r="I11419">
        <f t="shared" si="2"/>
        <v>0</v>
      </c>
      <c r="J11419">
        <f t="shared" si="3"/>
        <v>0</v>
      </c>
    </row>
    <row r="11420" spans="6:10">
      <c r="F11420">
        <f t="shared" si="0"/>
        <v>0</v>
      </c>
      <c r="G11420">
        <f>COUNTIF($D$2:D11420,D11420)</f>
        <v>0</v>
      </c>
      <c r="H11420" t="str">
        <f t="shared" si="1"/>
        <v xml:space="preserve"> - 0</v>
      </c>
      <c r="I11420">
        <f t="shared" si="2"/>
        <v>0</v>
      </c>
      <c r="J11420">
        <f t="shared" si="3"/>
        <v>0</v>
      </c>
    </row>
    <row r="11421" spans="6:10">
      <c r="F11421">
        <f t="shared" si="0"/>
        <v>0</v>
      </c>
      <c r="G11421">
        <f>COUNTIF($D$2:D11421,D11421)</f>
        <v>0</v>
      </c>
      <c r="H11421" t="str">
        <f t="shared" si="1"/>
        <v xml:space="preserve"> - 0</v>
      </c>
      <c r="I11421">
        <f t="shared" si="2"/>
        <v>0</v>
      </c>
      <c r="J11421">
        <f t="shared" si="3"/>
        <v>0</v>
      </c>
    </row>
    <row r="11422" spans="6:10">
      <c r="F11422">
        <f t="shared" si="0"/>
        <v>0</v>
      </c>
      <c r="G11422">
        <f>COUNTIF($D$2:D11422,D11422)</f>
        <v>0</v>
      </c>
      <c r="H11422" t="str">
        <f t="shared" si="1"/>
        <v xml:space="preserve"> - 0</v>
      </c>
      <c r="I11422">
        <f t="shared" si="2"/>
        <v>0</v>
      </c>
      <c r="J11422">
        <f t="shared" si="3"/>
        <v>0</v>
      </c>
    </row>
    <row r="11423" spans="6:10">
      <c r="F11423">
        <f t="shared" si="0"/>
        <v>0</v>
      </c>
      <c r="G11423">
        <f>COUNTIF($D$2:D11423,D11423)</f>
        <v>0</v>
      </c>
      <c r="H11423" t="str">
        <f t="shared" si="1"/>
        <v xml:space="preserve"> - 0</v>
      </c>
      <c r="I11423">
        <f t="shared" si="2"/>
        <v>0</v>
      </c>
      <c r="J11423">
        <f t="shared" si="3"/>
        <v>0</v>
      </c>
    </row>
    <row r="11424" spans="6:10">
      <c r="F11424">
        <f t="shared" si="0"/>
        <v>0</v>
      </c>
      <c r="G11424">
        <f>COUNTIF($D$2:D11424,D11424)</f>
        <v>0</v>
      </c>
      <c r="H11424" t="str">
        <f t="shared" si="1"/>
        <v xml:space="preserve"> - 0</v>
      </c>
      <c r="I11424">
        <f t="shared" si="2"/>
        <v>0</v>
      </c>
      <c r="J11424">
        <f t="shared" si="3"/>
        <v>0</v>
      </c>
    </row>
    <row r="11425" spans="6:10">
      <c r="F11425">
        <f t="shared" si="0"/>
        <v>0</v>
      </c>
      <c r="G11425">
        <f>COUNTIF($D$2:D11425,D11425)</f>
        <v>0</v>
      </c>
      <c r="H11425" t="str">
        <f t="shared" si="1"/>
        <v xml:space="preserve"> - 0</v>
      </c>
      <c r="I11425">
        <f t="shared" si="2"/>
        <v>0</v>
      </c>
      <c r="J11425">
        <f t="shared" si="3"/>
        <v>0</v>
      </c>
    </row>
    <row r="11426" spans="6:10">
      <c r="F11426">
        <f t="shared" si="0"/>
        <v>0</v>
      </c>
      <c r="G11426">
        <f>COUNTIF($D$2:D11426,D11426)</f>
        <v>0</v>
      </c>
      <c r="H11426" t="str">
        <f t="shared" si="1"/>
        <v xml:space="preserve"> - 0</v>
      </c>
      <c r="I11426">
        <f t="shared" si="2"/>
        <v>0</v>
      </c>
      <c r="J11426">
        <f t="shared" si="3"/>
        <v>0</v>
      </c>
    </row>
    <row r="11427" spans="6:10">
      <c r="F11427">
        <f t="shared" si="0"/>
        <v>0</v>
      </c>
      <c r="G11427">
        <f>COUNTIF($D$2:D11427,D11427)</f>
        <v>0</v>
      </c>
      <c r="H11427" t="str">
        <f t="shared" si="1"/>
        <v xml:space="preserve"> - 0</v>
      </c>
      <c r="I11427">
        <f t="shared" si="2"/>
        <v>0</v>
      </c>
      <c r="J11427">
        <f t="shared" si="3"/>
        <v>0</v>
      </c>
    </row>
    <row r="11428" spans="6:10">
      <c r="F11428">
        <f t="shared" si="0"/>
        <v>0</v>
      </c>
      <c r="G11428">
        <f>COUNTIF($D$2:D11428,D11428)</f>
        <v>0</v>
      </c>
      <c r="H11428" t="str">
        <f t="shared" si="1"/>
        <v xml:space="preserve"> - 0</v>
      </c>
      <c r="I11428">
        <f t="shared" si="2"/>
        <v>0</v>
      </c>
      <c r="J11428">
        <f t="shared" si="3"/>
        <v>0</v>
      </c>
    </row>
    <row r="11429" spans="6:10">
      <c r="F11429">
        <f t="shared" si="0"/>
        <v>0</v>
      </c>
      <c r="G11429">
        <f>COUNTIF($D$2:D11429,D11429)</f>
        <v>0</v>
      </c>
      <c r="H11429" t="str">
        <f t="shared" si="1"/>
        <v xml:space="preserve"> - 0</v>
      </c>
      <c r="I11429">
        <f t="shared" si="2"/>
        <v>0</v>
      </c>
      <c r="J11429">
        <f t="shared" si="3"/>
        <v>0</v>
      </c>
    </row>
    <row r="11430" spans="6:10">
      <c r="F11430">
        <f t="shared" si="0"/>
        <v>0</v>
      </c>
      <c r="G11430">
        <f>COUNTIF($D$2:D11430,D11430)</f>
        <v>0</v>
      </c>
      <c r="H11430" t="str">
        <f t="shared" si="1"/>
        <v xml:space="preserve"> - 0</v>
      </c>
      <c r="I11430">
        <f t="shared" si="2"/>
        <v>0</v>
      </c>
      <c r="J11430">
        <f t="shared" si="3"/>
        <v>0</v>
      </c>
    </row>
    <row r="11431" spans="6:10">
      <c r="F11431">
        <f t="shared" si="0"/>
        <v>0</v>
      </c>
      <c r="G11431">
        <f>COUNTIF($D$2:D11431,D11431)</f>
        <v>0</v>
      </c>
      <c r="H11431" t="str">
        <f t="shared" si="1"/>
        <v xml:space="preserve"> - 0</v>
      </c>
      <c r="I11431">
        <f t="shared" si="2"/>
        <v>0</v>
      </c>
      <c r="J11431">
        <f t="shared" si="3"/>
        <v>0</v>
      </c>
    </row>
    <row r="11432" spans="6:10">
      <c r="F11432">
        <f t="shared" si="0"/>
        <v>0</v>
      </c>
      <c r="G11432">
        <f>COUNTIF($D$2:D11432,D11432)</f>
        <v>0</v>
      </c>
      <c r="H11432" t="str">
        <f t="shared" si="1"/>
        <v xml:space="preserve"> - 0</v>
      </c>
      <c r="I11432">
        <f t="shared" si="2"/>
        <v>0</v>
      </c>
      <c r="J11432">
        <f t="shared" si="3"/>
        <v>0</v>
      </c>
    </row>
    <row r="11433" spans="6:10">
      <c r="F11433">
        <f t="shared" ref="F11433:F11496" si="4">COUNTIF($D$2:$D$35910,D11433)</f>
        <v>0</v>
      </c>
      <c r="G11433">
        <f>COUNTIF($D$2:D11433,D11433)</f>
        <v>0</v>
      </c>
      <c r="H11433" t="str">
        <f t="shared" ref="H11433:H11496" si="5">D11433&amp;" - "&amp;G11433&amp;AH11433</f>
        <v xml:space="preserve"> - 0</v>
      </c>
      <c r="I11433">
        <f t="shared" ref="I11433:I11496" si="6">A11433</f>
        <v>0</v>
      </c>
      <c r="J11433">
        <f t="shared" ref="J11433:J11496" si="7">B11433</f>
        <v>0</v>
      </c>
    </row>
    <row r="11434" spans="6:10">
      <c r="F11434">
        <f t="shared" si="4"/>
        <v>0</v>
      </c>
      <c r="G11434">
        <f>COUNTIF($D$2:D11434,D11434)</f>
        <v>0</v>
      </c>
      <c r="H11434" t="str">
        <f t="shared" si="5"/>
        <v xml:space="preserve"> - 0</v>
      </c>
      <c r="I11434">
        <f t="shared" si="6"/>
        <v>0</v>
      </c>
      <c r="J11434">
        <f t="shared" si="7"/>
        <v>0</v>
      </c>
    </row>
    <row r="11435" spans="6:10">
      <c r="F11435">
        <f t="shared" si="4"/>
        <v>0</v>
      </c>
      <c r="G11435">
        <f>COUNTIF($D$2:D11435,D11435)</f>
        <v>0</v>
      </c>
      <c r="H11435" t="str">
        <f t="shared" si="5"/>
        <v xml:space="preserve"> - 0</v>
      </c>
      <c r="I11435">
        <f t="shared" si="6"/>
        <v>0</v>
      </c>
      <c r="J11435">
        <f t="shared" si="7"/>
        <v>0</v>
      </c>
    </row>
    <row r="11436" spans="6:10">
      <c r="F11436">
        <f t="shared" si="4"/>
        <v>0</v>
      </c>
      <c r="G11436">
        <f>COUNTIF($D$2:D11436,D11436)</f>
        <v>0</v>
      </c>
      <c r="H11436" t="str">
        <f t="shared" si="5"/>
        <v xml:space="preserve"> - 0</v>
      </c>
      <c r="I11436">
        <f t="shared" si="6"/>
        <v>0</v>
      </c>
      <c r="J11436">
        <f t="shared" si="7"/>
        <v>0</v>
      </c>
    </row>
    <row r="11437" spans="6:10">
      <c r="F11437">
        <f t="shared" si="4"/>
        <v>0</v>
      </c>
      <c r="G11437">
        <f>COUNTIF($D$2:D11437,D11437)</f>
        <v>0</v>
      </c>
      <c r="H11437" t="str">
        <f t="shared" si="5"/>
        <v xml:space="preserve"> - 0</v>
      </c>
      <c r="I11437">
        <f t="shared" si="6"/>
        <v>0</v>
      </c>
      <c r="J11437">
        <f t="shared" si="7"/>
        <v>0</v>
      </c>
    </row>
    <row r="11438" spans="6:10">
      <c r="F11438">
        <f t="shared" si="4"/>
        <v>0</v>
      </c>
      <c r="G11438">
        <f>COUNTIF($D$2:D11438,D11438)</f>
        <v>0</v>
      </c>
      <c r="H11438" t="str">
        <f t="shared" si="5"/>
        <v xml:space="preserve"> - 0</v>
      </c>
      <c r="I11438">
        <f t="shared" si="6"/>
        <v>0</v>
      </c>
      <c r="J11438">
        <f t="shared" si="7"/>
        <v>0</v>
      </c>
    </row>
    <row r="11439" spans="6:10">
      <c r="F11439">
        <f t="shared" si="4"/>
        <v>0</v>
      </c>
      <c r="G11439">
        <f>COUNTIF($D$2:D11439,D11439)</f>
        <v>0</v>
      </c>
      <c r="H11439" t="str">
        <f t="shared" si="5"/>
        <v xml:space="preserve"> - 0</v>
      </c>
      <c r="I11439">
        <f t="shared" si="6"/>
        <v>0</v>
      </c>
      <c r="J11439">
        <f t="shared" si="7"/>
        <v>0</v>
      </c>
    </row>
    <row r="11440" spans="6:10">
      <c r="F11440">
        <f t="shared" si="4"/>
        <v>0</v>
      </c>
      <c r="G11440">
        <f>COUNTIF($D$2:D11440,D11440)</f>
        <v>0</v>
      </c>
      <c r="H11440" t="str">
        <f t="shared" si="5"/>
        <v xml:space="preserve"> - 0</v>
      </c>
      <c r="I11440">
        <f t="shared" si="6"/>
        <v>0</v>
      </c>
      <c r="J11440">
        <f t="shared" si="7"/>
        <v>0</v>
      </c>
    </row>
    <row r="11441" spans="6:10">
      <c r="F11441">
        <f t="shared" si="4"/>
        <v>0</v>
      </c>
      <c r="G11441">
        <f>COUNTIF($D$2:D11441,D11441)</f>
        <v>0</v>
      </c>
      <c r="H11441" t="str">
        <f t="shared" si="5"/>
        <v xml:space="preserve"> - 0</v>
      </c>
      <c r="I11441">
        <f t="shared" si="6"/>
        <v>0</v>
      </c>
      <c r="J11441">
        <f t="shared" si="7"/>
        <v>0</v>
      </c>
    </row>
    <row r="11442" spans="6:10">
      <c r="F11442">
        <f t="shared" si="4"/>
        <v>0</v>
      </c>
      <c r="G11442">
        <f>COUNTIF($D$2:D11442,D11442)</f>
        <v>0</v>
      </c>
      <c r="H11442" t="str">
        <f t="shared" si="5"/>
        <v xml:space="preserve"> - 0</v>
      </c>
      <c r="I11442">
        <f t="shared" si="6"/>
        <v>0</v>
      </c>
      <c r="J11442">
        <f t="shared" si="7"/>
        <v>0</v>
      </c>
    </row>
    <row r="11443" spans="6:10">
      <c r="F11443">
        <f t="shared" si="4"/>
        <v>0</v>
      </c>
      <c r="G11443">
        <f>COUNTIF($D$2:D11443,D11443)</f>
        <v>0</v>
      </c>
      <c r="H11443" t="str">
        <f t="shared" si="5"/>
        <v xml:space="preserve"> - 0</v>
      </c>
      <c r="I11443">
        <f t="shared" si="6"/>
        <v>0</v>
      </c>
      <c r="J11443">
        <f t="shared" si="7"/>
        <v>0</v>
      </c>
    </row>
    <row r="11444" spans="6:10">
      <c r="F11444">
        <f t="shared" si="4"/>
        <v>0</v>
      </c>
      <c r="G11444">
        <f>COUNTIF($D$2:D11444,D11444)</f>
        <v>0</v>
      </c>
      <c r="H11444" t="str">
        <f t="shared" si="5"/>
        <v xml:space="preserve"> - 0</v>
      </c>
      <c r="I11444">
        <f t="shared" si="6"/>
        <v>0</v>
      </c>
      <c r="J11444">
        <f t="shared" si="7"/>
        <v>0</v>
      </c>
    </row>
    <row r="11445" spans="6:10">
      <c r="F11445">
        <f t="shared" si="4"/>
        <v>0</v>
      </c>
      <c r="G11445">
        <f>COUNTIF($D$2:D11445,D11445)</f>
        <v>0</v>
      </c>
      <c r="H11445" t="str">
        <f t="shared" si="5"/>
        <v xml:space="preserve"> - 0</v>
      </c>
      <c r="I11445">
        <f t="shared" si="6"/>
        <v>0</v>
      </c>
      <c r="J11445">
        <f t="shared" si="7"/>
        <v>0</v>
      </c>
    </row>
    <row r="11446" spans="6:10">
      <c r="F11446">
        <f t="shared" si="4"/>
        <v>0</v>
      </c>
      <c r="G11446">
        <f>COUNTIF($D$2:D11446,D11446)</f>
        <v>0</v>
      </c>
      <c r="H11446" t="str">
        <f t="shared" si="5"/>
        <v xml:space="preserve"> - 0</v>
      </c>
      <c r="I11446">
        <f t="shared" si="6"/>
        <v>0</v>
      </c>
      <c r="J11446">
        <f t="shared" si="7"/>
        <v>0</v>
      </c>
    </row>
    <row r="11447" spans="6:10">
      <c r="F11447">
        <f t="shared" si="4"/>
        <v>0</v>
      </c>
      <c r="G11447">
        <f>COUNTIF($D$2:D11447,D11447)</f>
        <v>0</v>
      </c>
      <c r="H11447" t="str">
        <f t="shared" si="5"/>
        <v xml:space="preserve"> - 0</v>
      </c>
      <c r="I11447">
        <f t="shared" si="6"/>
        <v>0</v>
      </c>
      <c r="J11447">
        <f t="shared" si="7"/>
        <v>0</v>
      </c>
    </row>
    <row r="11448" spans="6:10">
      <c r="F11448">
        <f t="shared" si="4"/>
        <v>0</v>
      </c>
      <c r="G11448">
        <f>COUNTIF($D$2:D11448,D11448)</f>
        <v>0</v>
      </c>
      <c r="H11448" t="str">
        <f t="shared" si="5"/>
        <v xml:space="preserve"> - 0</v>
      </c>
      <c r="I11448">
        <f t="shared" si="6"/>
        <v>0</v>
      </c>
      <c r="J11448">
        <f t="shared" si="7"/>
        <v>0</v>
      </c>
    </row>
    <row r="11449" spans="6:10">
      <c r="F11449">
        <f t="shared" si="4"/>
        <v>0</v>
      </c>
      <c r="G11449">
        <f>COUNTIF($D$2:D11449,D11449)</f>
        <v>0</v>
      </c>
      <c r="H11449" t="str">
        <f t="shared" si="5"/>
        <v xml:space="preserve"> - 0</v>
      </c>
      <c r="I11449">
        <f t="shared" si="6"/>
        <v>0</v>
      </c>
      <c r="J11449">
        <f t="shared" si="7"/>
        <v>0</v>
      </c>
    </row>
    <row r="11450" spans="6:10">
      <c r="F11450">
        <f t="shared" si="4"/>
        <v>0</v>
      </c>
      <c r="G11450">
        <f>COUNTIF($D$2:D11450,D11450)</f>
        <v>0</v>
      </c>
      <c r="H11450" t="str">
        <f t="shared" si="5"/>
        <v xml:space="preserve"> - 0</v>
      </c>
      <c r="I11450">
        <f t="shared" si="6"/>
        <v>0</v>
      </c>
      <c r="J11450">
        <f t="shared" si="7"/>
        <v>0</v>
      </c>
    </row>
    <row r="11451" spans="6:10">
      <c r="F11451">
        <f t="shared" si="4"/>
        <v>0</v>
      </c>
      <c r="G11451">
        <f>COUNTIF($D$2:D11451,D11451)</f>
        <v>0</v>
      </c>
      <c r="H11451" t="str">
        <f t="shared" si="5"/>
        <v xml:space="preserve"> - 0</v>
      </c>
      <c r="I11451">
        <f t="shared" si="6"/>
        <v>0</v>
      </c>
      <c r="J11451">
        <f t="shared" si="7"/>
        <v>0</v>
      </c>
    </row>
    <row r="11452" spans="6:10">
      <c r="F11452">
        <f t="shared" si="4"/>
        <v>0</v>
      </c>
      <c r="G11452">
        <f>COUNTIF($D$2:D11452,D11452)</f>
        <v>0</v>
      </c>
      <c r="H11452" t="str">
        <f t="shared" si="5"/>
        <v xml:space="preserve"> - 0</v>
      </c>
      <c r="I11452">
        <f t="shared" si="6"/>
        <v>0</v>
      </c>
      <c r="J11452">
        <f t="shared" si="7"/>
        <v>0</v>
      </c>
    </row>
    <row r="11453" spans="6:10">
      <c r="F11453">
        <f t="shared" si="4"/>
        <v>0</v>
      </c>
      <c r="G11453">
        <f>COUNTIF($D$2:D11453,D11453)</f>
        <v>0</v>
      </c>
      <c r="H11453" t="str">
        <f t="shared" si="5"/>
        <v xml:space="preserve"> - 0</v>
      </c>
      <c r="I11453">
        <f t="shared" si="6"/>
        <v>0</v>
      </c>
      <c r="J11453">
        <f t="shared" si="7"/>
        <v>0</v>
      </c>
    </row>
    <row r="11454" spans="6:10">
      <c r="F11454">
        <f t="shared" si="4"/>
        <v>0</v>
      </c>
      <c r="G11454">
        <f>COUNTIF($D$2:D11454,D11454)</f>
        <v>0</v>
      </c>
      <c r="H11454" t="str">
        <f t="shared" si="5"/>
        <v xml:space="preserve"> - 0</v>
      </c>
      <c r="I11454">
        <f t="shared" si="6"/>
        <v>0</v>
      </c>
      <c r="J11454">
        <f t="shared" si="7"/>
        <v>0</v>
      </c>
    </row>
    <row r="11455" spans="6:10">
      <c r="F11455">
        <f t="shared" si="4"/>
        <v>0</v>
      </c>
      <c r="G11455">
        <f>COUNTIF($D$2:D11455,D11455)</f>
        <v>0</v>
      </c>
      <c r="H11455" t="str">
        <f t="shared" si="5"/>
        <v xml:space="preserve"> - 0</v>
      </c>
      <c r="I11455">
        <f t="shared" si="6"/>
        <v>0</v>
      </c>
      <c r="J11455">
        <f t="shared" si="7"/>
        <v>0</v>
      </c>
    </row>
    <row r="11456" spans="6:10">
      <c r="F11456">
        <f t="shared" si="4"/>
        <v>0</v>
      </c>
      <c r="G11456">
        <f>COUNTIF($D$2:D11456,D11456)</f>
        <v>0</v>
      </c>
      <c r="H11456" t="str">
        <f t="shared" si="5"/>
        <v xml:space="preserve"> - 0</v>
      </c>
      <c r="I11456">
        <f t="shared" si="6"/>
        <v>0</v>
      </c>
      <c r="J11456">
        <f t="shared" si="7"/>
        <v>0</v>
      </c>
    </row>
    <row r="11457" spans="6:10">
      <c r="F11457">
        <f t="shared" si="4"/>
        <v>0</v>
      </c>
      <c r="G11457">
        <f>COUNTIF($D$2:D11457,D11457)</f>
        <v>0</v>
      </c>
      <c r="H11457" t="str">
        <f t="shared" si="5"/>
        <v xml:space="preserve"> - 0</v>
      </c>
      <c r="I11457">
        <f t="shared" si="6"/>
        <v>0</v>
      </c>
      <c r="J11457">
        <f t="shared" si="7"/>
        <v>0</v>
      </c>
    </row>
    <row r="11458" spans="6:10">
      <c r="F11458">
        <f t="shared" si="4"/>
        <v>0</v>
      </c>
      <c r="G11458">
        <f>COUNTIF($D$2:D11458,D11458)</f>
        <v>0</v>
      </c>
      <c r="H11458" t="str">
        <f t="shared" si="5"/>
        <v xml:space="preserve"> - 0</v>
      </c>
      <c r="I11458">
        <f t="shared" si="6"/>
        <v>0</v>
      </c>
      <c r="J11458">
        <f t="shared" si="7"/>
        <v>0</v>
      </c>
    </row>
    <row r="11459" spans="6:10">
      <c r="F11459">
        <f t="shared" si="4"/>
        <v>0</v>
      </c>
      <c r="G11459">
        <f>COUNTIF($D$2:D11459,D11459)</f>
        <v>0</v>
      </c>
      <c r="H11459" t="str">
        <f t="shared" si="5"/>
        <v xml:space="preserve"> - 0</v>
      </c>
      <c r="I11459">
        <f t="shared" si="6"/>
        <v>0</v>
      </c>
      <c r="J11459">
        <f t="shared" si="7"/>
        <v>0</v>
      </c>
    </row>
    <row r="11460" spans="6:10">
      <c r="F11460">
        <f t="shared" si="4"/>
        <v>0</v>
      </c>
      <c r="G11460">
        <f>COUNTIF($D$2:D11460,D11460)</f>
        <v>0</v>
      </c>
      <c r="H11460" t="str">
        <f t="shared" si="5"/>
        <v xml:space="preserve"> - 0</v>
      </c>
      <c r="I11460">
        <f t="shared" si="6"/>
        <v>0</v>
      </c>
      <c r="J11460">
        <f t="shared" si="7"/>
        <v>0</v>
      </c>
    </row>
    <row r="11461" spans="6:10">
      <c r="F11461">
        <f t="shared" si="4"/>
        <v>0</v>
      </c>
      <c r="G11461">
        <f>COUNTIF($D$2:D11461,D11461)</f>
        <v>0</v>
      </c>
      <c r="H11461" t="str">
        <f t="shared" si="5"/>
        <v xml:space="preserve"> - 0</v>
      </c>
      <c r="I11461">
        <f t="shared" si="6"/>
        <v>0</v>
      </c>
      <c r="J11461">
        <f t="shared" si="7"/>
        <v>0</v>
      </c>
    </row>
    <row r="11462" spans="6:10">
      <c r="F11462">
        <f t="shared" si="4"/>
        <v>0</v>
      </c>
      <c r="G11462">
        <f>COUNTIF($D$2:D11462,D11462)</f>
        <v>0</v>
      </c>
      <c r="H11462" t="str">
        <f t="shared" si="5"/>
        <v xml:space="preserve"> - 0</v>
      </c>
      <c r="I11462">
        <f t="shared" si="6"/>
        <v>0</v>
      </c>
      <c r="J11462">
        <f t="shared" si="7"/>
        <v>0</v>
      </c>
    </row>
    <row r="11463" spans="6:10">
      <c r="F11463">
        <f t="shared" si="4"/>
        <v>0</v>
      </c>
      <c r="G11463">
        <f>COUNTIF($D$2:D11463,D11463)</f>
        <v>0</v>
      </c>
      <c r="H11463" t="str">
        <f t="shared" si="5"/>
        <v xml:space="preserve"> - 0</v>
      </c>
      <c r="I11463">
        <f t="shared" si="6"/>
        <v>0</v>
      </c>
      <c r="J11463">
        <f t="shared" si="7"/>
        <v>0</v>
      </c>
    </row>
    <row r="11464" spans="6:10">
      <c r="F11464">
        <f t="shared" si="4"/>
        <v>0</v>
      </c>
      <c r="G11464">
        <f>COUNTIF($D$2:D11464,D11464)</f>
        <v>0</v>
      </c>
      <c r="H11464" t="str">
        <f t="shared" si="5"/>
        <v xml:space="preserve"> - 0</v>
      </c>
      <c r="I11464">
        <f t="shared" si="6"/>
        <v>0</v>
      </c>
      <c r="J11464">
        <f t="shared" si="7"/>
        <v>0</v>
      </c>
    </row>
    <row r="11465" spans="6:10">
      <c r="F11465">
        <f t="shared" si="4"/>
        <v>0</v>
      </c>
      <c r="G11465">
        <f>COUNTIF($D$2:D11465,D11465)</f>
        <v>0</v>
      </c>
      <c r="H11465" t="str">
        <f t="shared" si="5"/>
        <v xml:space="preserve"> - 0</v>
      </c>
      <c r="I11465">
        <f t="shared" si="6"/>
        <v>0</v>
      </c>
      <c r="J11465">
        <f t="shared" si="7"/>
        <v>0</v>
      </c>
    </row>
    <row r="11466" spans="6:10">
      <c r="F11466">
        <f t="shared" si="4"/>
        <v>0</v>
      </c>
      <c r="G11466">
        <f>COUNTIF($D$2:D11466,D11466)</f>
        <v>0</v>
      </c>
      <c r="H11466" t="str">
        <f t="shared" si="5"/>
        <v xml:space="preserve"> - 0</v>
      </c>
      <c r="I11466">
        <f t="shared" si="6"/>
        <v>0</v>
      </c>
      <c r="J11466">
        <f t="shared" si="7"/>
        <v>0</v>
      </c>
    </row>
    <row r="11467" spans="6:10">
      <c r="F11467">
        <f t="shared" si="4"/>
        <v>0</v>
      </c>
      <c r="G11467">
        <f>COUNTIF($D$2:D11467,D11467)</f>
        <v>0</v>
      </c>
      <c r="H11467" t="str">
        <f t="shared" si="5"/>
        <v xml:space="preserve"> - 0</v>
      </c>
      <c r="I11467">
        <f t="shared" si="6"/>
        <v>0</v>
      </c>
      <c r="J11467">
        <f t="shared" si="7"/>
        <v>0</v>
      </c>
    </row>
    <row r="11468" spans="6:10">
      <c r="F11468">
        <f t="shared" si="4"/>
        <v>0</v>
      </c>
      <c r="G11468">
        <f>COUNTIF($D$2:D11468,D11468)</f>
        <v>0</v>
      </c>
      <c r="H11468" t="str">
        <f t="shared" si="5"/>
        <v xml:space="preserve"> - 0</v>
      </c>
      <c r="I11468">
        <f t="shared" si="6"/>
        <v>0</v>
      </c>
      <c r="J11468">
        <f t="shared" si="7"/>
        <v>0</v>
      </c>
    </row>
    <row r="11469" spans="6:10">
      <c r="F11469">
        <f t="shared" si="4"/>
        <v>0</v>
      </c>
      <c r="G11469">
        <f>COUNTIF($D$2:D11469,D11469)</f>
        <v>0</v>
      </c>
      <c r="H11469" t="str">
        <f t="shared" si="5"/>
        <v xml:space="preserve"> - 0</v>
      </c>
      <c r="I11469">
        <f t="shared" si="6"/>
        <v>0</v>
      </c>
      <c r="J11469">
        <f t="shared" si="7"/>
        <v>0</v>
      </c>
    </row>
    <row r="11470" spans="6:10">
      <c r="F11470">
        <f t="shared" si="4"/>
        <v>0</v>
      </c>
      <c r="G11470">
        <f>COUNTIF($D$2:D11470,D11470)</f>
        <v>0</v>
      </c>
      <c r="H11470" t="str">
        <f t="shared" si="5"/>
        <v xml:space="preserve"> - 0</v>
      </c>
      <c r="I11470">
        <f t="shared" si="6"/>
        <v>0</v>
      </c>
      <c r="J11470">
        <f t="shared" si="7"/>
        <v>0</v>
      </c>
    </row>
    <row r="11471" spans="6:10">
      <c r="F11471">
        <f t="shared" si="4"/>
        <v>0</v>
      </c>
      <c r="G11471">
        <f>COUNTIF($D$2:D11471,D11471)</f>
        <v>0</v>
      </c>
      <c r="H11471" t="str">
        <f t="shared" si="5"/>
        <v xml:space="preserve"> - 0</v>
      </c>
      <c r="I11471">
        <f t="shared" si="6"/>
        <v>0</v>
      </c>
      <c r="J11471">
        <f t="shared" si="7"/>
        <v>0</v>
      </c>
    </row>
    <row r="11472" spans="6:10">
      <c r="F11472">
        <f t="shared" si="4"/>
        <v>0</v>
      </c>
      <c r="G11472">
        <f>COUNTIF($D$2:D11472,D11472)</f>
        <v>0</v>
      </c>
      <c r="H11472" t="str">
        <f t="shared" si="5"/>
        <v xml:space="preserve"> - 0</v>
      </c>
      <c r="I11472">
        <f t="shared" si="6"/>
        <v>0</v>
      </c>
      <c r="J11472">
        <f t="shared" si="7"/>
        <v>0</v>
      </c>
    </row>
    <row r="11473" spans="6:10">
      <c r="F11473">
        <f t="shared" si="4"/>
        <v>0</v>
      </c>
      <c r="G11473">
        <f>COUNTIF($D$2:D11473,D11473)</f>
        <v>0</v>
      </c>
      <c r="H11473" t="str">
        <f t="shared" si="5"/>
        <v xml:space="preserve"> - 0</v>
      </c>
      <c r="I11473">
        <f t="shared" si="6"/>
        <v>0</v>
      </c>
      <c r="J11473">
        <f t="shared" si="7"/>
        <v>0</v>
      </c>
    </row>
    <row r="11474" spans="6:10">
      <c r="F11474">
        <f t="shared" si="4"/>
        <v>0</v>
      </c>
      <c r="G11474">
        <f>COUNTIF($D$2:D11474,D11474)</f>
        <v>0</v>
      </c>
      <c r="H11474" t="str">
        <f t="shared" si="5"/>
        <v xml:space="preserve"> - 0</v>
      </c>
      <c r="I11474">
        <f t="shared" si="6"/>
        <v>0</v>
      </c>
      <c r="J11474">
        <f t="shared" si="7"/>
        <v>0</v>
      </c>
    </row>
    <row r="11475" spans="6:10">
      <c r="F11475">
        <f t="shared" si="4"/>
        <v>0</v>
      </c>
      <c r="G11475">
        <f>COUNTIF($D$2:D11475,D11475)</f>
        <v>0</v>
      </c>
      <c r="H11475" t="str">
        <f t="shared" si="5"/>
        <v xml:space="preserve"> - 0</v>
      </c>
      <c r="I11475">
        <f t="shared" si="6"/>
        <v>0</v>
      </c>
      <c r="J11475">
        <f t="shared" si="7"/>
        <v>0</v>
      </c>
    </row>
    <row r="11476" spans="6:10">
      <c r="F11476">
        <f t="shared" si="4"/>
        <v>0</v>
      </c>
      <c r="G11476">
        <f>COUNTIF($D$2:D11476,D11476)</f>
        <v>0</v>
      </c>
      <c r="H11476" t="str">
        <f t="shared" si="5"/>
        <v xml:space="preserve"> - 0</v>
      </c>
      <c r="I11476">
        <f t="shared" si="6"/>
        <v>0</v>
      </c>
      <c r="J11476">
        <f t="shared" si="7"/>
        <v>0</v>
      </c>
    </row>
    <row r="11477" spans="6:10">
      <c r="F11477">
        <f t="shared" si="4"/>
        <v>0</v>
      </c>
      <c r="G11477">
        <f>COUNTIF($D$2:D11477,D11477)</f>
        <v>0</v>
      </c>
      <c r="H11477" t="str">
        <f t="shared" si="5"/>
        <v xml:space="preserve"> - 0</v>
      </c>
      <c r="I11477">
        <f t="shared" si="6"/>
        <v>0</v>
      </c>
      <c r="J11477">
        <f t="shared" si="7"/>
        <v>0</v>
      </c>
    </row>
    <row r="11478" spans="6:10">
      <c r="F11478">
        <f t="shared" si="4"/>
        <v>0</v>
      </c>
      <c r="G11478">
        <f>COUNTIF($D$2:D11478,D11478)</f>
        <v>0</v>
      </c>
      <c r="H11478" t="str">
        <f t="shared" si="5"/>
        <v xml:space="preserve"> - 0</v>
      </c>
      <c r="I11478">
        <f t="shared" si="6"/>
        <v>0</v>
      </c>
      <c r="J11478">
        <f t="shared" si="7"/>
        <v>0</v>
      </c>
    </row>
    <row r="11479" spans="6:10">
      <c r="F11479">
        <f t="shared" si="4"/>
        <v>0</v>
      </c>
      <c r="G11479">
        <f>COUNTIF($D$2:D11479,D11479)</f>
        <v>0</v>
      </c>
      <c r="H11479" t="str">
        <f t="shared" si="5"/>
        <v xml:space="preserve"> - 0</v>
      </c>
      <c r="I11479">
        <f t="shared" si="6"/>
        <v>0</v>
      </c>
      <c r="J11479">
        <f t="shared" si="7"/>
        <v>0</v>
      </c>
    </row>
    <row r="11480" spans="6:10">
      <c r="F11480">
        <f t="shared" si="4"/>
        <v>0</v>
      </c>
      <c r="G11480">
        <f>COUNTIF($D$2:D11480,D11480)</f>
        <v>0</v>
      </c>
      <c r="H11480" t="str">
        <f t="shared" si="5"/>
        <v xml:space="preserve"> - 0</v>
      </c>
      <c r="I11480">
        <f t="shared" si="6"/>
        <v>0</v>
      </c>
      <c r="J11480">
        <f t="shared" si="7"/>
        <v>0</v>
      </c>
    </row>
    <row r="11481" spans="6:10">
      <c r="F11481">
        <f t="shared" si="4"/>
        <v>0</v>
      </c>
      <c r="G11481">
        <f>COUNTIF($D$2:D11481,D11481)</f>
        <v>0</v>
      </c>
      <c r="H11481" t="str">
        <f t="shared" si="5"/>
        <v xml:space="preserve"> - 0</v>
      </c>
      <c r="I11481">
        <f t="shared" si="6"/>
        <v>0</v>
      </c>
      <c r="J11481">
        <f t="shared" si="7"/>
        <v>0</v>
      </c>
    </row>
    <row r="11482" spans="6:10">
      <c r="F11482">
        <f t="shared" si="4"/>
        <v>0</v>
      </c>
      <c r="G11482">
        <f>COUNTIF($D$2:D11482,D11482)</f>
        <v>0</v>
      </c>
      <c r="H11482" t="str">
        <f t="shared" si="5"/>
        <v xml:space="preserve"> - 0</v>
      </c>
      <c r="I11482">
        <f t="shared" si="6"/>
        <v>0</v>
      </c>
      <c r="J11482">
        <f t="shared" si="7"/>
        <v>0</v>
      </c>
    </row>
    <row r="11483" spans="6:10">
      <c r="F11483">
        <f t="shared" si="4"/>
        <v>0</v>
      </c>
      <c r="G11483">
        <f>COUNTIF($D$2:D11483,D11483)</f>
        <v>0</v>
      </c>
      <c r="H11483" t="str">
        <f t="shared" si="5"/>
        <v xml:space="preserve"> - 0</v>
      </c>
      <c r="I11483">
        <f t="shared" si="6"/>
        <v>0</v>
      </c>
      <c r="J11483">
        <f t="shared" si="7"/>
        <v>0</v>
      </c>
    </row>
    <row r="11484" spans="6:10">
      <c r="F11484">
        <f t="shared" si="4"/>
        <v>0</v>
      </c>
      <c r="G11484">
        <f>COUNTIF($D$2:D11484,D11484)</f>
        <v>0</v>
      </c>
      <c r="H11484" t="str">
        <f t="shared" si="5"/>
        <v xml:space="preserve"> - 0</v>
      </c>
      <c r="I11484">
        <f t="shared" si="6"/>
        <v>0</v>
      </c>
      <c r="J11484">
        <f t="shared" si="7"/>
        <v>0</v>
      </c>
    </row>
    <row r="11485" spans="6:10">
      <c r="F11485">
        <f t="shared" si="4"/>
        <v>0</v>
      </c>
      <c r="G11485">
        <f>COUNTIF($D$2:D11485,D11485)</f>
        <v>0</v>
      </c>
      <c r="H11485" t="str">
        <f t="shared" si="5"/>
        <v xml:space="preserve"> - 0</v>
      </c>
      <c r="I11485">
        <f t="shared" si="6"/>
        <v>0</v>
      </c>
      <c r="J11485">
        <f t="shared" si="7"/>
        <v>0</v>
      </c>
    </row>
    <row r="11486" spans="6:10">
      <c r="F11486">
        <f t="shared" si="4"/>
        <v>0</v>
      </c>
      <c r="G11486">
        <f>COUNTIF($D$2:D11486,D11486)</f>
        <v>0</v>
      </c>
      <c r="H11486" t="str">
        <f t="shared" si="5"/>
        <v xml:space="preserve"> - 0</v>
      </c>
      <c r="I11486">
        <f t="shared" si="6"/>
        <v>0</v>
      </c>
      <c r="J11486">
        <f t="shared" si="7"/>
        <v>0</v>
      </c>
    </row>
    <row r="11487" spans="6:10">
      <c r="F11487">
        <f t="shared" si="4"/>
        <v>0</v>
      </c>
      <c r="G11487">
        <f>COUNTIF($D$2:D11487,D11487)</f>
        <v>0</v>
      </c>
      <c r="H11487" t="str">
        <f t="shared" si="5"/>
        <v xml:space="preserve"> - 0</v>
      </c>
      <c r="I11487">
        <f t="shared" si="6"/>
        <v>0</v>
      </c>
      <c r="J11487">
        <f t="shared" si="7"/>
        <v>0</v>
      </c>
    </row>
    <row r="11488" spans="6:10">
      <c r="F11488">
        <f t="shared" si="4"/>
        <v>0</v>
      </c>
      <c r="G11488">
        <f>COUNTIF($D$2:D11488,D11488)</f>
        <v>0</v>
      </c>
      <c r="H11488" t="str">
        <f t="shared" si="5"/>
        <v xml:space="preserve"> - 0</v>
      </c>
      <c r="I11488">
        <f t="shared" si="6"/>
        <v>0</v>
      </c>
      <c r="J11488">
        <f t="shared" si="7"/>
        <v>0</v>
      </c>
    </row>
    <row r="11489" spans="6:10">
      <c r="F11489">
        <f t="shared" si="4"/>
        <v>0</v>
      </c>
      <c r="G11489">
        <f>COUNTIF($D$2:D11489,D11489)</f>
        <v>0</v>
      </c>
      <c r="H11489" t="str">
        <f t="shared" si="5"/>
        <v xml:space="preserve"> - 0</v>
      </c>
      <c r="I11489">
        <f t="shared" si="6"/>
        <v>0</v>
      </c>
      <c r="J11489">
        <f t="shared" si="7"/>
        <v>0</v>
      </c>
    </row>
    <row r="11490" spans="6:10">
      <c r="F11490">
        <f t="shared" si="4"/>
        <v>0</v>
      </c>
      <c r="G11490">
        <f>COUNTIF($D$2:D11490,D11490)</f>
        <v>0</v>
      </c>
      <c r="H11490" t="str">
        <f t="shared" si="5"/>
        <v xml:space="preserve"> - 0</v>
      </c>
      <c r="I11490">
        <f t="shared" si="6"/>
        <v>0</v>
      </c>
      <c r="J11490">
        <f t="shared" si="7"/>
        <v>0</v>
      </c>
    </row>
    <row r="11491" spans="6:10">
      <c r="F11491">
        <f t="shared" si="4"/>
        <v>0</v>
      </c>
      <c r="G11491">
        <f>COUNTIF($D$2:D11491,D11491)</f>
        <v>0</v>
      </c>
      <c r="H11491" t="str">
        <f t="shared" si="5"/>
        <v xml:space="preserve"> - 0</v>
      </c>
      <c r="I11491">
        <f t="shared" si="6"/>
        <v>0</v>
      </c>
      <c r="J11491">
        <f t="shared" si="7"/>
        <v>0</v>
      </c>
    </row>
    <row r="11492" spans="6:10">
      <c r="F11492">
        <f t="shared" si="4"/>
        <v>0</v>
      </c>
      <c r="G11492">
        <f>COUNTIF($D$2:D11492,D11492)</f>
        <v>0</v>
      </c>
      <c r="H11492" t="str">
        <f t="shared" si="5"/>
        <v xml:space="preserve"> - 0</v>
      </c>
      <c r="I11492">
        <f t="shared" si="6"/>
        <v>0</v>
      </c>
      <c r="J11492">
        <f t="shared" si="7"/>
        <v>0</v>
      </c>
    </row>
    <row r="11493" spans="6:10">
      <c r="F11493">
        <f t="shared" si="4"/>
        <v>0</v>
      </c>
      <c r="G11493">
        <f>COUNTIF($D$2:D11493,D11493)</f>
        <v>0</v>
      </c>
      <c r="H11493" t="str">
        <f t="shared" si="5"/>
        <v xml:space="preserve"> - 0</v>
      </c>
      <c r="I11493">
        <f t="shared" si="6"/>
        <v>0</v>
      </c>
      <c r="J11493">
        <f t="shared" si="7"/>
        <v>0</v>
      </c>
    </row>
    <row r="11494" spans="6:10">
      <c r="F11494">
        <f t="shared" si="4"/>
        <v>0</v>
      </c>
      <c r="G11494">
        <f>COUNTIF($D$2:D11494,D11494)</f>
        <v>0</v>
      </c>
      <c r="H11494" t="str">
        <f t="shared" si="5"/>
        <v xml:space="preserve"> - 0</v>
      </c>
      <c r="I11494">
        <f t="shared" si="6"/>
        <v>0</v>
      </c>
      <c r="J11494">
        <f t="shared" si="7"/>
        <v>0</v>
      </c>
    </row>
    <row r="11495" spans="6:10">
      <c r="F11495">
        <f t="shared" si="4"/>
        <v>0</v>
      </c>
      <c r="G11495">
        <f>COUNTIF($D$2:D11495,D11495)</f>
        <v>0</v>
      </c>
      <c r="H11495" t="str">
        <f t="shared" si="5"/>
        <v xml:space="preserve"> - 0</v>
      </c>
      <c r="I11495">
        <f t="shared" si="6"/>
        <v>0</v>
      </c>
      <c r="J11495">
        <f t="shared" si="7"/>
        <v>0</v>
      </c>
    </row>
    <row r="11496" spans="6:10">
      <c r="F11496">
        <f t="shared" si="4"/>
        <v>0</v>
      </c>
      <c r="G11496">
        <f>COUNTIF($D$2:D11496,D11496)</f>
        <v>0</v>
      </c>
      <c r="H11496" t="str">
        <f t="shared" si="5"/>
        <v xml:space="preserve"> - 0</v>
      </c>
      <c r="I11496">
        <f t="shared" si="6"/>
        <v>0</v>
      </c>
      <c r="J11496">
        <f t="shared" si="7"/>
        <v>0</v>
      </c>
    </row>
    <row r="11497" spans="6:10">
      <c r="F11497">
        <f t="shared" ref="F11497:F11560" si="8">COUNTIF($D$2:$D$35910,D11497)</f>
        <v>0</v>
      </c>
      <c r="G11497">
        <f>COUNTIF($D$2:D11497,D11497)</f>
        <v>0</v>
      </c>
      <c r="H11497" t="str">
        <f t="shared" ref="H11497:H11560" si="9">D11497&amp;" - "&amp;G11497&amp;AH11497</f>
        <v xml:space="preserve"> - 0</v>
      </c>
      <c r="I11497">
        <f t="shared" ref="I11497:I11560" si="10">A11497</f>
        <v>0</v>
      </c>
      <c r="J11497">
        <f t="shared" ref="J11497:J11560" si="11">B11497</f>
        <v>0</v>
      </c>
    </row>
    <row r="11498" spans="6:10">
      <c r="F11498">
        <f t="shared" si="8"/>
        <v>0</v>
      </c>
      <c r="G11498">
        <f>COUNTIF($D$2:D11498,D11498)</f>
        <v>0</v>
      </c>
      <c r="H11498" t="str">
        <f t="shared" si="9"/>
        <v xml:space="preserve"> - 0</v>
      </c>
      <c r="I11498">
        <f t="shared" si="10"/>
        <v>0</v>
      </c>
      <c r="J11498">
        <f t="shared" si="11"/>
        <v>0</v>
      </c>
    </row>
    <row r="11499" spans="6:10">
      <c r="F11499">
        <f t="shared" si="8"/>
        <v>0</v>
      </c>
      <c r="G11499">
        <f>COUNTIF($D$2:D11499,D11499)</f>
        <v>0</v>
      </c>
      <c r="H11499" t="str">
        <f t="shared" si="9"/>
        <v xml:space="preserve"> - 0</v>
      </c>
      <c r="I11499">
        <f t="shared" si="10"/>
        <v>0</v>
      </c>
      <c r="J11499">
        <f t="shared" si="11"/>
        <v>0</v>
      </c>
    </row>
    <row r="11500" spans="6:10">
      <c r="F11500">
        <f t="shared" si="8"/>
        <v>0</v>
      </c>
      <c r="G11500">
        <f>COUNTIF($D$2:D11500,D11500)</f>
        <v>0</v>
      </c>
      <c r="H11500" t="str">
        <f t="shared" si="9"/>
        <v xml:space="preserve"> - 0</v>
      </c>
      <c r="I11500">
        <f t="shared" si="10"/>
        <v>0</v>
      </c>
      <c r="J11500">
        <f t="shared" si="11"/>
        <v>0</v>
      </c>
    </row>
    <row r="11501" spans="6:10">
      <c r="F11501">
        <f t="shared" si="8"/>
        <v>0</v>
      </c>
      <c r="G11501">
        <f>COUNTIF($D$2:D11501,D11501)</f>
        <v>0</v>
      </c>
      <c r="H11501" t="str">
        <f t="shared" si="9"/>
        <v xml:space="preserve"> - 0</v>
      </c>
      <c r="I11501">
        <f t="shared" si="10"/>
        <v>0</v>
      </c>
      <c r="J11501">
        <f t="shared" si="11"/>
        <v>0</v>
      </c>
    </row>
    <row r="11502" spans="6:10">
      <c r="F11502">
        <f t="shared" si="8"/>
        <v>0</v>
      </c>
      <c r="G11502">
        <f>COUNTIF($D$2:D11502,D11502)</f>
        <v>0</v>
      </c>
      <c r="H11502" t="str">
        <f t="shared" si="9"/>
        <v xml:space="preserve"> - 0</v>
      </c>
      <c r="I11502">
        <f t="shared" si="10"/>
        <v>0</v>
      </c>
      <c r="J11502">
        <f t="shared" si="11"/>
        <v>0</v>
      </c>
    </row>
    <row r="11503" spans="6:10">
      <c r="F11503">
        <f t="shared" si="8"/>
        <v>0</v>
      </c>
      <c r="G11503">
        <f>COUNTIF($D$2:D11503,D11503)</f>
        <v>0</v>
      </c>
      <c r="H11503" t="str">
        <f t="shared" si="9"/>
        <v xml:space="preserve"> - 0</v>
      </c>
      <c r="I11503">
        <f t="shared" si="10"/>
        <v>0</v>
      </c>
      <c r="J11503">
        <f t="shared" si="11"/>
        <v>0</v>
      </c>
    </row>
    <row r="11504" spans="6:10">
      <c r="F11504">
        <f t="shared" si="8"/>
        <v>0</v>
      </c>
      <c r="G11504">
        <f>COUNTIF($D$2:D11504,D11504)</f>
        <v>0</v>
      </c>
      <c r="H11504" t="str">
        <f t="shared" si="9"/>
        <v xml:space="preserve"> - 0</v>
      </c>
      <c r="I11504">
        <f t="shared" si="10"/>
        <v>0</v>
      </c>
      <c r="J11504">
        <f t="shared" si="11"/>
        <v>0</v>
      </c>
    </row>
    <row r="11505" spans="6:10">
      <c r="F11505">
        <f t="shared" si="8"/>
        <v>0</v>
      </c>
      <c r="G11505">
        <f>COUNTIF($D$2:D11505,D11505)</f>
        <v>0</v>
      </c>
      <c r="H11505" t="str">
        <f t="shared" si="9"/>
        <v xml:space="preserve"> - 0</v>
      </c>
      <c r="I11505">
        <f t="shared" si="10"/>
        <v>0</v>
      </c>
      <c r="J11505">
        <f t="shared" si="11"/>
        <v>0</v>
      </c>
    </row>
    <row r="11506" spans="6:10">
      <c r="F11506">
        <f t="shared" si="8"/>
        <v>0</v>
      </c>
      <c r="G11506">
        <f>COUNTIF($D$2:D11506,D11506)</f>
        <v>0</v>
      </c>
      <c r="H11506" t="str">
        <f t="shared" si="9"/>
        <v xml:space="preserve"> - 0</v>
      </c>
      <c r="I11506">
        <f t="shared" si="10"/>
        <v>0</v>
      </c>
      <c r="J11506">
        <f t="shared" si="11"/>
        <v>0</v>
      </c>
    </row>
    <row r="11507" spans="6:10">
      <c r="F11507">
        <f t="shared" si="8"/>
        <v>0</v>
      </c>
      <c r="G11507">
        <f>COUNTIF($D$2:D11507,D11507)</f>
        <v>0</v>
      </c>
      <c r="H11507" t="str">
        <f t="shared" si="9"/>
        <v xml:space="preserve"> - 0</v>
      </c>
      <c r="I11507">
        <f t="shared" si="10"/>
        <v>0</v>
      </c>
      <c r="J11507">
        <f t="shared" si="11"/>
        <v>0</v>
      </c>
    </row>
    <row r="11508" spans="6:10">
      <c r="F11508">
        <f t="shared" si="8"/>
        <v>0</v>
      </c>
      <c r="G11508">
        <f>COUNTIF($D$2:D11508,D11508)</f>
        <v>0</v>
      </c>
      <c r="H11508" t="str">
        <f t="shared" si="9"/>
        <v xml:space="preserve"> - 0</v>
      </c>
      <c r="I11508">
        <f t="shared" si="10"/>
        <v>0</v>
      </c>
      <c r="J11508">
        <f t="shared" si="11"/>
        <v>0</v>
      </c>
    </row>
    <row r="11509" spans="6:10">
      <c r="F11509">
        <f t="shared" si="8"/>
        <v>0</v>
      </c>
      <c r="G11509">
        <f>COUNTIF($D$2:D11509,D11509)</f>
        <v>0</v>
      </c>
      <c r="H11509" t="str">
        <f t="shared" si="9"/>
        <v xml:space="preserve"> - 0</v>
      </c>
      <c r="I11509">
        <f t="shared" si="10"/>
        <v>0</v>
      </c>
      <c r="J11509">
        <f t="shared" si="11"/>
        <v>0</v>
      </c>
    </row>
    <row r="11510" spans="6:10">
      <c r="F11510">
        <f t="shared" si="8"/>
        <v>0</v>
      </c>
      <c r="G11510">
        <f>COUNTIF($D$2:D11510,D11510)</f>
        <v>0</v>
      </c>
      <c r="H11510" t="str">
        <f t="shared" si="9"/>
        <v xml:space="preserve"> - 0</v>
      </c>
      <c r="I11510">
        <f t="shared" si="10"/>
        <v>0</v>
      </c>
      <c r="J11510">
        <f t="shared" si="11"/>
        <v>0</v>
      </c>
    </row>
    <row r="11511" spans="6:10">
      <c r="F11511">
        <f t="shared" si="8"/>
        <v>0</v>
      </c>
      <c r="G11511">
        <f>COUNTIF($D$2:D11511,D11511)</f>
        <v>0</v>
      </c>
      <c r="H11511" t="str">
        <f t="shared" si="9"/>
        <v xml:space="preserve"> - 0</v>
      </c>
      <c r="I11511">
        <f t="shared" si="10"/>
        <v>0</v>
      </c>
      <c r="J11511">
        <f t="shared" si="11"/>
        <v>0</v>
      </c>
    </row>
    <row r="11512" spans="6:10">
      <c r="F11512">
        <f t="shared" si="8"/>
        <v>0</v>
      </c>
      <c r="G11512">
        <f>COUNTIF($D$2:D11512,D11512)</f>
        <v>0</v>
      </c>
      <c r="H11512" t="str">
        <f t="shared" si="9"/>
        <v xml:space="preserve"> - 0</v>
      </c>
      <c r="I11512">
        <f t="shared" si="10"/>
        <v>0</v>
      </c>
      <c r="J11512">
        <f t="shared" si="11"/>
        <v>0</v>
      </c>
    </row>
    <row r="11513" spans="6:10">
      <c r="F11513">
        <f t="shared" si="8"/>
        <v>0</v>
      </c>
      <c r="G11513">
        <f>COUNTIF($D$2:D11513,D11513)</f>
        <v>0</v>
      </c>
      <c r="H11513" t="str">
        <f t="shared" si="9"/>
        <v xml:space="preserve"> - 0</v>
      </c>
      <c r="I11513">
        <f t="shared" si="10"/>
        <v>0</v>
      </c>
      <c r="J11513">
        <f t="shared" si="11"/>
        <v>0</v>
      </c>
    </row>
    <row r="11514" spans="6:10">
      <c r="F11514">
        <f t="shared" si="8"/>
        <v>0</v>
      </c>
      <c r="G11514">
        <f>COUNTIF($D$2:D11514,D11514)</f>
        <v>0</v>
      </c>
      <c r="H11514" t="str">
        <f t="shared" si="9"/>
        <v xml:space="preserve"> - 0</v>
      </c>
      <c r="I11514">
        <f t="shared" si="10"/>
        <v>0</v>
      </c>
      <c r="J11514">
        <f t="shared" si="11"/>
        <v>0</v>
      </c>
    </row>
    <row r="11515" spans="6:10">
      <c r="F11515">
        <f t="shared" si="8"/>
        <v>0</v>
      </c>
      <c r="G11515">
        <f>COUNTIF($D$2:D11515,D11515)</f>
        <v>0</v>
      </c>
      <c r="H11515" t="str">
        <f t="shared" si="9"/>
        <v xml:space="preserve"> - 0</v>
      </c>
      <c r="I11515">
        <f t="shared" si="10"/>
        <v>0</v>
      </c>
      <c r="J11515">
        <f t="shared" si="11"/>
        <v>0</v>
      </c>
    </row>
    <row r="11516" spans="6:10">
      <c r="F11516">
        <f t="shared" si="8"/>
        <v>0</v>
      </c>
      <c r="G11516">
        <f>COUNTIF($D$2:D11516,D11516)</f>
        <v>0</v>
      </c>
      <c r="H11516" t="str">
        <f t="shared" si="9"/>
        <v xml:space="preserve"> - 0</v>
      </c>
      <c r="I11516">
        <f t="shared" si="10"/>
        <v>0</v>
      </c>
      <c r="J11516">
        <f t="shared" si="11"/>
        <v>0</v>
      </c>
    </row>
    <row r="11517" spans="6:10">
      <c r="F11517">
        <f t="shared" si="8"/>
        <v>0</v>
      </c>
      <c r="G11517">
        <f>COUNTIF($D$2:D11517,D11517)</f>
        <v>0</v>
      </c>
      <c r="H11517" t="str">
        <f t="shared" si="9"/>
        <v xml:space="preserve"> - 0</v>
      </c>
      <c r="I11517">
        <f t="shared" si="10"/>
        <v>0</v>
      </c>
      <c r="J11517">
        <f t="shared" si="11"/>
        <v>0</v>
      </c>
    </row>
    <row r="11518" spans="6:10">
      <c r="F11518">
        <f t="shared" si="8"/>
        <v>0</v>
      </c>
      <c r="G11518">
        <f>COUNTIF($D$2:D11518,D11518)</f>
        <v>0</v>
      </c>
      <c r="H11518" t="str">
        <f t="shared" si="9"/>
        <v xml:space="preserve"> - 0</v>
      </c>
      <c r="I11518">
        <f t="shared" si="10"/>
        <v>0</v>
      </c>
      <c r="J11518">
        <f t="shared" si="11"/>
        <v>0</v>
      </c>
    </row>
    <row r="11519" spans="6:10">
      <c r="F11519">
        <f t="shared" si="8"/>
        <v>0</v>
      </c>
      <c r="G11519">
        <f>COUNTIF($D$2:D11519,D11519)</f>
        <v>0</v>
      </c>
      <c r="H11519" t="str">
        <f t="shared" si="9"/>
        <v xml:space="preserve"> - 0</v>
      </c>
      <c r="I11519">
        <f t="shared" si="10"/>
        <v>0</v>
      </c>
      <c r="J11519">
        <f t="shared" si="11"/>
        <v>0</v>
      </c>
    </row>
    <row r="11520" spans="6:10">
      <c r="F11520">
        <f t="shared" si="8"/>
        <v>0</v>
      </c>
      <c r="G11520">
        <f>COUNTIF($D$2:D11520,D11520)</f>
        <v>0</v>
      </c>
      <c r="H11520" t="str">
        <f t="shared" si="9"/>
        <v xml:space="preserve"> - 0</v>
      </c>
      <c r="I11520">
        <f t="shared" si="10"/>
        <v>0</v>
      </c>
      <c r="J11520">
        <f t="shared" si="11"/>
        <v>0</v>
      </c>
    </row>
    <row r="11521" spans="6:10">
      <c r="F11521">
        <f t="shared" si="8"/>
        <v>0</v>
      </c>
      <c r="G11521">
        <f>COUNTIF($D$2:D11521,D11521)</f>
        <v>0</v>
      </c>
      <c r="H11521" t="str">
        <f t="shared" si="9"/>
        <v xml:space="preserve"> - 0</v>
      </c>
      <c r="I11521">
        <f t="shared" si="10"/>
        <v>0</v>
      </c>
      <c r="J11521">
        <f t="shared" si="11"/>
        <v>0</v>
      </c>
    </row>
    <row r="11522" spans="6:10">
      <c r="F11522">
        <f t="shared" si="8"/>
        <v>0</v>
      </c>
      <c r="G11522">
        <f>COUNTIF($D$2:D11522,D11522)</f>
        <v>0</v>
      </c>
      <c r="H11522" t="str">
        <f t="shared" si="9"/>
        <v xml:space="preserve"> - 0</v>
      </c>
      <c r="I11522">
        <f t="shared" si="10"/>
        <v>0</v>
      </c>
      <c r="J11522">
        <f t="shared" si="11"/>
        <v>0</v>
      </c>
    </row>
    <row r="11523" spans="6:10">
      <c r="F11523">
        <f t="shared" si="8"/>
        <v>0</v>
      </c>
      <c r="G11523">
        <f>COUNTIF($D$2:D11523,D11523)</f>
        <v>0</v>
      </c>
      <c r="H11523" t="str">
        <f t="shared" si="9"/>
        <v xml:space="preserve"> - 0</v>
      </c>
      <c r="I11523">
        <f t="shared" si="10"/>
        <v>0</v>
      </c>
      <c r="J11523">
        <f t="shared" si="11"/>
        <v>0</v>
      </c>
    </row>
    <row r="11524" spans="6:10">
      <c r="F11524">
        <f t="shared" si="8"/>
        <v>0</v>
      </c>
      <c r="G11524">
        <f>COUNTIF($D$2:D11524,D11524)</f>
        <v>0</v>
      </c>
      <c r="H11524" t="str">
        <f t="shared" si="9"/>
        <v xml:space="preserve"> - 0</v>
      </c>
      <c r="I11524">
        <f t="shared" si="10"/>
        <v>0</v>
      </c>
      <c r="J11524">
        <f t="shared" si="11"/>
        <v>0</v>
      </c>
    </row>
    <row r="11525" spans="6:10">
      <c r="F11525">
        <f t="shared" si="8"/>
        <v>0</v>
      </c>
      <c r="G11525">
        <f>COUNTIF($D$2:D11525,D11525)</f>
        <v>0</v>
      </c>
      <c r="H11525" t="str">
        <f t="shared" si="9"/>
        <v xml:space="preserve"> - 0</v>
      </c>
      <c r="I11525">
        <f t="shared" si="10"/>
        <v>0</v>
      </c>
      <c r="J11525">
        <f t="shared" si="11"/>
        <v>0</v>
      </c>
    </row>
    <row r="11526" spans="6:10">
      <c r="F11526">
        <f t="shared" si="8"/>
        <v>0</v>
      </c>
      <c r="G11526">
        <f>COUNTIF($D$2:D11526,D11526)</f>
        <v>0</v>
      </c>
      <c r="H11526" t="str">
        <f t="shared" si="9"/>
        <v xml:space="preserve"> - 0</v>
      </c>
      <c r="I11526">
        <f t="shared" si="10"/>
        <v>0</v>
      </c>
      <c r="J11526">
        <f t="shared" si="11"/>
        <v>0</v>
      </c>
    </row>
    <row r="11527" spans="6:10">
      <c r="F11527">
        <f t="shared" si="8"/>
        <v>0</v>
      </c>
      <c r="G11527">
        <f>COUNTIF($D$2:D11527,D11527)</f>
        <v>0</v>
      </c>
      <c r="H11527" t="str">
        <f t="shared" si="9"/>
        <v xml:space="preserve"> - 0</v>
      </c>
      <c r="I11527">
        <f t="shared" si="10"/>
        <v>0</v>
      </c>
      <c r="J11527">
        <f t="shared" si="11"/>
        <v>0</v>
      </c>
    </row>
    <row r="11528" spans="6:10">
      <c r="F11528">
        <f t="shared" si="8"/>
        <v>0</v>
      </c>
      <c r="G11528">
        <f>COUNTIF($D$2:D11528,D11528)</f>
        <v>0</v>
      </c>
      <c r="H11528" t="str">
        <f t="shared" si="9"/>
        <v xml:space="preserve"> - 0</v>
      </c>
      <c r="I11528">
        <f t="shared" si="10"/>
        <v>0</v>
      </c>
      <c r="J11528">
        <f t="shared" si="11"/>
        <v>0</v>
      </c>
    </row>
    <row r="11529" spans="6:10">
      <c r="F11529">
        <f t="shared" si="8"/>
        <v>0</v>
      </c>
      <c r="G11529">
        <f>COUNTIF($D$2:D11529,D11529)</f>
        <v>0</v>
      </c>
      <c r="H11529" t="str">
        <f t="shared" si="9"/>
        <v xml:space="preserve"> - 0</v>
      </c>
      <c r="I11529">
        <f t="shared" si="10"/>
        <v>0</v>
      </c>
      <c r="J11529">
        <f t="shared" si="11"/>
        <v>0</v>
      </c>
    </row>
    <row r="11530" spans="6:10">
      <c r="F11530">
        <f t="shared" si="8"/>
        <v>0</v>
      </c>
      <c r="G11530">
        <f>COUNTIF($D$2:D11530,D11530)</f>
        <v>0</v>
      </c>
      <c r="H11530" t="str">
        <f t="shared" si="9"/>
        <v xml:space="preserve"> - 0</v>
      </c>
      <c r="I11530">
        <f t="shared" si="10"/>
        <v>0</v>
      </c>
      <c r="J11530">
        <f t="shared" si="11"/>
        <v>0</v>
      </c>
    </row>
    <row r="11531" spans="6:10">
      <c r="F11531">
        <f t="shared" si="8"/>
        <v>0</v>
      </c>
      <c r="G11531">
        <f>COUNTIF($D$2:D11531,D11531)</f>
        <v>0</v>
      </c>
      <c r="H11531" t="str">
        <f t="shared" si="9"/>
        <v xml:space="preserve"> - 0</v>
      </c>
      <c r="I11531">
        <f t="shared" si="10"/>
        <v>0</v>
      </c>
      <c r="J11531">
        <f t="shared" si="11"/>
        <v>0</v>
      </c>
    </row>
    <row r="11532" spans="6:10">
      <c r="F11532">
        <f t="shared" si="8"/>
        <v>0</v>
      </c>
      <c r="G11532">
        <f>COUNTIF($D$2:D11532,D11532)</f>
        <v>0</v>
      </c>
      <c r="H11532" t="str">
        <f t="shared" si="9"/>
        <v xml:space="preserve"> - 0</v>
      </c>
      <c r="I11532">
        <f t="shared" si="10"/>
        <v>0</v>
      </c>
      <c r="J11532">
        <f t="shared" si="11"/>
        <v>0</v>
      </c>
    </row>
    <row r="11533" spans="6:10">
      <c r="F11533">
        <f t="shared" si="8"/>
        <v>0</v>
      </c>
      <c r="G11533">
        <f>COUNTIF($D$2:D11533,D11533)</f>
        <v>0</v>
      </c>
      <c r="H11533" t="str">
        <f t="shared" si="9"/>
        <v xml:space="preserve"> - 0</v>
      </c>
      <c r="I11533">
        <f t="shared" si="10"/>
        <v>0</v>
      </c>
      <c r="J11533">
        <f t="shared" si="11"/>
        <v>0</v>
      </c>
    </row>
    <row r="11534" spans="6:10">
      <c r="F11534">
        <f t="shared" si="8"/>
        <v>0</v>
      </c>
      <c r="G11534">
        <f>COUNTIF($D$2:D11534,D11534)</f>
        <v>0</v>
      </c>
      <c r="H11534" t="str">
        <f t="shared" si="9"/>
        <v xml:space="preserve"> - 0</v>
      </c>
      <c r="I11534">
        <f t="shared" si="10"/>
        <v>0</v>
      </c>
      <c r="J11534">
        <f t="shared" si="11"/>
        <v>0</v>
      </c>
    </row>
    <row r="11535" spans="6:10">
      <c r="F11535">
        <f t="shared" si="8"/>
        <v>0</v>
      </c>
      <c r="G11535">
        <f>COUNTIF($D$2:D11535,D11535)</f>
        <v>0</v>
      </c>
      <c r="H11535" t="str">
        <f t="shared" si="9"/>
        <v xml:space="preserve"> - 0</v>
      </c>
      <c r="I11535">
        <f t="shared" si="10"/>
        <v>0</v>
      </c>
      <c r="J11535">
        <f t="shared" si="11"/>
        <v>0</v>
      </c>
    </row>
    <row r="11536" spans="6:10">
      <c r="F11536">
        <f t="shared" si="8"/>
        <v>0</v>
      </c>
      <c r="G11536">
        <f>COUNTIF($D$2:D11536,D11536)</f>
        <v>0</v>
      </c>
      <c r="H11536" t="str">
        <f t="shared" si="9"/>
        <v xml:space="preserve"> - 0</v>
      </c>
      <c r="I11536">
        <f t="shared" si="10"/>
        <v>0</v>
      </c>
      <c r="J11536">
        <f t="shared" si="11"/>
        <v>0</v>
      </c>
    </row>
    <row r="11537" spans="6:10">
      <c r="F11537">
        <f t="shared" si="8"/>
        <v>0</v>
      </c>
      <c r="G11537">
        <f>COUNTIF($D$2:D11537,D11537)</f>
        <v>0</v>
      </c>
      <c r="H11537" t="str">
        <f t="shared" si="9"/>
        <v xml:space="preserve"> - 0</v>
      </c>
      <c r="I11537">
        <f t="shared" si="10"/>
        <v>0</v>
      </c>
      <c r="J11537">
        <f t="shared" si="11"/>
        <v>0</v>
      </c>
    </row>
    <row r="11538" spans="6:10">
      <c r="F11538">
        <f t="shared" si="8"/>
        <v>0</v>
      </c>
      <c r="G11538">
        <f>COUNTIF($D$2:D11538,D11538)</f>
        <v>0</v>
      </c>
      <c r="H11538" t="str">
        <f t="shared" si="9"/>
        <v xml:space="preserve"> - 0</v>
      </c>
      <c r="I11538">
        <f t="shared" si="10"/>
        <v>0</v>
      </c>
      <c r="J11538">
        <f t="shared" si="11"/>
        <v>0</v>
      </c>
    </row>
    <row r="11539" spans="6:10">
      <c r="F11539">
        <f t="shared" si="8"/>
        <v>0</v>
      </c>
      <c r="G11539">
        <f>COUNTIF($D$2:D11539,D11539)</f>
        <v>0</v>
      </c>
      <c r="H11539" t="str">
        <f t="shared" si="9"/>
        <v xml:space="preserve"> - 0</v>
      </c>
      <c r="I11539">
        <f t="shared" si="10"/>
        <v>0</v>
      </c>
      <c r="J11539">
        <f t="shared" si="11"/>
        <v>0</v>
      </c>
    </row>
    <row r="11540" spans="6:10">
      <c r="F11540">
        <f t="shared" si="8"/>
        <v>0</v>
      </c>
      <c r="G11540">
        <f>COUNTIF($D$2:D11540,D11540)</f>
        <v>0</v>
      </c>
      <c r="H11540" t="str">
        <f t="shared" si="9"/>
        <v xml:space="preserve"> - 0</v>
      </c>
      <c r="I11540">
        <f t="shared" si="10"/>
        <v>0</v>
      </c>
      <c r="J11540">
        <f t="shared" si="11"/>
        <v>0</v>
      </c>
    </row>
    <row r="11541" spans="6:10">
      <c r="F11541">
        <f t="shared" si="8"/>
        <v>0</v>
      </c>
      <c r="G11541">
        <f>COUNTIF($D$2:D11541,D11541)</f>
        <v>0</v>
      </c>
      <c r="H11541" t="str">
        <f t="shared" si="9"/>
        <v xml:space="preserve"> - 0</v>
      </c>
      <c r="I11541">
        <f t="shared" si="10"/>
        <v>0</v>
      </c>
      <c r="J11541">
        <f t="shared" si="11"/>
        <v>0</v>
      </c>
    </row>
    <row r="11542" spans="6:10">
      <c r="F11542">
        <f t="shared" si="8"/>
        <v>0</v>
      </c>
      <c r="G11542">
        <f>COUNTIF($D$2:D11542,D11542)</f>
        <v>0</v>
      </c>
      <c r="H11542" t="str">
        <f t="shared" si="9"/>
        <v xml:space="preserve"> - 0</v>
      </c>
      <c r="I11542">
        <f t="shared" si="10"/>
        <v>0</v>
      </c>
      <c r="J11542">
        <f t="shared" si="11"/>
        <v>0</v>
      </c>
    </row>
    <row r="11543" spans="6:10">
      <c r="F11543">
        <f t="shared" si="8"/>
        <v>0</v>
      </c>
      <c r="G11543">
        <f>COUNTIF($D$2:D11543,D11543)</f>
        <v>0</v>
      </c>
      <c r="H11543" t="str">
        <f t="shared" si="9"/>
        <v xml:space="preserve"> - 0</v>
      </c>
      <c r="I11543">
        <f t="shared" si="10"/>
        <v>0</v>
      </c>
      <c r="J11543">
        <f t="shared" si="11"/>
        <v>0</v>
      </c>
    </row>
    <row r="11544" spans="6:10">
      <c r="F11544">
        <f t="shared" si="8"/>
        <v>0</v>
      </c>
      <c r="G11544">
        <f>COUNTIF($D$2:D11544,D11544)</f>
        <v>0</v>
      </c>
      <c r="H11544" t="str">
        <f t="shared" si="9"/>
        <v xml:space="preserve"> - 0</v>
      </c>
      <c r="I11544">
        <f t="shared" si="10"/>
        <v>0</v>
      </c>
      <c r="J11544">
        <f t="shared" si="11"/>
        <v>0</v>
      </c>
    </row>
    <row r="11545" spans="6:10">
      <c r="F11545">
        <f t="shared" si="8"/>
        <v>0</v>
      </c>
      <c r="G11545">
        <f>COUNTIF($D$2:D11545,D11545)</f>
        <v>0</v>
      </c>
      <c r="H11545" t="str">
        <f t="shared" si="9"/>
        <v xml:space="preserve"> - 0</v>
      </c>
      <c r="I11545">
        <f t="shared" si="10"/>
        <v>0</v>
      </c>
      <c r="J11545">
        <f t="shared" si="11"/>
        <v>0</v>
      </c>
    </row>
    <row r="11546" spans="6:10">
      <c r="F11546">
        <f t="shared" si="8"/>
        <v>0</v>
      </c>
      <c r="G11546">
        <f>COUNTIF($D$2:D11546,D11546)</f>
        <v>0</v>
      </c>
      <c r="H11546" t="str">
        <f t="shared" si="9"/>
        <v xml:space="preserve"> - 0</v>
      </c>
      <c r="I11546">
        <f t="shared" si="10"/>
        <v>0</v>
      </c>
      <c r="J11546">
        <f t="shared" si="11"/>
        <v>0</v>
      </c>
    </row>
    <row r="11547" spans="6:10">
      <c r="F11547">
        <f t="shared" si="8"/>
        <v>0</v>
      </c>
      <c r="G11547">
        <f>COUNTIF($D$2:D11547,D11547)</f>
        <v>0</v>
      </c>
      <c r="H11547" t="str">
        <f t="shared" si="9"/>
        <v xml:space="preserve"> - 0</v>
      </c>
      <c r="I11547">
        <f t="shared" si="10"/>
        <v>0</v>
      </c>
      <c r="J11547">
        <f t="shared" si="11"/>
        <v>0</v>
      </c>
    </row>
    <row r="11548" spans="6:10">
      <c r="F11548">
        <f t="shared" si="8"/>
        <v>0</v>
      </c>
      <c r="G11548">
        <f>COUNTIF($D$2:D11548,D11548)</f>
        <v>0</v>
      </c>
      <c r="H11548" t="str">
        <f t="shared" si="9"/>
        <v xml:space="preserve"> - 0</v>
      </c>
      <c r="I11548">
        <f t="shared" si="10"/>
        <v>0</v>
      </c>
      <c r="J11548">
        <f t="shared" si="11"/>
        <v>0</v>
      </c>
    </row>
    <row r="11549" spans="6:10">
      <c r="F11549">
        <f t="shared" si="8"/>
        <v>0</v>
      </c>
      <c r="G11549">
        <f>COUNTIF($D$2:D11549,D11549)</f>
        <v>0</v>
      </c>
      <c r="H11549" t="str">
        <f t="shared" si="9"/>
        <v xml:space="preserve"> - 0</v>
      </c>
      <c r="I11549">
        <f t="shared" si="10"/>
        <v>0</v>
      </c>
      <c r="J11549">
        <f t="shared" si="11"/>
        <v>0</v>
      </c>
    </row>
    <row r="11550" spans="6:10">
      <c r="F11550">
        <f t="shared" si="8"/>
        <v>0</v>
      </c>
      <c r="G11550">
        <f>COUNTIF($D$2:D11550,D11550)</f>
        <v>0</v>
      </c>
      <c r="H11550" t="str">
        <f t="shared" si="9"/>
        <v xml:space="preserve"> - 0</v>
      </c>
      <c r="I11550">
        <f t="shared" si="10"/>
        <v>0</v>
      </c>
      <c r="J11550">
        <f t="shared" si="11"/>
        <v>0</v>
      </c>
    </row>
    <row r="11551" spans="6:10">
      <c r="F11551">
        <f t="shared" si="8"/>
        <v>0</v>
      </c>
      <c r="G11551">
        <f>COUNTIF($D$2:D11551,D11551)</f>
        <v>0</v>
      </c>
      <c r="H11551" t="str">
        <f t="shared" si="9"/>
        <v xml:space="preserve"> - 0</v>
      </c>
      <c r="I11551">
        <f t="shared" si="10"/>
        <v>0</v>
      </c>
      <c r="J11551">
        <f t="shared" si="11"/>
        <v>0</v>
      </c>
    </row>
    <row r="11552" spans="6:10">
      <c r="F11552">
        <f t="shared" si="8"/>
        <v>0</v>
      </c>
      <c r="G11552">
        <f>COUNTIF($D$2:D11552,D11552)</f>
        <v>0</v>
      </c>
      <c r="H11552" t="str">
        <f t="shared" si="9"/>
        <v xml:space="preserve"> - 0</v>
      </c>
      <c r="I11552">
        <f t="shared" si="10"/>
        <v>0</v>
      </c>
      <c r="J11552">
        <f t="shared" si="11"/>
        <v>0</v>
      </c>
    </row>
    <row r="11553" spans="6:10">
      <c r="F11553">
        <f t="shared" si="8"/>
        <v>0</v>
      </c>
      <c r="G11553">
        <f>COUNTIF($D$2:D11553,D11553)</f>
        <v>0</v>
      </c>
      <c r="H11553" t="str">
        <f t="shared" si="9"/>
        <v xml:space="preserve"> - 0</v>
      </c>
      <c r="I11553">
        <f t="shared" si="10"/>
        <v>0</v>
      </c>
      <c r="J11553">
        <f t="shared" si="11"/>
        <v>0</v>
      </c>
    </row>
    <row r="11554" spans="6:10">
      <c r="F11554">
        <f t="shared" si="8"/>
        <v>0</v>
      </c>
      <c r="G11554">
        <f>COUNTIF($D$2:D11554,D11554)</f>
        <v>0</v>
      </c>
      <c r="H11554" t="str">
        <f t="shared" si="9"/>
        <v xml:space="preserve"> - 0</v>
      </c>
      <c r="I11554">
        <f t="shared" si="10"/>
        <v>0</v>
      </c>
      <c r="J11554">
        <f t="shared" si="11"/>
        <v>0</v>
      </c>
    </row>
    <row r="11555" spans="6:10">
      <c r="F11555">
        <f t="shared" si="8"/>
        <v>0</v>
      </c>
      <c r="G11555">
        <f>COUNTIF($D$2:D11555,D11555)</f>
        <v>0</v>
      </c>
      <c r="H11555" t="str">
        <f t="shared" si="9"/>
        <v xml:space="preserve"> - 0</v>
      </c>
      <c r="I11555">
        <f t="shared" si="10"/>
        <v>0</v>
      </c>
      <c r="J11555">
        <f t="shared" si="11"/>
        <v>0</v>
      </c>
    </row>
    <row r="11556" spans="6:10">
      <c r="F11556">
        <f t="shared" si="8"/>
        <v>0</v>
      </c>
      <c r="G11556">
        <f>COUNTIF($D$2:D11556,D11556)</f>
        <v>0</v>
      </c>
      <c r="H11556" t="str">
        <f t="shared" si="9"/>
        <v xml:space="preserve"> - 0</v>
      </c>
      <c r="I11556">
        <f t="shared" si="10"/>
        <v>0</v>
      </c>
      <c r="J11556">
        <f t="shared" si="11"/>
        <v>0</v>
      </c>
    </row>
    <row r="11557" spans="6:10">
      <c r="F11557">
        <f t="shared" si="8"/>
        <v>0</v>
      </c>
      <c r="G11557">
        <f>COUNTIF($D$2:D11557,D11557)</f>
        <v>0</v>
      </c>
      <c r="H11557" t="str">
        <f t="shared" si="9"/>
        <v xml:space="preserve"> - 0</v>
      </c>
      <c r="I11557">
        <f t="shared" si="10"/>
        <v>0</v>
      </c>
      <c r="J11557">
        <f t="shared" si="11"/>
        <v>0</v>
      </c>
    </row>
    <row r="11558" spans="6:10">
      <c r="F11558">
        <f t="shared" si="8"/>
        <v>0</v>
      </c>
      <c r="G11558">
        <f>COUNTIF($D$2:D11558,D11558)</f>
        <v>0</v>
      </c>
      <c r="H11558" t="str">
        <f t="shared" si="9"/>
        <v xml:space="preserve"> - 0</v>
      </c>
      <c r="I11558">
        <f t="shared" si="10"/>
        <v>0</v>
      </c>
      <c r="J11558">
        <f t="shared" si="11"/>
        <v>0</v>
      </c>
    </row>
    <row r="11559" spans="6:10">
      <c r="F11559">
        <f t="shared" si="8"/>
        <v>0</v>
      </c>
      <c r="G11559">
        <f>COUNTIF($D$2:D11559,D11559)</f>
        <v>0</v>
      </c>
      <c r="H11559" t="str">
        <f t="shared" si="9"/>
        <v xml:space="preserve"> - 0</v>
      </c>
      <c r="I11559">
        <f t="shared" si="10"/>
        <v>0</v>
      </c>
      <c r="J11559">
        <f t="shared" si="11"/>
        <v>0</v>
      </c>
    </row>
    <row r="11560" spans="6:10">
      <c r="F11560">
        <f t="shared" si="8"/>
        <v>0</v>
      </c>
      <c r="G11560">
        <f>COUNTIF($D$2:D11560,D11560)</f>
        <v>0</v>
      </c>
      <c r="H11560" t="str">
        <f t="shared" si="9"/>
        <v xml:space="preserve"> - 0</v>
      </c>
      <c r="I11560">
        <f t="shared" si="10"/>
        <v>0</v>
      </c>
      <c r="J11560">
        <f t="shared" si="11"/>
        <v>0</v>
      </c>
    </row>
    <row r="11561" spans="6:10">
      <c r="F11561">
        <f t="shared" ref="F11561:F11624" si="12">COUNTIF($D$2:$D$35910,D11561)</f>
        <v>0</v>
      </c>
      <c r="G11561">
        <f>COUNTIF($D$2:D11561,D11561)</f>
        <v>0</v>
      </c>
      <c r="H11561" t="str">
        <f t="shared" ref="H11561:H11624" si="13">D11561&amp;" - "&amp;G11561&amp;AH11561</f>
        <v xml:space="preserve"> - 0</v>
      </c>
      <c r="I11561">
        <f t="shared" ref="I11561:I11624" si="14">A11561</f>
        <v>0</v>
      </c>
      <c r="J11561">
        <f t="shared" ref="J11561:J11624" si="15">B11561</f>
        <v>0</v>
      </c>
    </row>
    <row r="11562" spans="6:10">
      <c r="F11562">
        <f t="shared" si="12"/>
        <v>0</v>
      </c>
      <c r="G11562">
        <f>COUNTIF($D$2:D11562,D11562)</f>
        <v>0</v>
      </c>
      <c r="H11562" t="str">
        <f t="shared" si="13"/>
        <v xml:space="preserve"> - 0</v>
      </c>
      <c r="I11562">
        <f t="shared" si="14"/>
        <v>0</v>
      </c>
      <c r="J11562">
        <f t="shared" si="15"/>
        <v>0</v>
      </c>
    </row>
    <row r="11563" spans="6:10">
      <c r="F11563">
        <f t="shared" si="12"/>
        <v>0</v>
      </c>
      <c r="G11563">
        <f>COUNTIF($D$2:D11563,D11563)</f>
        <v>0</v>
      </c>
      <c r="H11563" t="str">
        <f t="shared" si="13"/>
        <v xml:space="preserve"> - 0</v>
      </c>
      <c r="I11563">
        <f t="shared" si="14"/>
        <v>0</v>
      </c>
      <c r="J11563">
        <f t="shared" si="15"/>
        <v>0</v>
      </c>
    </row>
    <row r="11564" spans="6:10">
      <c r="F11564">
        <f t="shared" si="12"/>
        <v>0</v>
      </c>
      <c r="G11564">
        <f>COUNTIF($D$2:D11564,D11564)</f>
        <v>0</v>
      </c>
      <c r="H11564" t="str">
        <f t="shared" si="13"/>
        <v xml:space="preserve"> - 0</v>
      </c>
      <c r="I11564">
        <f t="shared" si="14"/>
        <v>0</v>
      </c>
      <c r="J11564">
        <f t="shared" si="15"/>
        <v>0</v>
      </c>
    </row>
    <row r="11565" spans="6:10">
      <c r="F11565">
        <f t="shared" si="12"/>
        <v>0</v>
      </c>
      <c r="G11565">
        <f>COUNTIF($D$2:D11565,D11565)</f>
        <v>0</v>
      </c>
      <c r="H11565" t="str">
        <f t="shared" si="13"/>
        <v xml:space="preserve"> - 0</v>
      </c>
      <c r="I11565">
        <f t="shared" si="14"/>
        <v>0</v>
      </c>
      <c r="J11565">
        <f t="shared" si="15"/>
        <v>0</v>
      </c>
    </row>
    <row r="11566" spans="6:10">
      <c r="F11566">
        <f t="shared" si="12"/>
        <v>0</v>
      </c>
      <c r="G11566">
        <f>COUNTIF($D$2:D11566,D11566)</f>
        <v>0</v>
      </c>
      <c r="H11566" t="str">
        <f t="shared" si="13"/>
        <v xml:space="preserve"> - 0</v>
      </c>
      <c r="I11566">
        <f t="shared" si="14"/>
        <v>0</v>
      </c>
      <c r="J11566">
        <f t="shared" si="15"/>
        <v>0</v>
      </c>
    </row>
    <row r="11567" spans="6:10">
      <c r="F11567">
        <f t="shared" si="12"/>
        <v>0</v>
      </c>
      <c r="G11567">
        <f>COUNTIF($D$2:D11567,D11567)</f>
        <v>0</v>
      </c>
      <c r="H11567" t="str">
        <f t="shared" si="13"/>
        <v xml:space="preserve"> - 0</v>
      </c>
      <c r="I11567">
        <f t="shared" si="14"/>
        <v>0</v>
      </c>
      <c r="J11567">
        <f t="shared" si="15"/>
        <v>0</v>
      </c>
    </row>
    <row r="11568" spans="6:10">
      <c r="F11568">
        <f t="shared" si="12"/>
        <v>0</v>
      </c>
      <c r="G11568">
        <f>COUNTIF($D$2:D11568,D11568)</f>
        <v>0</v>
      </c>
      <c r="H11568" t="str">
        <f t="shared" si="13"/>
        <v xml:space="preserve"> - 0</v>
      </c>
      <c r="I11568">
        <f t="shared" si="14"/>
        <v>0</v>
      </c>
      <c r="J11568">
        <f t="shared" si="15"/>
        <v>0</v>
      </c>
    </row>
    <row r="11569" spans="6:10">
      <c r="F11569">
        <f t="shared" si="12"/>
        <v>0</v>
      </c>
      <c r="G11569">
        <f>COUNTIF($D$2:D11569,D11569)</f>
        <v>0</v>
      </c>
      <c r="H11569" t="str">
        <f t="shared" si="13"/>
        <v xml:space="preserve"> - 0</v>
      </c>
      <c r="I11569">
        <f t="shared" si="14"/>
        <v>0</v>
      </c>
      <c r="J11569">
        <f t="shared" si="15"/>
        <v>0</v>
      </c>
    </row>
    <row r="11570" spans="6:10">
      <c r="F11570">
        <f t="shared" si="12"/>
        <v>0</v>
      </c>
      <c r="G11570">
        <f>COUNTIF($D$2:D11570,D11570)</f>
        <v>0</v>
      </c>
      <c r="H11570" t="str">
        <f t="shared" si="13"/>
        <v xml:space="preserve"> - 0</v>
      </c>
      <c r="I11570">
        <f t="shared" si="14"/>
        <v>0</v>
      </c>
      <c r="J11570">
        <f t="shared" si="15"/>
        <v>0</v>
      </c>
    </row>
    <row r="11571" spans="6:10">
      <c r="F11571">
        <f t="shared" si="12"/>
        <v>0</v>
      </c>
      <c r="G11571">
        <f>COUNTIF($D$2:D11571,D11571)</f>
        <v>0</v>
      </c>
      <c r="H11571" t="str">
        <f t="shared" si="13"/>
        <v xml:space="preserve"> - 0</v>
      </c>
      <c r="I11571">
        <f t="shared" si="14"/>
        <v>0</v>
      </c>
      <c r="J11571">
        <f t="shared" si="15"/>
        <v>0</v>
      </c>
    </row>
    <row r="11572" spans="6:10">
      <c r="F11572">
        <f t="shared" si="12"/>
        <v>0</v>
      </c>
      <c r="G11572">
        <f>COUNTIF($D$2:D11572,D11572)</f>
        <v>0</v>
      </c>
      <c r="H11572" t="str">
        <f t="shared" si="13"/>
        <v xml:space="preserve"> - 0</v>
      </c>
      <c r="I11572">
        <f t="shared" si="14"/>
        <v>0</v>
      </c>
      <c r="J11572">
        <f t="shared" si="15"/>
        <v>0</v>
      </c>
    </row>
    <row r="11573" spans="6:10">
      <c r="F11573">
        <f t="shared" si="12"/>
        <v>0</v>
      </c>
      <c r="G11573">
        <f>COUNTIF($D$2:D11573,D11573)</f>
        <v>0</v>
      </c>
      <c r="H11573" t="str">
        <f t="shared" si="13"/>
        <v xml:space="preserve"> - 0</v>
      </c>
      <c r="I11573">
        <f t="shared" si="14"/>
        <v>0</v>
      </c>
      <c r="J11573">
        <f t="shared" si="15"/>
        <v>0</v>
      </c>
    </row>
    <row r="11574" spans="6:10">
      <c r="F11574">
        <f t="shared" si="12"/>
        <v>0</v>
      </c>
      <c r="G11574">
        <f>COUNTIF($D$2:D11574,D11574)</f>
        <v>0</v>
      </c>
      <c r="H11574" t="str">
        <f t="shared" si="13"/>
        <v xml:space="preserve"> - 0</v>
      </c>
      <c r="I11574">
        <f t="shared" si="14"/>
        <v>0</v>
      </c>
      <c r="J11574">
        <f t="shared" si="15"/>
        <v>0</v>
      </c>
    </row>
    <row r="11575" spans="6:10">
      <c r="F11575">
        <f t="shared" si="12"/>
        <v>0</v>
      </c>
      <c r="G11575">
        <f>COUNTIF($D$2:D11575,D11575)</f>
        <v>0</v>
      </c>
      <c r="H11575" t="str">
        <f t="shared" si="13"/>
        <v xml:space="preserve"> - 0</v>
      </c>
      <c r="I11575">
        <f t="shared" si="14"/>
        <v>0</v>
      </c>
      <c r="J11575">
        <f t="shared" si="15"/>
        <v>0</v>
      </c>
    </row>
    <row r="11576" spans="6:10">
      <c r="F11576">
        <f t="shared" si="12"/>
        <v>0</v>
      </c>
      <c r="G11576">
        <f>COUNTIF($D$2:D11576,D11576)</f>
        <v>0</v>
      </c>
      <c r="H11576" t="str">
        <f t="shared" si="13"/>
        <v xml:space="preserve"> - 0</v>
      </c>
      <c r="I11576">
        <f t="shared" si="14"/>
        <v>0</v>
      </c>
      <c r="J11576">
        <f t="shared" si="15"/>
        <v>0</v>
      </c>
    </row>
    <row r="11577" spans="6:10">
      <c r="F11577">
        <f t="shared" si="12"/>
        <v>0</v>
      </c>
      <c r="G11577">
        <f>COUNTIF($D$2:D11577,D11577)</f>
        <v>0</v>
      </c>
      <c r="H11577" t="str">
        <f t="shared" si="13"/>
        <v xml:space="preserve"> - 0</v>
      </c>
      <c r="I11577">
        <f t="shared" si="14"/>
        <v>0</v>
      </c>
      <c r="J11577">
        <f t="shared" si="15"/>
        <v>0</v>
      </c>
    </row>
    <row r="11578" spans="6:10">
      <c r="F11578">
        <f t="shared" si="12"/>
        <v>0</v>
      </c>
      <c r="G11578">
        <f>COUNTIF($D$2:D11578,D11578)</f>
        <v>0</v>
      </c>
      <c r="H11578" t="str">
        <f t="shared" si="13"/>
        <v xml:space="preserve"> - 0</v>
      </c>
      <c r="I11578">
        <f t="shared" si="14"/>
        <v>0</v>
      </c>
      <c r="J11578">
        <f t="shared" si="15"/>
        <v>0</v>
      </c>
    </row>
    <row r="11579" spans="6:10">
      <c r="F11579">
        <f t="shared" si="12"/>
        <v>0</v>
      </c>
      <c r="G11579">
        <f>COUNTIF($D$2:D11579,D11579)</f>
        <v>0</v>
      </c>
      <c r="H11579" t="str">
        <f t="shared" si="13"/>
        <v xml:space="preserve"> - 0</v>
      </c>
      <c r="I11579">
        <f t="shared" si="14"/>
        <v>0</v>
      </c>
      <c r="J11579">
        <f t="shared" si="15"/>
        <v>0</v>
      </c>
    </row>
    <row r="11580" spans="6:10">
      <c r="F11580">
        <f t="shared" si="12"/>
        <v>0</v>
      </c>
      <c r="G11580">
        <f>COUNTIF($D$2:D11580,D11580)</f>
        <v>0</v>
      </c>
      <c r="H11580" t="str">
        <f t="shared" si="13"/>
        <v xml:space="preserve"> - 0</v>
      </c>
      <c r="I11580">
        <f t="shared" si="14"/>
        <v>0</v>
      </c>
      <c r="J11580">
        <f t="shared" si="15"/>
        <v>0</v>
      </c>
    </row>
    <row r="11581" spans="6:10">
      <c r="F11581">
        <f t="shared" si="12"/>
        <v>0</v>
      </c>
      <c r="G11581">
        <f>COUNTIF($D$2:D11581,D11581)</f>
        <v>0</v>
      </c>
      <c r="H11581" t="str">
        <f t="shared" si="13"/>
        <v xml:space="preserve"> - 0</v>
      </c>
      <c r="I11581">
        <f t="shared" si="14"/>
        <v>0</v>
      </c>
      <c r="J11581">
        <f t="shared" si="15"/>
        <v>0</v>
      </c>
    </row>
    <row r="11582" spans="6:10">
      <c r="F11582">
        <f t="shared" si="12"/>
        <v>0</v>
      </c>
      <c r="G11582">
        <f>COUNTIF($D$2:D11582,D11582)</f>
        <v>0</v>
      </c>
      <c r="H11582" t="str">
        <f t="shared" si="13"/>
        <v xml:space="preserve"> - 0</v>
      </c>
      <c r="I11582">
        <f t="shared" si="14"/>
        <v>0</v>
      </c>
      <c r="J11582">
        <f t="shared" si="15"/>
        <v>0</v>
      </c>
    </row>
    <row r="11583" spans="6:10">
      <c r="F11583">
        <f t="shared" si="12"/>
        <v>0</v>
      </c>
      <c r="G11583">
        <f>COUNTIF($D$2:D11583,D11583)</f>
        <v>0</v>
      </c>
      <c r="H11583" t="str">
        <f t="shared" si="13"/>
        <v xml:space="preserve"> - 0</v>
      </c>
      <c r="I11583">
        <f t="shared" si="14"/>
        <v>0</v>
      </c>
      <c r="J11583">
        <f t="shared" si="15"/>
        <v>0</v>
      </c>
    </row>
    <row r="11584" spans="6:10">
      <c r="F11584">
        <f t="shared" si="12"/>
        <v>0</v>
      </c>
      <c r="G11584">
        <f>COUNTIF($D$2:D11584,D11584)</f>
        <v>0</v>
      </c>
      <c r="H11584" t="str">
        <f t="shared" si="13"/>
        <v xml:space="preserve"> - 0</v>
      </c>
      <c r="I11584">
        <f t="shared" si="14"/>
        <v>0</v>
      </c>
      <c r="J11584">
        <f t="shared" si="15"/>
        <v>0</v>
      </c>
    </row>
    <row r="11585" spans="6:10">
      <c r="F11585">
        <f t="shared" si="12"/>
        <v>0</v>
      </c>
      <c r="G11585">
        <f>COUNTIF($D$2:D11585,D11585)</f>
        <v>0</v>
      </c>
      <c r="H11585" t="str">
        <f t="shared" si="13"/>
        <v xml:space="preserve"> - 0</v>
      </c>
      <c r="I11585">
        <f t="shared" si="14"/>
        <v>0</v>
      </c>
      <c r="J11585">
        <f t="shared" si="15"/>
        <v>0</v>
      </c>
    </row>
    <row r="11586" spans="6:10">
      <c r="F11586">
        <f t="shared" si="12"/>
        <v>0</v>
      </c>
      <c r="G11586">
        <f>COUNTIF($D$2:D11586,D11586)</f>
        <v>0</v>
      </c>
      <c r="H11586" t="str">
        <f t="shared" si="13"/>
        <v xml:space="preserve"> - 0</v>
      </c>
      <c r="I11586">
        <f t="shared" si="14"/>
        <v>0</v>
      </c>
      <c r="J11586">
        <f t="shared" si="15"/>
        <v>0</v>
      </c>
    </row>
    <row r="11587" spans="6:10">
      <c r="F11587">
        <f t="shared" si="12"/>
        <v>0</v>
      </c>
      <c r="G11587">
        <f>COUNTIF($D$2:D11587,D11587)</f>
        <v>0</v>
      </c>
      <c r="H11587" t="str">
        <f t="shared" si="13"/>
        <v xml:space="preserve"> - 0</v>
      </c>
      <c r="I11587">
        <f t="shared" si="14"/>
        <v>0</v>
      </c>
      <c r="J11587">
        <f t="shared" si="15"/>
        <v>0</v>
      </c>
    </row>
    <row r="11588" spans="6:10">
      <c r="F11588">
        <f t="shared" si="12"/>
        <v>0</v>
      </c>
      <c r="G11588">
        <f>COUNTIF($D$2:D11588,D11588)</f>
        <v>0</v>
      </c>
      <c r="H11588" t="str">
        <f t="shared" si="13"/>
        <v xml:space="preserve"> - 0</v>
      </c>
      <c r="I11588">
        <f t="shared" si="14"/>
        <v>0</v>
      </c>
      <c r="J11588">
        <f t="shared" si="15"/>
        <v>0</v>
      </c>
    </row>
    <row r="11589" spans="6:10">
      <c r="F11589">
        <f t="shared" si="12"/>
        <v>0</v>
      </c>
      <c r="G11589">
        <f>COUNTIF($D$2:D11589,D11589)</f>
        <v>0</v>
      </c>
      <c r="H11589" t="str">
        <f t="shared" si="13"/>
        <v xml:space="preserve"> - 0</v>
      </c>
      <c r="I11589">
        <f t="shared" si="14"/>
        <v>0</v>
      </c>
      <c r="J11589">
        <f t="shared" si="15"/>
        <v>0</v>
      </c>
    </row>
    <row r="11590" spans="6:10">
      <c r="F11590">
        <f t="shared" si="12"/>
        <v>0</v>
      </c>
      <c r="G11590">
        <f>COUNTIF($D$2:D11590,D11590)</f>
        <v>0</v>
      </c>
      <c r="H11590" t="str">
        <f t="shared" si="13"/>
        <v xml:space="preserve"> - 0</v>
      </c>
      <c r="I11590">
        <f t="shared" si="14"/>
        <v>0</v>
      </c>
      <c r="J11590">
        <f t="shared" si="15"/>
        <v>0</v>
      </c>
    </row>
    <row r="11591" spans="6:10">
      <c r="F11591">
        <f t="shared" si="12"/>
        <v>0</v>
      </c>
      <c r="G11591">
        <f>COUNTIF($D$2:D11591,D11591)</f>
        <v>0</v>
      </c>
      <c r="H11591" t="str">
        <f t="shared" si="13"/>
        <v xml:space="preserve"> - 0</v>
      </c>
      <c r="I11591">
        <f t="shared" si="14"/>
        <v>0</v>
      </c>
      <c r="J11591">
        <f t="shared" si="15"/>
        <v>0</v>
      </c>
    </row>
    <row r="11592" spans="6:10">
      <c r="F11592">
        <f t="shared" si="12"/>
        <v>0</v>
      </c>
      <c r="G11592">
        <f>COUNTIF($D$2:D11592,D11592)</f>
        <v>0</v>
      </c>
      <c r="H11592" t="str">
        <f t="shared" si="13"/>
        <v xml:space="preserve"> - 0</v>
      </c>
      <c r="I11592">
        <f t="shared" si="14"/>
        <v>0</v>
      </c>
      <c r="J11592">
        <f t="shared" si="15"/>
        <v>0</v>
      </c>
    </row>
    <row r="11593" spans="6:10">
      <c r="F11593">
        <f t="shared" si="12"/>
        <v>0</v>
      </c>
      <c r="G11593">
        <f>COUNTIF($D$2:D11593,D11593)</f>
        <v>0</v>
      </c>
      <c r="H11593" t="str">
        <f t="shared" si="13"/>
        <v xml:space="preserve"> - 0</v>
      </c>
      <c r="I11593">
        <f t="shared" si="14"/>
        <v>0</v>
      </c>
      <c r="J11593">
        <f t="shared" si="15"/>
        <v>0</v>
      </c>
    </row>
    <row r="11594" spans="6:10">
      <c r="F11594">
        <f t="shared" si="12"/>
        <v>0</v>
      </c>
      <c r="G11594">
        <f>COUNTIF($D$2:D11594,D11594)</f>
        <v>0</v>
      </c>
      <c r="H11594" t="str">
        <f t="shared" si="13"/>
        <v xml:space="preserve"> - 0</v>
      </c>
      <c r="I11594">
        <f t="shared" si="14"/>
        <v>0</v>
      </c>
      <c r="J11594">
        <f t="shared" si="15"/>
        <v>0</v>
      </c>
    </row>
    <row r="11595" spans="6:10">
      <c r="F11595">
        <f t="shared" si="12"/>
        <v>0</v>
      </c>
      <c r="G11595">
        <f>COUNTIF($D$2:D11595,D11595)</f>
        <v>0</v>
      </c>
      <c r="H11595" t="str">
        <f t="shared" si="13"/>
        <v xml:space="preserve"> - 0</v>
      </c>
      <c r="I11595">
        <f t="shared" si="14"/>
        <v>0</v>
      </c>
      <c r="J11595">
        <f t="shared" si="15"/>
        <v>0</v>
      </c>
    </row>
    <row r="11596" spans="6:10">
      <c r="F11596">
        <f t="shared" si="12"/>
        <v>0</v>
      </c>
      <c r="G11596">
        <f>COUNTIF($D$2:D11596,D11596)</f>
        <v>0</v>
      </c>
      <c r="H11596" t="str">
        <f t="shared" si="13"/>
        <v xml:space="preserve"> - 0</v>
      </c>
      <c r="I11596">
        <f t="shared" si="14"/>
        <v>0</v>
      </c>
      <c r="J11596">
        <f t="shared" si="15"/>
        <v>0</v>
      </c>
    </row>
    <row r="11597" spans="6:10">
      <c r="F11597">
        <f t="shared" si="12"/>
        <v>0</v>
      </c>
      <c r="G11597">
        <f>COUNTIF($D$2:D11597,D11597)</f>
        <v>0</v>
      </c>
      <c r="H11597" t="str">
        <f t="shared" si="13"/>
        <v xml:space="preserve"> - 0</v>
      </c>
      <c r="I11597">
        <f t="shared" si="14"/>
        <v>0</v>
      </c>
      <c r="J11597">
        <f t="shared" si="15"/>
        <v>0</v>
      </c>
    </row>
    <row r="11598" spans="6:10">
      <c r="F11598">
        <f t="shared" si="12"/>
        <v>0</v>
      </c>
      <c r="G11598">
        <f>COUNTIF($D$2:D11598,D11598)</f>
        <v>0</v>
      </c>
      <c r="H11598" t="str">
        <f t="shared" si="13"/>
        <v xml:space="preserve"> - 0</v>
      </c>
      <c r="I11598">
        <f t="shared" si="14"/>
        <v>0</v>
      </c>
      <c r="J11598">
        <f t="shared" si="15"/>
        <v>0</v>
      </c>
    </row>
    <row r="11599" spans="6:10">
      <c r="F11599">
        <f t="shared" si="12"/>
        <v>0</v>
      </c>
      <c r="G11599">
        <f>COUNTIF($D$2:D11599,D11599)</f>
        <v>0</v>
      </c>
      <c r="H11599" t="str">
        <f t="shared" si="13"/>
        <v xml:space="preserve"> - 0</v>
      </c>
      <c r="I11599">
        <f t="shared" si="14"/>
        <v>0</v>
      </c>
      <c r="J11599">
        <f t="shared" si="15"/>
        <v>0</v>
      </c>
    </row>
    <row r="11600" spans="6:10">
      <c r="F11600">
        <f t="shared" si="12"/>
        <v>0</v>
      </c>
      <c r="G11600">
        <f>COUNTIF($D$2:D11600,D11600)</f>
        <v>0</v>
      </c>
      <c r="H11600" t="str">
        <f t="shared" si="13"/>
        <v xml:space="preserve"> - 0</v>
      </c>
      <c r="I11600">
        <f t="shared" si="14"/>
        <v>0</v>
      </c>
      <c r="J11600">
        <f t="shared" si="15"/>
        <v>0</v>
      </c>
    </row>
    <row r="11601" spans="6:10">
      <c r="F11601">
        <f t="shared" si="12"/>
        <v>0</v>
      </c>
      <c r="G11601">
        <f>COUNTIF($D$2:D11601,D11601)</f>
        <v>0</v>
      </c>
      <c r="H11601" t="str">
        <f t="shared" si="13"/>
        <v xml:space="preserve"> - 0</v>
      </c>
      <c r="I11601">
        <f t="shared" si="14"/>
        <v>0</v>
      </c>
      <c r="J11601">
        <f t="shared" si="15"/>
        <v>0</v>
      </c>
    </row>
    <row r="11602" spans="6:10">
      <c r="F11602">
        <f t="shared" si="12"/>
        <v>0</v>
      </c>
      <c r="G11602">
        <f>COUNTIF($D$2:D11602,D11602)</f>
        <v>0</v>
      </c>
      <c r="H11602" t="str">
        <f t="shared" si="13"/>
        <v xml:space="preserve"> - 0</v>
      </c>
      <c r="I11602">
        <f t="shared" si="14"/>
        <v>0</v>
      </c>
      <c r="J11602">
        <f t="shared" si="15"/>
        <v>0</v>
      </c>
    </row>
    <row r="11603" spans="6:10">
      <c r="F11603">
        <f t="shared" si="12"/>
        <v>0</v>
      </c>
      <c r="G11603">
        <f>COUNTIF($D$2:D11603,D11603)</f>
        <v>0</v>
      </c>
      <c r="H11603" t="str">
        <f t="shared" si="13"/>
        <v xml:space="preserve"> - 0</v>
      </c>
      <c r="I11603">
        <f t="shared" si="14"/>
        <v>0</v>
      </c>
      <c r="J11603">
        <f t="shared" si="15"/>
        <v>0</v>
      </c>
    </row>
    <row r="11604" spans="6:10">
      <c r="F11604">
        <f t="shared" si="12"/>
        <v>0</v>
      </c>
      <c r="G11604">
        <f>COUNTIF($D$2:D11604,D11604)</f>
        <v>0</v>
      </c>
      <c r="H11604" t="str">
        <f t="shared" si="13"/>
        <v xml:space="preserve"> - 0</v>
      </c>
      <c r="I11604">
        <f t="shared" si="14"/>
        <v>0</v>
      </c>
      <c r="J11604">
        <f t="shared" si="15"/>
        <v>0</v>
      </c>
    </row>
    <row r="11605" spans="6:10">
      <c r="F11605">
        <f t="shared" si="12"/>
        <v>0</v>
      </c>
      <c r="G11605">
        <f>COUNTIF($D$2:D11605,D11605)</f>
        <v>0</v>
      </c>
      <c r="H11605" t="str">
        <f t="shared" si="13"/>
        <v xml:space="preserve"> - 0</v>
      </c>
      <c r="I11605">
        <f t="shared" si="14"/>
        <v>0</v>
      </c>
      <c r="J11605">
        <f t="shared" si="15"/>
        <v>0</v>
      </c>
    </row>
    <row r="11606" spans="6:10">
      <c r="F11606">
        <f t="shared" si="12"/>
        <v>0</v>
      </c>
      <c r="G11606">
        <f>COUNTIF($D$2:D11606,D11606)</f>
        <v>0</v>
      </c>
      <c r="H11606" t="str">
        <f t="shared" si="13"/>
        <v xml:space="preserve"> - 0</v>
      </c>
      <c r="I11606">
        <f t="shared" si="14"/>
        <v>0</v>
      </c>
      <c r="J11606">
        <f t="shared" si="15"/>
        <v>0</v>
      </c>
    </row>
    <row r="11607" spans="6:10">
      <c r="F11607">
        <f t="shared" si="12"/>
        <v>0</v>
      </c>
      <c r="G11607">
        <f>COUNTIF($D$2:D11607,D11607)</f>
        <v>0</v>
      </c>
      <c r="H11607" t="str">
        <f t="shared" si="13"/>
        <v xml:space="preserve"> - 0</v>
      </c>
      <c r="I11607">
        <f t="shared" si="14"/>
        <v>0</v>
      </c>
      <c r="J11607">
        <f t="shared" si="15"/>
        <v>0</v>
      </c>
    </row>
    <row r="11608" spans="6:10">
      <c r="F11608">
        <f t="shared" si="12"/>
        <v>0</v>
      </c>
      <c r="G11608">
        <f>COUNTIF($D$2:D11608,D11608)</f>
        <v>0</v>
      </c>
      <c r="H11608" t="str">
        <f t="shared" si="13"/>
        <v xml:space="preserve"> - 0</v>
      </c>
      <c r="I11608">
        <f t="shared" si="14"/>
        <v>0</v>
      </c>
      <c r="J11608">
        <f t="shared" si="15"/>
        <v>0</v>
      </c>
    </row>
    <row r="11609" spans="6:10">
      <c r="F11609">
        <f t="shared" si="12"/>
        <v>0</v>
      </c>
      <c r="G11609">
        <f>COUNTIF($D$2:D11609,D11609)</f>
        <v>0</v>
      </c>
      <c r="H11609" t="str">
        <f t="shared" si="13"/>
        <v xml:space="preserve"> - 0</v>
      </c>
      <c r="I11609">
        <f t="shared" si="14"/>
        <v>0</v>
      </c>
      <c r="J11609">
        <f t="shared" si="15"/>
        <v>0</v>
      </c>
    </row>
    <row r="11610" spans="6:10">
      <c r="F11610">
        <f t="shared" si="12"/>
        <v>0</v>
      </c>
      <c r="G11610">
        <f>COUNTIF($D$2:D11610,D11610)</f>
        <v>0</v>
      </c>
      <c r="H11610" t="str">
        <f t="shared" si="13"/>
        <v xml:space="preserve"> - 0</v>
      </c>
      <c r="I11610">
        <f t="shared" si="14"/>
        <v>0</v>
      </c>
      <c r="J11610">
        <f t="shared" si="15"/>
        <v>0</v>
      </c>
    </row>
    <row r="11611" spans="6:10">
      <c r="F11611">
        <f t="shared" si="12"/>
        <v>0</v>
      </c>
      <c r="G11611">
        <f>COUNTIF($D$2:D11611,D11611)</f>
        <v>0</v>
      </c>
      <c r="H11611" t="str">
        <f t="shared" si="13"/>
        <v xml:space="preserve"> - 0</v>
      </c>
      <c r="I11611">
        <f t="shared" si="14"/>
        <v>0</v>
      </c>
      <c r="J11611">
        <f t="shared" si="15"/>
        <v>0</v>
      </c>
    </row>
    <row r="11612" spans="6:10">
      <c r="F11612">
        <f t="shared" si="12"/>
        <v>0</v>
      </c>
      <c r="G11612">
        <f>COUNTIF($D$2:D11612,D11612)</f>
        <v>0</v>
      </c>
      <c r="H11612" t="str">
        <f t="shared" si="13"/>
        <v xml:space="preserve"> - 0</v>
      </c>
      <c r="I11612">
        <f t="shared" si="14"/>
        <v>0</v>
      </c>
      <c r="J11612">
        <f t="shared" si="15"/>
        <v>0</v>
      </c>
    </row>
    <row r="11613" spans="6:10">
      <c r="F11613">
        <f t="shared" si="12"/>
        <v>0</v>
      </c>
      <c r="G11613">
        <f>COUNTIF($D$2:D11613,D11613)</f>
        <v>0</v>
      </c>
      <c r="H11613" t="str">
        <f t="shared" si="13"/>
        <v xml:space="preserve"> - 0</v>
      </c>
      <c r="I11613">
        <f t="shared" si="14"/>
        <v>0</v>
      </c>
      <c r="J11613">
        <f t="shared" si="15"/>
        <v>0</v>
      </c>
    </row>
    <row r="11614" spans="6:10">
      <c r="F11614">
        <f t="shared" si="12"/>
        <v>0</v>
      </c>
      <c r="G11614">
        <f>COUNTIF($D$2:D11614,D11614)</f>
        <v>0</v>
      </c>
      <c r="H11614" t="str">
        <f t="shared" si="13"/>
        <v xml:space="preserve"> - 0</v>
      </c>
      <c r="I11614">
        <f t="shared" si="14"/>
        <v>0</v>
      </c>
      <c r="J11614">
        <f t="shared" si="15"/>
        <v>0</v>
      </c>
    </row>
    <row r="11615" spans="6:10">
      <c r="F11615">
        <f t="shared" si="12"/>
        <v>0</v>
      </c>
      <c r="G11615">
        <f>COUNTIF($D$2:D11615,D11615)</f>
        <v>0</v>
      </c>
      <c r="H11615" t="str">
        <f t="shared" si="13"/>
        <v xml:space="preserve"> - 0</v>
      </c>
      <c r="I11615">
        <f t="shared" si="14"/>
        <v>0</v>
      </c>
      <c r="J11615">
        <f t="shared" si="15"/>
        <v>0</v>
      </c>
    </row>
    <row r="11616" spans="6:10">
      <c r="F11616">
        <f t="shared" si="12"/>
        <v>0</v>
      </c>
      <c r="G11616">
        <f>COUNTIF($D$2:D11616,D11616)</f>
        <v>0</v>
      </c>
      <c r="H11616" t="str">
        <f t="shared" si="13"/>
        <v xml:space="preserve"> - 0</v>
      </c>
      <c r="I11616">
        <f t="shared" si="14"/>
        <v>0</v>
      </c>
      <c r="J11616">
        <f t="shared" si="15"/>
        <v>0</v>
      </c>
    </row>
    <row r="11617" spans="6:10">
      <c r="F11617">
        <f t="shared" si="12"/>
        <v>0</v>
      </c>
      <c r="G11617">
        <f>COUNTIF($D$2:D11617,D11617)</f>
        <v>0</v>
      </c>
      <c r="H11617" t="str">
        <f t="shared" si="13"/>
        <v xml:space="preserve"> - 0</v>
      </c>
      <c r="I11617">
        <f t="shared" si="14"/>
        <v>0</v>
      </c>
      <c r="J11617">
        <f t="shared" si="15"/>
        <v>0</v>
      </c>
    </row>
    <row r="11618" spans="6:10">
      <c r="F11618">
        <f t="shared" si="12"/>
        <v>0</v>
      </c>
      <c r="G11618">
        <f>COUNTIF($D$2:D11618,D11618)</f>
        <v>0</v>
      </c>
      <c r="H11618" t="str">
        <f t="shared" si="13"/>
        <v xml:space="preserve"> - 0</v>
      </c>
      <c r="I11618">
        <f t="shared" si="14"/>
        <v>0</v>
      </c>
      <c r="J11618">
        <f t="shared" si="15"/>
        <v>0</v>
      </c>
    </row>
    <row r="11619" spans="6:10">
      <c r="F11619">
        <f t="shared" si="12"/>
        <v>0</v>
      </c>
      <c r="G11619">
        <f>COUNTIF($D$2:D11619,D11619)</f>
        <v>0</v>
      </c>
      <c r="H11619" t="str">
        <f t="shared" si="13"/>
        <v xml:space="preserve"> - 0</v>
      </c>
      <c r="I11619">
        <f t="shared" si="14"/>
        <v>0</v>
      </c>
      <c r="J11619">
        <f t="shared" si="15"/>
        <v>0</v>
      </c>
    </row>
    <row r="11620" spans="6:10">
      <c r="F11620">
        <f t="shared" si="12"/>
        <v>0</v>
      </c>
      <c r="G11620">
        <f>COUNTIF($D$2:D11620,D11620)</f>
        <v>0</v>
      </c>
      <c r="H11620" t="str">
        <f t="shared" si="13"/>
        <v xml:space="preserve"> - 0</v>
      </c>
      <c r="I11620">
        <f t="shared" si="14"/>
        <v>0</v>
      </c>
      <c r="J11620">
        <f t="shared" si="15"/>
        <v>0</v>
      </c>
    </row>
    <row r="11621" spans="6:10">
      <c r="F11621">
        <f t="shared" si="12"/>
        <v>0</v>
      </c>
      <c r="G11621">
        <f>COUNTIF($D$2:D11621,D11621)</f>
        <v>0</v>
      </c>
      <c r="H11621" t="str">
        <f t="shared" si="13"/>
        <v xml:space="preserve"> - 0</v>
      </c>
      <c r="I11621">
        <f t="shared" si="14"/>
        <v>0</v>
      </c>
      <c r="J11621">
        <f t="shared" si="15"/>
        <v>0</v>
      </c>
    </row>
    <row r="11622" spans="6:10">
      <c r="F11622">
        <f t="shared" si="12"/>
        <v>0</v>
      </c>
      <c r="G11622">
        <f>COUNTIF($D$2:D11622,D11622)</f>
        <v>0</v>
      </c>
      <c r="H11622" t="str">
        <f t="shared" si="13"/>
        <v xml:space="preserve"> - 0</v>
      </c>
      <c r="I11622">
        <f t="shared" si="14"/>
        <v>0</v>
      </c>
      <c r="J11622">
        <f t="shared" si="15"/>
        <v>0</v>
      </c>
    </row>
    <row r="11623" spans="6:10">
      <c r="F11623">
        <f t="shared" si="12"/>
        <v>0</v>
      </c>
      <c r="G11623">
        <f>COUNTIF($D$2:D11623,D11623)</f>
        <v>0</v>
      </c>
      <c r="H11623" t="str">
        <f t="shared" si="13"/>
        <v xml:space="preserve"> - 0</v>
      </c>
      <c r="I11623">
        <f t="shared" si="14"/>
        <v>0</v>
      </c>
      <c r="J11623">
        <f t="shared" si="15"/>
        <v>0</v>
      </c>
    </row>
    <row r="11624" spans="6:10">
      <c r="F11624">
        <f t="shared" si="12"/>
        <v>0</v>
      </c>
      <c r="G11624">
        <f>COUNTIF($D$2:D11624,D11624)</f>
        <v>0</v>
      </c>
      <c r="H11624" t="str">
        <f t="shared" si="13"/>
        <v xml:space="preserve"> - 0</v>
      </c>
      <c r="I11624">
        <f t="shared" si="14"/>
        <v>0</v>
      </c>
      <c r="J11624">
        <f t="shared" si="15"/>
        <v>0</v>
      </c>
    </row>
    <row r="11625" spans="6:10">
      <c r="F11625">
        <f t="shared" ref="F11625:F11688" si="16">COUNTIF($D$2:$D$35910,D11625)</f>
        <v>0</v>
      </c>
      <c r="G11625">
        <f>COUNTIF($D$2:D11625,D11625)</f>
        <v>0</v>
      </c>
      <c r="H11625" t="str">
        <f t="shared" ref="H11625:H11688" si="17">D11625&amp;" - "&amp;G11625&amp;AH11625</f>
        <v xml:space="preserve"> - 0</v>
      </c>
      <c r="I11625">
        <f t="shared" ref="I11625:I11688" si="18">A11625</f>
        <v>0</v>
      </c>
      <c r="J11625">
        <f t="shared" ref="J11625:J11688" si="19">B11625</f>
        <v>0</v>
      </c>
    </row>
    <row r="11626" spans="6:10">
      <c r="F11626">
        <f t="shared" si="16"/>
        <v>0</v>
      </c>
      <c r="G11626">
        <f>COUNTIF($D$2:D11626,D11626)</f>
        <v>0</v>
      </c>
      <c r="H11626" t="str">
        <f t="shared" si="17"/>
        <v xml:space="preserve"> - 0</v>
      </c>
      <c r="I11626">
        <f t="shared" si="18"/>
        <v>0</v>
      </c>
      <c r="J11626">
        <f t="shared" si="19"/>
        <v>0</v>
      </c>
    </row>
    <row r="11627" spans="6:10">
      <c r="F11627">
        <f t="shared" si="16"/>
        <v>0</v>
      </c>
      <c r="G11627">
        <f>COUNTIF($D$2:D11627,D11627)</f>
        <v>0</v>
      </c>
      <c r="H11627" t="str">
        <f t="shared" si="17"/>
        <v xml:space="preserve"> - 0</v>
      </c>
      <c r="I11627">
        <f t="shared" si="18"/>
        <v>0</v>
      </c>
      <c r="J11627">
        <f t="shared" si="19"/>
        <v>0</v>
      </c>
    </row>
    <row r="11628" spans="6:10">
      <c r="F11628">
        <f t="shared" si="16"/>
        <v>0</v>
      </c>
      <c r="G11628">
        <f>COUNTIF($D$2:D11628,D11628)</f>
        <v>0</v>
      </c>
      <c r="H11628" t="str">
        <f t="shared" si="17"/>
        <v xml:space="preserve"> - 0</v>
      </c>
      <c r="I11628">
        <f t="shared" si="18"/>
        <v>0</v>
      </c>
      <c r="J11628">
        <f t="shared" si="19"/>
        <v>0</v>
      </c>
    </row>
    <row r="11629" spans="6:10">
      <c r="F11629">
        <f t="shared" si="16"/>
        <v>0</v>
      </c>
      <c r="G11629">
        <f>COUNTIF($D$2:D11629,D11629)</f>
        <v>0</v>
      </c>
      <c r="H11629" t="str">
        <f t="shared" si="17"/>
        <v xml:space="preserve"> - 0</v>
      </c>
      <c r="I11629">
        <f t="shared" si="18"/>
        <v>0</v>
      </c>
      <c r="J11629">
        <f t="shared" si="19"/>
        <v>0</v>
      </c>
    </row>
    <row r="11630" spans="6:10">
      <c r="F11630">
        <f t="shared" si="16"/>
        <v>0</v>
      </c>
      <c r="G11630">
        <f>COUNTIF($D$2:D11630,D11630)</f>
        <v>0</v>
      </c>
      <c r="H11630" t="str">
        <f t="shared" si="17"/>
        <v xml:space="preserve"> - 0</v>
      </c>
      <c r="I11630">
        <f t="shared" si="18"/>
        <v>0</v>
      </c>
      <c r="J11630">
        <f t="shared" si="19"/>
        <v>0</v>
      </c>
    </row>
    <row r="11631" spans="6:10">
      <c r="F11631">
        <f t="shared" si="16"/>
        <v>0</v>
      </c>
      <c r="G11631">
        <f>COUNTIF($D$2:D11631,D11631)</f>
        <v>0</v>
      </c>
      <c r="H11631" t="str">
        <f t="shared" si="17"/>
        <v xml:space="preserve"> - 0</v>
      </c>
      <c r="I11631">
        <f t="shared" si="18"/>
        <v>0</v>
      </c>
      <c r="J11631">
        <f t="shared" si="19"/>
        <v>0</v>
      </c>
    </row>
    <row r="11632" spans="6:10">
      <c r="F11632">
        <f t="shared" si="16"/>
        <v>0</v>
      </c>
      <c r="G11632">
        <f>COUNTIF($D$2:D11632,D11632)</f>
        <v>0</v>
      </c>
      <c r="H11632" t="str">
        <f t="shared" si="17"/>
        <v xml:space="preserve"> - 0</v>
      </c>
      <c r="I11632">
        <f t="shared" si="18"/>
        <v>0</v>
      </c>
      <c r="J11632">
        <f t="shared" si="19"/>
        <v>0</v>
      </c>
    </row>
    <row r="11633" spans="6:10">
      <c r="F11633">
        <f t="shared" si="16"/>
        <v>0</v>
      </c>
      <c r="G11633">
        <f>COUNTIF($D$2:D11633,D11633)</f>
        <v>0</v>
      </c>
      <c r="H11633" t="str">
        <f t="shared" si="17"/>
        <v xml:space="preserve"> - 0</v>
      </c>
      <c r="I11633">
        <f t="shared" si="18"/>
        <v>0</v>
      </c>
      <c r="J11633">
        <f t="shared" si="19"/>
        <v>0</v>
      </c>
    </row>
    <row r="11634" spans="6:10">
      <c r="F11634">
        <f t="shared" si="16"/>
        <v>0</v>
      </c>
      <c r="G11634">
        <f>COUNTIF($D$2:D11634,D11634)</f>
        <v>0</v>
      </c>
      <c r="H11634" t="str">
        <f t="shared" si="17"/>
        <v xml:space="preserve"> - 0</v>
      </c>
      <c r="I11634">
        <f t="shared" si="18"/>
        <v>0</v>
      </c>
      <c r="J11634">
        <f t="shared" si="19"/>
        <v>0</v>
      </c>
    </row>
    <row r="11635" spans="6:10">
      <c r="F11635">
        <f t="shared" si="16"/>
        <v>0</v>
      </c>
      <c r="G11635">
        <f>COUNTIF($D$2:D11635,D11635)</f>
        <v>0</v>
      </c>
      <c r="H11635" t="str">
        <f t="shared" si="17"/>
        <v xml:space="preserve"> - 0</v>
      </c>
      <c r="I11635">
        <f t="shared" si="18"/>
        <v>0</v>
      </c>
      <c r="J11635">
        <f t="shared" si="19"/>
        <v>0</v>
      </c>
    </row>
    <row r="11636" spans="6:10">
      <c r="F11636">
        <f t="shared" si="16"/>
        <v>0</v>
      </c>
      <c r="G11636">
        <f>COUNTIF($D$2:D11636,D11636)</f>
        <v>0</v>
      </c>
      <c r="H11636" t="str">
        <f t="shared" si="17"/>
        <v xml:space="preserve"> - 0</v>
      </c>
      <c r="I11636">
        <f t="shared" si="18"/>
        <v>0</v>
      </c>
      <c r="J11636">
        <f t="shared" si="19"/>
        <v>0</v>
      </c>
    </row>
    <row r="11637" spans="6:10">
      <c r="F11637">
        <f t="shared" si="16"/>
        <v>0</v>
      </c>
      <c r="G11637">
        <f>COUNTIF($D$2:D11637,D11637)</f>
        <v>0</v>
      </c>
      <c r="H11637" t="str">
        <f t="shared" si="17"/>
        <v xml:space="preserve"> - 0</v>
      </c>
      <c r="I11637">
        <f t="shared" si="18"/>
        <v>0</v>
      </c>
      <c r="J11637">
        <f t="shared" si="19"/>
        <v>0</v>
      </c>
    </row>
    <row r="11638" spans="6:10">
      <c r="F11638">
        <f t="shared" si="16"/>
        <v>0</v>
      </c>
      <c r="G11638">
        <f>COUNTIF($D$2:D11638,D11638)</f>
        <v>0</v>
      </c>
      <c r="H11638" t="str">
        <f t="shared" si="17"/>
        <v xml:space="preserve"> - 0</v>
      </c>
      <c r="I11638">
        <f t="shared" si="18"/>
        <v>0</v>
      </c>
      <c r="J11638">
        <f t="shared" si="19"/>
        <v>0</v>
      </c>
    </row>
    <row r="11639" spans="6:10">
      <c r="F11639">
        <f t="shared" si="16"/>
        <v>0</v>
      </c>
      <c r="G11639">
        <f>COUNTIF($D$2:D11639,D11639)</f>
        <v>0</v>
      </c>
      <c r="H11639" t="str">
        <f t="shared" si="17"/>
        <v xml:space="preserve"> - 0</v>
      </c>
      <c r="I11639">
        <f t="shared" si="18"/>
        <v>0</v>
      </c>
      <c r="J11639">
        <f t="shared" si="19"/>
        <v>0</v>
      </c>
    </row>
    <row r="11640" spans="6:10">
      <c r="F11640">
        <f t="shared" si="16"/>
        <v>0</v>
      </c>
      <c r="G11640">
        <f>COUNTIF($D$2:D11640,D11640)</f>
        <v>0</v>
      </c>
      <c r="H11640" t="str">
        <f t="shared" si="17"/>
        <v xml:space="preserve"> - 0</v>
      </c>
      <c r="I11640">
        <f t="shared" si="18"/>
        <v>0</v>
      </c>
      <c r="J11640">
        <f t="shared" si="19"/>
        <v>0</v>
      </c>
    </row>
    <row r="11641" spans="6:10">
      <c r="F11641">
        <f t="shared" si="16"/>
        <v>0</v>
      </c>
      <c r="G11641">
        <f>COUNTIF($D$2:D11641,D11641)</f>
        <v>0</v>
      </c>
      <c r="H11641" t="str">
        <f t="shared" si="17"/>
        <v xml:space="preserve"> - 0</v>
      </c>
      <c r="I11641">
        <f t="shared" si="18"/>
        <v>0</v>
      </c>
      <c r="J11641">
        <f t="shared" si="19"/>
        <v>0</v>
      </c>
    </row>
    <row r="11642" spans="6:10">
      <c r="F11642">
        <f t="shared" si="16"/>
        <v>0</v>
      </c>
      <c r="G11642">
        <f>COUNTIF($D$2:D11642,D11642)</f>
        <v>0</v>
      </c>
      <c r="H11642" t="str">
        <f t="shared" si="17"/>
        <v xml:space="preserve"> - 0</v>
      </c>
      <c r="I11642">
        <f t="shared" si="18"/>
        <v>0</v>
      </c>
      <c r="J11642">
        <f t="shared" si="19"/>
        <v>0</v>
      </c>
    </row>
    <row r="11643" spans="6:10">
      <c r="F11643">
        <f t="shared" si="16"/>
        <v>0</v>
      </c>
      <c r="G11643">
        <f>COUNTIF($D$2:D11643,D11643)</f>
        <v>0</v>
      </c>
      <c r="H11643" t="str">
        <f t="shared" si="17"/>
        <v xml:space="preserve"> - 0</v>
      </c>
      <c r="I11643">
        <f t="shared" si="18"/>
        <v>0</v>
      </c>
      <c r="J11643">
        <f t="shared" si="19"/>
        <v>0</v>
      </c>
    </row>
    <row r="11644" spans="6:10">
      <c r="F11644">
        <f t="shared" si="16"/>
        <v>0</v>
      </c>
      <c r="G11644">
        <f>COUNTIF($D$2:D11644,D11644)</f>
        <v>0</v>
      </c>
      <c r="H11644" t="str">
        <f t="shared" si="17"/>
        <v xml:space="preserve"> - 0</v>
      </c>
      <c r="I11644">
        <f t="shared" si="18"/>
        <v>0</v>
      </c>
      <c r="J11644">
        <f t="shared" si="19"/>
        <v>0</v>
      </c>
    </row>
    <row r="11645" spans="6:10">
      <c r="F11645">
        <f t="shared" si="16"/>
        <v>0</v>
      </c>
      <c r="G11645">
        <f>COUNTIF($D$2:D11645,D11645)</f>
        <v>0</v>
      </c>
      <c r="H11645" t="str">
        <f t="shared" si="17"/>
        <v xml:space="preserve"> - 0</v>
      </c>
      <c r="I11645">
        <f t="shared" si="18"/>
        <v>0</v>
      </c>
      <c r="J11645">
        <f t="shared" si="19"/>
        <v>0</v>
      </c>
    </row>
    <row r="11646" spans="6:10">
      <c r="F11646">
        <f t="shared" si="16"/>
        <v>0</v>
      </c>
      <c r="G11646">
        <f>COUNTIF($D$2:D11646,D11646)</f>
        <v>0</v>
      </c>
      <c r="H11646" t="str">
        <f t="shared" si="17"/>
        <v xml:space="preserve"> - 0</v>
      </c>
      <c r="I11646">
        <f t="shared" si="18"/>
        <v>0</v>
      </c>
      <c r="J11646">
        <f t="shared" si="19"/>
        <v>0</v>
      </c>
    </row>
    <row r="11647" spans="6:10">
      <c r="F11647">
        <f t="shared" si="16"/>
        <v>0</v>
      </c>
      <c r="G11647">
        <f>COUNTIF($D$2:D11647,D11647)</f>
        <v>0</v>
      </c>
      <c r="H11647" t="str">
        <f t="shared" si="17"/>
        <v xml:space="preserve"> - 0</v>
      </c>
      <c r="I11647">
        <f t="shared" si="18"/>
        <v>0</v>
      </c>
      <c r="J11647">
        <f t="shared" si="19"/>
        <v>0</v>
      </c>
    </row>
    <row r="11648" spans="6:10">
      <c r="F11648">
        <f t="shared" si="16"/>
        <v>0</v>
      </c>
      <c r="G11648">
        <f>COUNTIF($D$2:D11648,D11648)</f>
        <v>0</v>
      </c>
      <c r="H11648" t="str">
        <f t="shared" si="17"/>
        <v xml:space="preserve"> - 0</v>
      </c>
      <c r="I11648">
        <f t="shared" si="18"/>
        <v>0</v>
      </c>
      <c r="J11648">
        <f t="shared" si="19"/>
        <v>0</v>
      </c>
    </row>
    <row r="11649" spans="6:10">
      <c r="F11649">
        <f t="shared" si="16"/>
        <v>0</v>
      </c>
      <c r="G11649">
        <f>COUNTIF($D$2:D11649,D11649)</f>
        <v>0</v>
      </c>
      <c r="H11649" t="str">
        <f t="shared" si="17"/>
        <v xml:space="preserve"> - 0</v>
      </c>
      <c r="I11649">
        <f t="shared" si="18"/>
        <v>0</v>
      </c>
      <c r="J11649">
        <f t="shared" si="19"/>
        <v>0</v>
      </c>
    </row>
    <row r="11650" spans="6:10">
      <c r="F11650">
        <f t="shared" si="16"/>
        <v>0</v>
      </c>
      <c r="G11650">
        <f>COUNTIF($D$2:D11650,D11650)</f>
        <v>0</v>
      </c>
      <c r="H11650" t="str">
        <f t="shared" si="17"/>
        <v xml:space="preserve"> - 0</v>
      </c>
      <c r="I11650">
        <f t="shared" si="18"/>
        <v>0</v>
      </c>
      <c r="J11650">
        <f t="shared" si="19"/>
        <v>0</v>
      </c>
    </row>
    <row r="11651" spans="6:10">
      <c r="F11651">
        <f t="shared" si="16"/>
        <v>0</v>
      </c>
      <c r="G11651">
        <f>COUNTIF($D$2:D11651,D11651)</f>
        <v>0</v>
      </c>
      <c r="H11651" t="str">
        <f t="shared" si="17"/>
        <v xml:space="preserve"> - 0</v>
      </c>
      <c r="I11651">
        <f t="shared" si="18"/>
        <v>0</v>
      </c>
      <c r="J11651">
        <f t="shared" si="19"/>
        <v>0</v>
      </c>
    </row>
    <row r="11652" spans="6:10">
      <c r="F11652">
        <f t="shared" si="16"/>
        <v>0</v>
      </c>
      <c r="G11652">
        <f>COUNTIF($D$2:D11652,D11652)</f>
        <v>0</v>
      </c>
      <c r="H11652" t="str">
        <f t="shared" si="17"/>
        <v xml:space="preserve"> - 0</v>
      </c>
      <c r="I11652">
        <f t="shared" si="18"/>
        <v>0</v>
      </c>
      <c r="J11652">
        <f t="shared" si="19"/>
        <v>0</v>
      </c>
    </row>
    <row r="11653" spans="6:10">
      <c r="F11653">
        <f t="shared" si="16"/>
        <v>0</v>
      </c>
      <c r="G11653">
        <f>COUNTIF($D$2:D11653,D11653)</f>
        <v>0</v>
      </c>
      <c r="H11653" t="str">
        <f t="shared" si="17"/>
        <v xml:space="preserve"> - 0</v>
      </c>
      <c r="I11653">
        <f t="shared" si="18"/>
        <v>0</v>
      </c>
      <c r="J11653">
        <f t="shared" si="19"/>
        <v>0</v>
      </c>
    </row>
    <row r="11654" spans="6:10">
      <c r="F11654">
        <f t="shared" si="16"/>
        <v>0</v>
      </c>
      <c r="G11654">
        <f>COUNTIF($D$2:D11654,D11654)</f>
        <v>0</v>
      </c>
      <c r="H11654" t="str">
        <f t="shared" si="17"/>
        <v xml:space="preserve"> - 0</v>
      </c>
      <c r="I11654">
        <f t="shared" si="18"/>
        <v>0</v>
      </c>
      <c r="J11654">
        <f t="shared" si="19"/>
        <v>0</v>
      </c>
    </row>
    <row r="11655" spans="6:10">
      <c r="F11655">
        <f t="shared" si="16"/>
        <v>0</v>
      </c>
      <c r="G11655">
        <f>COUNTIF($D$2:D11655,D11655)</f>
        <v>0</v>
      </c>
      <c r="H11655" t="str">
        <f t="shared" si="17"/>
        <v xml:space="preserve"> - 0</v>
      </c>
      <c r="I11655">
        <f t="shared" si="18"/>
        <v>0</v>
      </c>
      <c r="J11655">
        <f t="shared" si="19"/>
        <v>0</v>
      </c>
    </row>
    <row r="11656" spans="6:10">
      <c r="F11656">
        <f t="shared" si="16"/>
        <v>0</v>
      </c>
      <c r="G11656">
        <f>COUNTIF($D$2:D11656,D11656)</f>
        <v>0</v>
      </c>
      <c r="H11656" t="str">
        <f t="shared" si="17"/>
        <v xml:space="preserve"> - 0</v>
      </c>
      <c r="I11656">
        <f t="shared" si="18"/>
        <v>0</v>
      </c>
      <c r="J11656">
        <f t="shared" si="19"/>
        <v>0</v>
      </c>
    </row>
    <row r="11657" spans="6:10">
      <c r="F11657">
        <f t="shared" si="16"/>
        <v>0</v>
      </c>
      <c r="G11657">
        <f>COUNTIF($D$2:D11657,D11657)</f>
        <v>0</v>
      </c>
      <c r="H11657" t="str">
        <f t="shared" si="17"/>
        <v xml:space="preserve"> - 0</v>
      </c>
      <c r="I11657">
        <f t="shared" si="18"/>
        <v>0</v>
      </c>
      <c r="J11657">
        <f t="shared" si="19"/>
        <v>0</v>
      </c>
    </row>
    <row r="11658" spans="6:10">
      <c r="F11658">
        <f t="shared" si="16"/>
        <v>0</v>
      </c>
      <c r="G11658">
        <f>COUNTIF($D$2:D11658,D11658)</f>
        <v>0</v>
      </c>
      <c r="H11658" t="str">
        <f t="shared" si="17"/>
        <v xml:space="preserve"> - 0</v>
      </c>
      <c r="I11658">
        <f t="shared" si="18"/>
        <v>0</v>
      </c>
      <c r="J11658">
        <f t="shared" si="19"/>
        <v>0</v>
      </c>
    </row>
    <row r="11659" spans="6:10">
      <c r="F11659">
        <f t="shared" si="16"/>
        <v>0</v>
      </c>
      <c r="G11659">
        <f>COUNTIF($D$2:D11659,D11659)</f>
        <v>0</v>
      </c>
      <c r="H11659" t="str">
        <f t="shared" si="17"/>
        <v xml:space="preserve"> - 0</v>
      </c>
      <c r="I11659">
        <f t="shared" si="18"/>
        <v>0</v>
      </c>
      <c r="J11659">
        <f t="shared" si="19"/>
        <v>0</v>
      </c>
    </row>
    <row r="11660" spans="6:10">
      <c r="F11660">
        <f t="shared" si="16"/>
        <v>0</v>
      </c>
      <c r="G11660">
        <f>COUNTIF($D$2:D11660,D11660)</f>
        <v>0</v>
      </c>
      <c r="H11660" t="str">
        <f t="shared" si="17"/>
        <v xml:space="preserve"> - 0</v>
      </c>
      <c r="I11660">
        <f t="shared" si="18"/>
        <v>0</v>
      </c>
      <c r="J11660">
        <f t="shared" si="19"/>
        <v>0</v>
      </c>
    </row>
    <row r="11661" spans="6:10">
      <c r="F11661">
        <f t="shared" si="16"/>
        <v>0</v>
      </c>
      <c r="G11661">
        <f>COUNTIF($D$2:D11661,D11661)</f>
        <v>0</v>
      </c>
      <c r="H11661" t="str">
        <f t="shared" si="17"/>
        <v xml:space="preserve"> - 0</v>
      </c>
      <c r="I11661">
        <f t="shared" si="18"/>
        <v>0</v>
      </c>
      <c r="J11661">
        <f t="shared" si="19"/>
        <v>0</v>
      </c>
    </row>
    <row r="11662" spans="6:10">
      <c r="F11662">
        <f t="shared" si="16"/>
        <v>0</v>
      </c>
      <c r="G11662">
        <f>COUNTIF($D$2:D11662,D11662)</f>
        <v>0</v>
      </c>
      <c r="H11662" t="str">
        <f t="shared" si="17"/>
        <v xml:space="preserve"> - 0</v>
      </c>
      <c r="I11662">
        <f t="shared" si="18"/>
        <v>0</v>
      </c>
      <c r="J11662">
        <f t="shared" si="19"/>
        <v>0</v>
      </c>
    </row>
    <row r="11663" spans="6:10">
      <c r="F11663">
        <f t="shared" si="16"/>
        <v>0</v>
      </c>
      <c r="G11663">
        <f>COUNTIF($D$2:D11663,D11663)</f>
        <v>0</v>
      </c>
      <c r="H11663" t="str">
        <f t="shared" si="17"/>
        <v xml:space="preserve"> - 0</v>
      </c>
      <c r="I11663">
        <f t="shared" si="18"/>
        <v>0</v>
      </c>
      <c r="J11663">
        <f t="shared" si="19"/>
        <v>0</v>
      </c>
    </row>
    <row r="11664" spans="6:10">
      <c r="F11664">
        <f t="shared" si="16"/>
        <v>0</v>
      </c>
      <c r="G11664">
        <f>COUNTIF($D$2:D11664,D11664)</f>
        <v>0</v>
      </c>
      <c r="H11664" t="str">
        <f t="shared" si="17"/>
        <v xml:space="preserve"> - 0</v>
      </c>
      <c r="I11664">
        <f t="shared" si="18"/>
        <v>0</v>
      </c>
      <c r="J11664">
        <f t="shared" si="19"/>
        <v>0</v>
      </c>
    </row>
    <row r="11665" spans="6:10">
      <c r="F11665">
        <f t="shared" si="16"/>
        <v>0</v>
      </c>
      <c r="G11665">
        <f>COUNTIF($D$2:D11665,D11665)</f>
        <v>0</v>
      </c>
      <c r="H11665" t="str">
        <f t="shared" si="17"/>
        <v xml:space="preserve"> - 0</v>
      </c>
      <c r="I11665">
        <f t="shared" si="18"/>
        <v>0</v>
      </c>
      <c r="J11665">
        <f t="shared" si="19"/>
        <v>0</v>
      </c>
    </row>
    <row r="11666" spans="6:10">
      <c r="F11666">
        <f t="shared" si="16"/>
        <v>0</v>
      </c>
      <c r="G11666">
        <f>COUNTIF($D$2:D11666,D11666)</f>
        <v>0</v>
      </c>
      <c r="H11666" t="str">
        <f t="shared" si="17"/>
        <v xml:space="preserve"> - 0</v>
      </c>
      <c r="I11666">
        <f t="shared" si="18"/>
        <v>0</v>
      </c>
      <c r="J11666">
        <f t="shared" si="19"/>
        <v>0</v>
      </c>
    </row>
    <row r="11667" spans="6:10">
      <c r="F11667">
        <f t="shared" si="16"/>
        <v>0</v>
      </c>
      <c r="G11667">
        <f>COUNTIF($D$2:D11667,D11667)</f>
        <v>0</v>
      </c>
      <c r="H11667" t="str">
        <f t="shared" si="17"/>
        <v xml:space="preserve"> - 0</v>
      </c>
      <c r="I11667">
        <f t="shared" si="18"/>
        <v>0</v>
      </c>
      <c r="J11667">
        <f t="shared" si="19"/>
        <v>0</v>
      </c>
    </row>
    <row r="11668" spans="6:10">
      <c r="F11668">
        <f t="shared" si="16"/>
        <v>0</v>
      </c>
      <c r="G11668">
        <f>COUNTIF($D$2:D11668,D11668)</f>
        <v>0</v>
      </c>
      <c r="H11668" t="str">
        <f t="shared" si="17"/>
        <v xml:space="preserve"> - 0</v>
      </c>
      <c r="I11668">
        <f t="shared" si="18"/>
        <v>0</v>
      </c>
      <c r="J11668">
        <f t="shared" si="19"/>
        <v>0</v>
      </c>
    </row>
    <row r="11669" spans="6:10">
      <c r="F11669">
        <f t="shared" si="16"/>
        <v>0</v>
      </c>
      <c r="G11669">
        <f>COUNTIF($D$2:D11669,D11669)</f>
        <v>0</v>
      </c>
      <c r="H11669" t="str">
        <f t="shared" si="17"/>
        <v xml:space="preserve"> - 0</v>
      </c>
      <c r="I11669">
        <f t="shared" si="18"/>
        <v>0</v>
      </c>
      <c r="J11669">
        <f t="shared" si="19"/>
        <v>0</v>
      </c>
    </row>
    <row r="11670" spans="6:10">
      <c r="F11670">
        <f t="shared" si="16"/>
        <v>0</v>
      </c>
      <c r="G11670">
        <f>COUNTIF($D$2:D11670,D11670)</f>
        <v>0</v>
      </c>
      <c r="H11670" t="str">
        <f t="shared" si="17"/>
        <v xml:space="preserve"> - 0</v>
      </c>
      <c r="I11670">
        <f t="shared" si="18"/>
        <v>0</v>
      </c>
      <c r="J11670">
        <f t="shared" si="19"/>
        <v>0</v>
      </c>
    </row>
    <row r="11671" spans="6:10">
      <c r="F11671">
        <f t="shared" si="16"/>
        <v>0</v>
      </c>
      <c r="G11671">
        <f>COUNTIF($D$2:D11671,D11671)</f>
        <v>0</v>
      </c>
      <c r="H11671" t="str">
        <f t="shared" si="17"/>
        <v xml:space="preserve"> - 0</v>
      </c>
      <c r="I11671">
        <f t="shared" si="18"/>
        <v>0</v>
      </c>
      <c r="J11671">
        <f t="shared" si="19"/>
        <v>0</v>
      </c>
    </row>
    <row r="11672" spans="6:10">
      <c r="F11672">
        <f t="shared" si="16"/>
        <v>0</v>
      </c>
      <c r="G11672">
        <f>COUNTIF($D$2:D11672,D11672)</f>
        <v>0</v>
      </c>
      <c r="H11672" t="str">
        <f t="shared" si="17"/>
        <v xml:space="preserve"> - 0</v>
      </c>
      <c r="I11672">
        <f t="shared" si="18"/>
        <v>0</v>
      </c>
      <c r="J11672">
        <f t="shared" si="19"/>
        <v>0</v>
      </c>
    </row>
    <row r="11673" spans="6:10">
      <c r="F11673">
        <f t="shared" si="16"/>
        <v>0</v>
      </c>
      <c r="G11673">
        <f>COUNTIF($D$2:D11673,D11673)</f>
        <v>0</v>
      </c>
      <c r="H11673" t="str">
        <f t="shared" si="17"/>
        <v xml:space="preserve"> - 0</v>
      </c>
      <c r="I11673">
        <f t="shared" si="18"/>
        <v>0</v>
      </c>
      <c r="J11673">
        <f t="shared" si="19"/>
        <v>0</v>
      </c>
    </row>
    <row r="11674" spans="6:10">
      <c r="F11674">
        <f t="shared" si="16"/>
        <v>0</v>
      </c>
      <c r="G11674">
        <f>COUNTIF($D$2:D11674,D11674)</f>
        <v>0</v>
      </c>
      <c r="H11674" t="str">
        <f t="shared" si="17"/>
        <v xml:space="preserve"> - 0</v>
      </c>
      <c r="I11674">
        <f t="shared" si="18"/>
        <v>0</v>
      </c>
      <c r="J11674">
        <f t="shared" si="19"/>
        <v>0</v>
      </c>
    </row>
    <row r="11675" spans="6:10">
      <c r="F11675">
        <f t="shared" si="16"/>
        <v>0</v>
      </c>
      <c r="G11675">
        <f>COUNTIF($D$2:D11675,D11675)</f>
        <v>0</v>
      </c>
      <c r="H11675" t="str">
        <f t="shared" si="17"/>
        <v xml:space="preserve"> - 0</v>
      </c>
      <c r="I11675">
        <f t="shared" si="18"/>
        <v>0</v>
      </c>
      <c r="J11675">
        <f t="shared" si="19"/>
        <v>0</v>
      </c>
    </row>
    <row r="11676" spans="6:10">
      <c r="F11676">
        <f t="shared" si="16"/>
        <v>0</v>
      </c>
      <c r="G11676">
        <f>COUNTIF($D$2:D11676,D11676)</f>
        <v>0</v>
      </c>
      <c r="H11676" t="str">
        <f t="shared" si="17"/>
        <v xml:space="preserve"> - 0</v>
      </c>
      <c r="I11676">
        <f t="shared" si="18"/>
        <v>0</v>
      </c>
      <c r="J11676">
        <f t="shared" si="19"/>
        <v>0</v>
      </c>
    </row>
    <row r="11677" spans="6:10">
      <c r="F11677">
        <f t="shared" si="16"/>
        <v>0</v>
      </c>
      <c r="G11677">
        <f>COUNTIF($D$2:D11677,D11677)</f>
        <v>0</v>
      </c>
      <c r="H11677" t="str">
        <f t="shared" si="17"/>
        <v xml:space="preserve"> - 0</v>
      </c>
      <c r="I11677">
        <f t="shared" si="18"/>
        <v>0</v>
      </c>
      <c r="J11677">
        <f t="shared" si="19"/>
        <v>0</v>
      </c>
    </row>
    <row r="11678" spans="6:10">
      <c r="F11678">
        <f t="shared" si="16"/>
        <v>0</v>
      </c>
      <c r="G11678">
        <f>COUNTIF($D$2:D11678,D11678)</f>
        <v>0</v>
      </c>
      <c r="H11678" t="str">
        <f t="shared" si="17"/>
        <v xml:space="preserve"> - 0</v>
      </c>
      <c r="I11678">
        <f t="shared" si="18"/>
        <v>0</v>
      </c>
      <c r="J11678">
        <f t="shared" si="19"/>
        <v>0</v>
      </c>
    </row>
    <row r="11679" spans="6:10">
      <c r="F11679">
        <f t="shared" si="16"/>
        <v>0</v>
      </c>
      <c r="G11679">
        <f>COUNTIF($D$2:D11679,D11679)</f>
        <v>0</v>
      </c>
      <c r="H11679" t="str">
        <f t="shared" si="17"/>
        <v xml:space="preserve"> - 0</v>
      </c>
      <c r="I11679">
        <f t="shared" si="18"/>
        <v>0</v>
      </c>
      <c r="J11679">
        <f t="shared" si="19"/>
        <v>0</v>
      </c>
    </row>
    <row r="11680" spans="6:10">
      <c r="F11680">
        <f t="shared" si="16"/>
        <v>0</v>
      </c>
      <c r="G11680">
        <f>COUNTIF($D$2:D11680,D11680)</f>
        <v>0</v>
      </c>
      <c r="H11680" t="str">
        <f t="shared" si="17"/>
        <v xml:space="preserve"> - 0</v>
      </c>
      <c r="I11680">
        <f t="shared" si="18"/>
        <v>0</v>
      </c>
      <c r="J11680">
        <f t="shared" si="19"/>
        <v>0</v>
      </c>
    </row>
    <row r="11681" spans="6:10">
      <c r="F11681">
        <f t="shared" si="16"/>
        <v>0</v>
      </c>
      <c r="G11681">
        <f>COUNTIF($D$2:D11681,D11681)</f>
        <v>0</v>
      </c>
      <c r="H11681" t="str">
        <f t="shared" si="17"/>
        <v xml:space="preserve"> - 0</v>
      </c>
      <c r="I11681">
        <f t="shared" si="18"/>
        <v>0</v>
      </c>
      <c r="J11681">
        <f t="shared" si="19"/>
        <v>0</v>
      </c>
    </row>
    <row r="11682" spans="6:10">
      <c r="F11682">
        <f t="shared" si="16"/>
        <v>0</v>
      </c>
      <c r="G11682">
        <f>COUNTIF($D$2:D11682,D11682)</f>
        <v>0</v>
      </c>
      <c r="H11682" t="str">
        <f t="shared" si="17"/>
        <v xml:space="preserve"> - 0</v>
      </c>
      <c r="I11682">
        <f t="shared" si="18"/>
        <v>0</v>
      </c>
      <c r="J11682">
        <f t="shared" si="19"/>
        <v>0</v>
      </c>
    </row>
    <row r="11683" spans="6:10">
      <c r="F11683">
        <f t="shared" si="16"/>
        <v>0</v>
      </c>
      <c r="G11683">
        <f>COUNTIF($D$2:D11683,D11683)</f>
        <v>0</v>
      </c>
      <c r="H11683" t="str">
        <f t="shared" si="17"/>
        <v xml:space="preserve"> - 0</v>
      </c>
      <c r="I11683">
        <f t="shared" si="18"/>
        <v>0</v>
      </c>
      <c r="J11683">
        <f t="shared" si="19"/>
        <v>0</v>
      </c>
    </row>
    <row r="11684" spans="6:10">
      <c r="F11684">
        <f t="shared" si="16"/>
        <v>0</v>
      </c>
      <c r="G11684">
        <f>COUNTIF($D$2:D11684,D11684)</f>
        <v>0</v>
      </c>
      <c r="H11684" t="str">
        <f t="shared" si="17"/>
        <v xml:space="preserve"> - 0</v>
      </c>
      <c r="I11684">
        <f t="shared" si="18"/>
        <v>0</v>
      </c>
      <c r="J11684">
        <f t="shared" si="19"/>
        <v>0</v>
      </c>
    </row>
    <row r="11685" spans="6:10">
      <c r="F11685">
        <f t="shared" si="16"/>
        <v>0</v>
      </c>
      <c r="G11685">
        <f>COUNTIF($D$2:D11685,D11685)</f>
        <v>0</v>
      </c>
      <c r="H11685" t="str">
        <f t="shared" si="17"/>
        <v xml:space="preserve"> - 0</v>
      </c>
      <c r="I11685">
        <f t="shared" si="18"/>
        <v>0</v>
      </c>
      <c r="J11685">
        <f t="shared" si="19"/>
        <v>0</v>
      </c>
    </row>
    <row r="11686" spans="6:10">
      <c r="F11686">
        <f t="shared" si="16"/>
        <v>0</v>
      </c>
      <c r="G11686">
        <f>COUNTIF($D$2:D11686,D11686)</f>
        <v>0</v>
      </c>
      <c r="H11686" t="str">
        <f t="shared" si="17"/>
        <v xml:space="preserve"> - 0</v>
      </c>
      <c r="I11686">
        <f t="shared" si="18"/>
        <v>0</v>
      </c>
      <c r="J11686">
        <f t="shared" si="19"/>
        <v>0</v>
      </c>
    </row>
    <row r="11687" spans="6:10">
      <c r="F11687">
        <f t="shared" si="16"/>
        <v>0</v>
      </c>
      <c r="G11687">
        <f>COUNTIF($D$2:D11687,D11687)</f>
        <v>0</v>
      </c>
      <c r="H11687" t="str">
        <f t="shared" si="17"/>
        <v xml:space="preserve"> - 0</v>
      </c>
      <c r="I11687">
        <f t="shared" si="18"/>
        <v>0</v>
      </c>
      <c r="J11687">
        <f t="shared" si="19"/>
        <v>0</v>
      </c>
    </row>
    <row r="11688" spans="6:10">
      <c r="F11688">
        <f t="shared" si="16"/>
        <v>0</v>
      </c>
      <c r="G11688">
        <f>COUNTIF($D$2:D11688,D11688)</f>
        <v>0</v>
      </c>
      <c r="H11688" t="str">
        <f t="shared" si="17"/>
        <v xml:space="preserve"> - 0</v>
      </c>
      <c r="I11688">
        <f t="shared" si="18"/>
        <v>0</v>
      </c>
      <c r="J11688">
        <f t="shared" si="19"/>
        <v>0</v>
      </c>
    </row>
    <row r="11689" spans="6:10">
      <c r="F11689">
        <f t="shared" ref="F11689:F11752" si="20">COUNTIF($D$2:$D$35910,D11689)</f>
        <v>0</v>
      </c>
      <c r="G11689">
        <f>COUNTIF($D$2:D11689,D11689)</f>
        <v>0</v>
      </c>
      <c r="H11689" t="str">
        <f t="shared" ref="H11689:H11752" si="21">D11689&amp;" - "&amp;G11689&amp;AH11689</f>
        <v xml:space="preserve"> - 0</v>
      </c>
      <c r="I11689">
        <f t="shared" ref="I11689:I11752" si="22">A11689</f>
        <v>0</v>
      </c>
      <c r="J11689">
        <f t="shared" ref="J11689:J11752" si="23">B11689</f>
        <v>0</v>
      </c>
    </row>
    <row r="11690" spans="6:10">
      <c r="F11690">
        <f t="shared" si="20"/>
        <v>0</v>
      </c>
      <c r="G11690">
        <f>COUNTIF($D$2:D11690,D11690)</f>
        <v>0</v>
      </c>
      <c r="H11690" t="str">
        <f t="shared" si="21"/>
        <v xml:space="preserve"> - 0</v>
      </c>
      <c r="I11690">
        <f t="shared" si="22"/>
        <v>0</v>
      </c>
      <c r="J11690">
        <f t="shared" si="23"/>
        <v>0</v>
      </c>
    </row>
    <row r="11691" spans="6:10">
      <c r="F11691">
        <f t="shared" si="20"/>
        <v>0</v>
      </c>
      <c r="G11691">
        <f>COUNTIF($D$2:D11691,D11691)</f>
        <v>0</v>
      </c>
      <c r="H11691" t="str">
        <f t="shared" si="21"/>
        <v xml:space="preserve"> - 0</v>
      </c>
      <c r="I11691">
        <f t="shared" si="22"/>
        <v>0</v>
      </c>
      <c r="J11691">
        <f t="shared" si="23"/>
        <v>0</v>
      </c>
    </row>
    <row r="11692" spans="6:10">
      <c r="F11692">
        <f t="shared" si="20"/>
        <v>0</v>
      </c>
      <c r="G11692">
        <f>COUNTIF($D$2:D11692,D11692)</f>
        <v>0</v>
      </c>
      <c r="H11692" t="str">
        <f t="shared" si="21"/>
        <v xml:space="preserve"> - 0</v>
      </c>
      <c r="I11692">
        <f t="shared" si="22"/>
        <v>0</v>
      </c>
      <c r="J11692">
        <f t="shared" si="23"/>
        <v>0</v>
      </c>
    </row>
    <row r="11693" spans="6:10">
      <c r="F11693">
        <f t="shared" si="20"/>
        <v>0</v>
      </c>
      <c r="G11693">
        <f>COUNTIF($D$2:D11693,D11693)</f>
        <v>0</v>
      </c>
      <c r="H11693" t="str">
        <f t="shared" si="21"/>
        <v xml:space="preserve"> - 0</v>
      </c>
      <c r="I11693">
        <f t="shared" si="22"/>
        <v>0</v>
      </c>
      <c r="J11693">
        <f t="shared" si="23"/>
        <v>0</v>
      </c>
    </row>
    <row r="11694" spans="6:10">
      <c r="F11694">
        <f t="shared" si="20"/>
        <v>0</v>
      </c>
      <c r="G11694">
        <f>COUNTIF($D$2:D11694,D11694)</f>
        <v>0</v>
      </c>
      <c r="H11694" t="str">
        <f t="shared" si="21"/>
        <v xml:space="preserve"> - 0</v>
      </c>
      <c r="I11694">
        <f t="shared" si="22"/>
        <v>0</v>
      </c>
      <c r="J11694">
        <f t="shared" si="23"/>
        <v>0</v>
      </c>
    </row>
    <row r="11695" spans="6:10">
      <c r="F11695">
        <f t="shared" si="20"/>
        <v>0</v>
      </c>
      <c r="G11695">
        <f>COUNTIF($D$2:D11695,D11695)</f>
        <v>0</v>
      </c>
      <c r="H11695" t="str">
        <f t="shared" si="21"/>
        <v xml:space="preserve"> - 0</v>
      </c>
      <c r="I11695">
        <f t="shared" si="22"/>
        <v>0</v>
      </c>
      <c r="J11695">
        <f t="shared" si="23"/>
        <v>0</v>
      </c>
    </row>
    <row r="11696" spans="6:10">
      <c r="F11696">
        <f t="shared" si="20"/>
        <v>0</v>
      </c>
      <c r="G11696">
        <f>COUNTIF($D$2:D11696,D11696)</f>
        <v>0</v>
      </c>
      <c r="H11696" t="str">
        <f t="shared" si="21"/>
        <v xml:space="preserve"> - 0</v>
      </c>
      <c r="I11696">
        <f t="shared" si="22"/>
        <v>0</v>
      </c>
      <c r="J11696">
        <f t="shared" si="23"/>
        <v>0</v>
      </c>
    </row>
    <row r="11697" spans="6:10">
      <c r="F11697">
        <f t="shared" si="20"/>
        <v>0</v>
      </c>
      <c r="G11697">
        <f>COUNTIF($D$2:D11697,D11697)</f>
        <v>0</v>
      </c>
      <c r="H11697" t="str">
        <f t="shared" si="21"/>
        <v xml:space="preserve"> - 0</v>
      </c>
      <c r="I11697">
        <f t="shared" si="22"/>
        <v>0</v>
      </c>
      <c r="J11697">
        <f t="shared" si="23"/>
        <v>0</v>
      </c>
    </row>
    <row r="11698" spans="6:10">
      <c r="F11698">
        <f t="shared" si="20"/>
        <v>0</v>
      </c>
      <c r="G11698">
        <f>COUNTIF($D$2:D11698,D11698)</f>
        <v>0</v>
      </c>
      <c r="H11698" t="str">
        <f t="shared" si="21"/>
        <v xml:space="preserve"> - 0</v>
      </c>
      <c r="I11698">
        <f t="shared" si="22"/>
        <v>0</v>
      </c>
      <c r="J11698">
        <f t="shared" si="23"/>
        <v>0</v>
      </c>
    </row>
    <row r="11699" spans="6:10">
      <c r="F11699">
        <f t="shared" si="20"/>
        <v>0</v>
      </c>
      <c r="G11699">
        <f>COUNTIF($D$2:D11699,D11699)</f>
        <v>0</v>
      </c>
      <c r="H11699" t="str">
        <f t="shared" si="21"/>
        <v xml:space="preserve"> - 0</v>
      </c>
      <c r="I11699">
        <f t="shared" si="22"/>
        <v>0</v>
      </c>
      <c r="J11699">
        <f t="shared" si="23"/>
        <v>0</v>
      </c>
    </row>
    <row r="11700" spans="6:10">
      <c r="F11700">
        <f t="shared" si="20"/>
        <v>0</v>
      </c>
      <c r="G11700">
        <f>COUNTIF($D$2:D11700,D11700)</f>
        <v>0</v>
      </c>
      <c r="H11700" t="str">
        <f t="shared" si="21"/>
        <v xml:space="preserve"> - 0</v>
      </c>
      <c r="I11700">
        <f t="shared" si="22"/>
        <v>0</v>
      </c>
      <c r="J11700">
        <f t="shared" si="23"/>
        <v>0</v>
      </c>
    </row>
    <row r="11701" spans="6:10">
      <c r="F11701">
        <f t="shared" si="20"/>
        <v>0</v>
      </c>
      <c r="G11701">
        <f>COUNTIF($D$2:D11701,D11701)</f>
        <v>0</v>
      </c>
      <c r="H11701" t="str">
        <f t="shared" si="21"/>
        <v xml:space="preserve"> - 0</v>
      </c>
      <c r="I11701">
        <f t="shared" si="22"/>
        <v>0</v>
      </c>
      <c r="J11701">
        <f t="shared" si="23"/>
        <v>0</v>
      </c>
    </row>
    <row r="11702" spans="6:10">
      <c r="F11702">
        <f t="shared" si="20"/>
        <v>0</v>
      </c>
      <c r="G11702">
        <f>COUNTIF($D$2:D11702,D11702)</f>
        <v>0</v>
      </c>
      <c r="H11702" t="str">
        <f t="shared" si="21"/>
        <v xml:space="preserve"> - 0</v>
      </c>
      <c r="I11702">
        <f t="shared" si="22"/>
        <v>0</v>
      </c>
      <c r="J11702">
        <f t="shared" si="23"/>
        <v>0</v>
      </c>
    </row>
    <row r="11703" spans="6:10">
      <c r="F11703">
        <f t="shared" si="20"/>
        <v>0</v>
      </c>
      <c r="G11703">
        <f>COUNTIF($D$2:D11703,D11703)</f>
        <v>0</v>
      </c>
      <c r="H11703" t="str">
        <f t="shared" si="21"/>
        <v xml:space="preserve"> - 0</v>
      </c>
      <c r="I11703">
        <f t="shared" si="22"/>
        <v>0</v>
      </c>
      <c r="J11703">
        <f t="shared" si="23"/>
        <v>0</v>
      </c>
    </row>
    <row r="11704" spans="6:10">
      <c r="F11704">
        <f t="shared" si="20"/>
        <v>0</v>
      </c>
      <c r="G11704">
        <f>COUNTIF($D$2:D11704,D11704)</f>
        <v>0</v>
      </c>
      <c r="H11704" t="str">
        <f t="shared" si="21"/>
        <v xml:space="preserve"> - 0</v>
      </c>
      <c r="I11704">
        <f t="shared" si="22"/>
        <v>0</v>
      </c>
      <c r="J11704">
        <f t="shared" si="23"/>
        <v>0</v>
      </c>
    </row>
    <row r="11705" spans="6:10">
      <c r="F11705">
        <f t="shared" si="20"/>
        <v>0</v>
      </c>
      <c r="G11705">
        <f>COUNTIF($D$2:D11705,D11705)</f>
        <v>0</v>
      </c>
      <c r="H11705" t="str">
        <f t="shared" si="21"/>
        <v xml:space="preserve"> - 0</v>
      </c>
      <c r="I11705">
        <f t="shared" si="22"/>
        <v>0</v>
      </c>
      <c r="J11705">
        <f t="shared" si="23"/>
        <v>0</v>
      </c>
    </row>
    <row r="11706" spans="6:10">
      <c r="F11706">
        <f t="shared" si="20"/>
        <v>0</v>
      </c>
      <c r="G11706">
        <f>COUNTIF($D$2:D11706,D11706)</f>
        <v>0</v>
      </c>
      <c r="H11706" t="str">
        <f t="shared" si="21"/>
        <v xml:space="preserve"> - 0</v>
      </c>
      <c r="I11706">
        <f t="shared" si="22"/>
        <v>0</v>
      </c>
      <c r="J11706">
        <f t="shared" si="23"/>
        <v>0</v>
      </c>
    </row>
    <row r="11707" spans="6:10">
      <c r="F11707">
        <f t="shared" si="20"/>
        <v>0</v>
      </c>
      <c r="G11707">
        <f>COUNTIF($D$2:D11707,D11707)</f>
        <v>0</v>
      </c>
      <c r="H11707" t="str">
        <f t="shared" si="21"/>
        <v xml:space="preserve"> - 0</v>
      </c>
      <c r="I11707">
        <f t="shared" si="22"/>
        <v>0</v>
      </c>
      <c r="J11707">
        <f t="shared" si="23"/>
        <v>0</v>
      </c>
    </row>
    <row r="11708" spans="6:10">
      <c r="F11708">
        <f t="shared" si="20"/>
        <v>0</v>
      </c>
      <c r="G11708">
        <f>COUNTIF($D$2:D11708,D11708)</f>
        <v>0</v>
      </c>
      <c r="H11708" t="str">
        <f t="shared" si="21"/>
        <v xml:space="preserve"> - 0</v>
      </c>
      <c r="I11708">
        <f t="shared" si="22"/>
        <v>0</v>
      </c>
      <c r="J11708">
        <f t="shared" si="23"/>
        <v>0</v>
      </c>
    </row>
    <row r="11709" spans="6:10">
      <c r="F11709">
        <f t="shared" si="20"/>
        <v>0</v>
      </c>
      <c r="G11709">
        <f>COUNTIF($D$2:D11709,D11709)</f>
        <v>0</v>
      </c>
      <c r="H11709" t="str">
        <f t="shared" si="21"/>
        <v xml:space="preserve"> - 0</v>
      </c>
      <c r="I11709">
        <f t="shared" si="22"/>
        <v>0</v>
      </c>
      <c r="J11709">
        <f t="shared" si="23"/>
        <v>0</v>
      </c>
    </row>
    <row r="11710" spans="6:10">
      <c r="F11710">
        <f t="shared" si="20"/>
        <v>0</v>
      </c>
      <c r="G11710">
        <f>COUNTIF($D$2:D11710,D11710)</f>
        <v>0</v>
      </c>
      <c r="H11710" t="str">
        <f t="shared" si="21"/>
        <v xml:space="preserve"> - 0</v>
      </c>
      <c r="I11710">
        <f t="shared" si="22"/>
        <v>0</v>
      </c>
      <c r="J11710">
        <f t="shared" si="23"/>
        <v>0</v>
      </c>
    </row>
    <row r="11711" spans="6:10">
      <c r="F11711">
        <f t="shared" si="20"/>
        <v>0</v>
      </c>
      <c r="G11711">
        <f>COUNTIF($D$2:D11711,D11711)</f>
        <v>0</v>
      </c>
      <c r="H11711" t="str">
        <f t="shared" si="21"/>
        <v xml:space="preserve"> - 0</v>
      </c>
      <c r="I11711">
        <f t="shared" si="22"/>
        <v>0</v>
      </c>
      <c r="J11711">
        <f t="shared" si="23"/>
        <v>0</v>
      </c>
    </row>
    <row r="11712" spans="6:10">
      <c r="F11712">
        <f t="shared" si="20"/>
        <v>0</v>
      </c>
      <c r="G11712">
        <f>COUNTIF($D$2:D11712,D11712)</f>
        <v>0</v>
      </c>
      <c r="H11712" t="str">
        <f t="shared" si="21"/>
        <v xml:space="preserve"> - 0</v>
      </c>
      <c r="I11712">
        <f t="shared" si="22"/>
        <v>0</v>
      </c>
      <c r="J11712">
        <f t="shared" si="23"/>
        <v>0</v>
      </c>
    </row>
    <row r="11713" spans="6:10">
      <c r="F11713">
        <f t="shared" si="20"/>
        <v>0</v>
      </c>
      <c r="G11713">
        <f>COUNTIF($D$2:D11713,D11713)</f>
        <v>0</v>
      </c>
      <c r="H11713" t="str">
        <f t="shared" si="21"/>
        <v xml:space="preserve"> - 0</v>
      </c>
      <c r="I11713">
        <f t="shared" si="22"/>
        <v>0</v>
      </c>
      <c r="J11713">
        <f t="shared" si="23"/>
        <v>0</v>
      </c>
    </row>
    <row r="11714" spans="6:10">
      <c r="F11714">
        <f t="shared" si="20"/>
        <v>0</v>
      </c>
      <c r="G11714">
        <f>COUNTIF($D$2:D11714,D11714)</f>
        <v>0</v>
      </c>
      <c r="H11714" t="str">
        <f t="shared" si="21"/>
        <v xml:space="preserve"> - 0</v>
      </c>
      <c r="I11714">
        <f t="shared" si="22"/>
        <v>0</v>
      </c>
      <c r="J11714">
        <f t="shared" si="23"/>
        <v>0</v>
      </c>
    </row>
    <row r="11715" spans="6:10">
      <c r="F11715">
        <f t="shared" si="20"/>
        <v>0</v>
      </c>
      <c r="G11715">
        <f>COUNTIF($D$2:D11715,D11715)</f>
        <v>0</v>
      </c>
      <c r="H11715" t="str">
        <f t="shared" si="21"/>
        <v xml:space="preserve"> - 0</v>
      </c>
      <c r="I11715">
        <f t="shared" si="22"/>
        <v>0</v>
      </c>
      <c r="J11715">
        <f t="shared" si="23"/>
        <v>0</v>
      </c>
    </row>
    <row r="11716" spans="6:10">
      <c r="F11716">
        <f t="shared" si="20"/>
        <v>0</v>
      </c>
      <c r="G11716">
        <f>COUNTIF($D$2:D11716,D11716)</f>
        <v>0</v>
      </c>
      <c r="H11716" t="str">
        <f t="shared" si="21"/>
        <v xml:space="preserve"> - 0</v>
      </c>
      <c r="I11716">
        <f t="shared" si="22"/>
        <v>0</v>
      </c>
      <c r="J11716">
        <f t="shared" si="23"/>
        <v>0</v>
      </c>
    </row>
    <row r="11717" spans="6:10">
      <c r="F11717">
        <f t="shared" si="20"/>
        <v>0</v>
      </c>
      <c r="G11717">
        <f>COUNTIF($D$2:D11717,D11717)</f>
        <v>0</v>
      </c>
      <c r="H11717" t="str">
        <f t="shared" si="21"/>
        <v xml:space="preserve"> - 0</v>
      </c>
      <c r="I11717">
        <f t="shared" si="22"/>
        <v>0</v>
      </c>
      <c r="J11717">
        <f t="shared" si="23"/>
        <v>0</v>
      </c>
    </row>
    <row r="11718" spans="6:10">
      <c r="F11718">
        <f t="shared" si="20"/>
        <v>0</v>
      </c>
      <c r="G11718">
        <f>COUNTIF($D$2:D11718,D11718)</f>
        <v>0</v>
      </c>
      <c r="H11718" t="str">
        <f t="shared" si="21"/>
        <v xml:space="preserve"> - 0</v>
      </c>
      <c r="I11718">
        <f t="shared" si="22"/>
        <v>0</v>
      </c>
      <c r="J11718">
        <f t="shared" si="23"/>
        <v>0</v>
      </c>
    </row>
    <row r="11719" spans="6:10">
      <c r="F11719">
        <f t="shared" si="20"/>
        <v>0</v>
      </c>
      <c r="G11719">
        <f>COUNTIF($D$2:D11719,D11719)</f>
        <v>0</v>
      </c>
      <c r="H11719" t="str">
        <f t="shared" si="21"/>
        <v xml:space="preserve"> - 0</v>
      </c>
      <c r="I11719">
        <f t="shared" si="22"/>
        <v>0</v>
      </c>
      <c r="J11719">
        <f t="shared" si="23"/>
        <v>0</v>
      </c>
    </row>
    <row r="11720" spans="6:10">
      <c r="F11720">
        <f t="shared" si="20"/>
        <v>0</v>
      </c>
      <c r="G11720">
        <f>COUNTIF($D$2:D11720,D11720)</f>
        <v>0</v>
      </c>
      <c r="H11720" t="str">
        <f t="shared" si="21"/>
        <v xml:space="preserve"> - 0</v>
      </c>
      <c r="I11720">
        <f t="shared" si="22"/>
        <v>0</v>
      </c>
      <c r="J11720">
        <f t="shared" si="23"/>
        <v>0</v>
      </c>
    </row>
    <row r="11721" spans="6:10">
      <c r="F11721">
        <f t="shared" si="20"/>
        <v>0</v>
      </c>
      <c r="G11721">
        <f>COUNTIF($D$2:D11721,D11721)</f>
        <v>0</v>
      </c>
      <c r="H11721" t="str">
        <f t="shared" si="21"/>
        <v xml:space="preserve"> - 0</v>
      </c>
      <c r="I11721">
        <f t="shared" si="22"/>
        <v>0</v>
      </c>
      <c r="J11721">
        <f t="shared" si="23"/>
        <v>0</v>
      </c>
    </row>
    <row r="11722" spans="6:10">
      <c r="F11722">
        <f t="shared" si="20"/>
        <v>0</v>
      </c>
      <c r="G11722">
        <f>COUNTIF($D$2:D11722,D11722)</f>
        <v>0</v>
      </c>
      <c r="H11722" t="str">
        <f t="shared" si="21"/>
        <v xml:space="preserve"> - 0</v>
      </c>
      <c r="I11722">
        <f t="shared" si="22"/>
        <v>0</v>
      </c>
      <c r="J11722">
        <f t="shared" si="23"/>
        <v>0</v>
      </c>
    </row>
    <row r="11723" spans="6:10">
      <c r="F11723">
        <f t="shared" si="20"/>
        <v>0</v>
      </c>
      <c r="G11723">
        <f>COUNTIF($D$2:D11723,D11723)</f>
        <v>0</v>
      </c>
      <c r="H11723" t="str">
        <f t="shared" si="21"/>
        <v xml:space="preserve"> - 0</v>
      </c>
      <c r="I11723">
        <f t="shared" si="22"/>
        <v>0</v>
      </c>
      <c r="J11723">
        <f t="shared" si="23"/>
        <v>0</v>
      </c>
    </row>
    <row r="11724" spans="6:10">
      <c r="F11724">
        <f t="shared" si="20"/>
        <v>0</v>
      </c>
      <c r="G11724">
        <f>COUNTIF($D$2:D11724,D11724)</f>
        <v>0</v>
      </c>
      <c r="H11724" t="str">
        <f t="shared" si="21"/>
        <v xml:space="preserve"> - 0</v>
      </c>
      <c r="I11724">
        <f t="shared" si="22"/>
        <v>0</v>
      </c>
      <c r="J11724">
        <f t="shared" si="23"/>
        <v>0</v>
      </c>
    </row>
    <row r="11725" spans="6:10">
      <c r="F11725">
        <f t="shared" si="20"/>
        <v>0</v>
      </c>
      <c r="G11725">
        <f>COUNTIF($D$2:D11725,D11725)</f>
        <v>0</v>
      </c>
      <c r="H11725" t="str">
        <f t="shared" si="21"/>
        <v xml:space="preserve"> - 0</v>
      </c>
      <c r="I11725">
        <f t="shared" si="22"/>
        <v>0</v>
      </c>
      <c r="J11725">
        <f t="shared" si="23"/>
        <v>0</v>
      </c>
    </row>
    <row r="11726" spans="6:10">
      <c r="F11726">
        <f t="shared" si="20"/>
        <v>0</v>
      </c>
      <c r="G11726">
        <f>COUNTIF($D$2:D11726,D11726)</f>
        <v>0</v>
      </c>
      <c r="H11726" t="str">
        <f t="shared" si="21"/>
        <v xml:space="preserve"> - 0</v>
      </c>
      <c r="I11726">
        <f t="shared" si="22"/>
        <v>0</v>
      </c>
      <c r="J11726">
        <f t="shared" si="23"/>
        <v>0</v>
      </c>
    </row>
    <row r="11727" spans="6:10">
      <c r="F11727">
        <f t="shared" si="20"/>
        <v>0</v>
      </c>
      <c r="G11727">
        <f>COUNTIF($D$2:D11727,D11727)</f>
        <v>0</v>
      </c>
      <c r="H11727" t="str">
        <f t="shared" si="21"/>
        <v xml:space="preserve"> - 0</v>
      </c>
      <c r="I11727">
        <f t="shared" si="22"/>
        <v>0</v>
      </c>
      <c r="J11727">
        <f t="shared" si="23"/>
        <v>0</v>
      </c>
    </row>
    <row r="11728" spans="6:10">
      <c r="F11728">
        <f t="shared" si="20"/>
        <v>0</v>
      </c>
      <c r="G11728">
        <f>COUNTIF($D$2:D11728,D11728)</f>
        <v>0</v>
      </c>
      <c r="H11728" t="str">
        <f t="shared" si="21"/>
        <v xml:space="preserve"> - 0</v>
      </c>
      <c r="I11728">
        <f t="shared" si="22"/>
        <v>0</v>
      </c>
      <c r="J11728">
        <f t="shared" si="23"/>
        <v>0</v>
      </c>
    </row>
    <row r="11729" spans="6:10">
      <c r="F11729">
        <f t="shared" si="20"/>
        <v>0</v>
      </c>
      <c r="G11729">
        <f>COUNTIF($D$2:D11729,D11729)</f>
        <v>0</v>
      </c>
      <c r="H11729" t="str">
        <f t="shared" si="21"/>
        <v xml:space="preserve"> - 0</v>
      </c>
      <c r="I11729">
        <f t="shared" si="22"/>
        <v>0</v>
      </c>
      <c r="J11729">
        <f t="shared" si="23"/>
        <v>0</v>
      </c>
    </row>
    <row r="11730" spans="6:10">
      <c r="F11730">
        <f t="shared" si="20"/>
        <v>0</v>
      </c>
      <c r="G11730">
        <f>COUNTIF($D$2:D11730,D11730)</f>
        <v>0</v>
      </c>
      <c r="H11730" t="str">
        <f t="shared" si="21"/>
        <v xml:space="preserve"> - 0</v>
      </c>
      <c r="I11730">
        <f t="shared" si="22"/>
        <v>0</v>
      </c>
      <c r="J11730">
        <f t="shared" si="23"/>
        <v>0</v>
      </c>
    </row>
    <row r="11731" spans="6:10">
      <c r="F11731">
        <f t="shared" si="20"/>
        <v>0</v>
      </c>
      <c r="G11731">
        <f>COUNTIF($D$2:D11731,D11731)</f>
        <v>0</v>
      </c>
      <c r="H11731" t="str">
        <f t="shared" si="21"/>
        <v xml:space="preserve"> - 0</v>
      </c>
      <c r="I11731">
        <f t="shared" si="22"/>
        <v>0</v>
      </c>
      <c r="J11731">
        <f t="shared" si="23"/>
        <v>0</v>
      </c>
    </row>
    <row r="11732" spans="6:10">
      <c r="F11732">
        <f t="shared" si="20"/>
        <v>0</v>
      </c>
      <c r="G11732">
        <f>COUNTIF($D$2:D11732,D11732)</f>
        <v>0</v>
      </c>
      <c r="H11732" t="str">
        <f t="shared" si="21"/>
        <v xml:space="preserve"> - 0</v>
      </c>
      <c r="I11732">
        <f t="shared" si="22"/>
        <v>0</v>
      </c>
      <c r="J11732">
        <f t="shared" si="23"/>
        <v>0</v>
      </c>
    </row>
    <row r="11733" spans="6:10">
      <c r="F11733">
        <f t="shared" si="20"/>
        <v>0</v>
      </c>
      <c r="G11733">
        <f>COUNTIF($D$2:D11733,D11733)</f>
        <v>0</v>
      </c>
      <c r="H11733" t="str">
        <f t="shared" si="21"/>
        <v xml:space="preserve"> - 0</v>
      </c>
      <c r="I11733">
        <f t="shared" si="22"/>
        <v>0</v>
      </c>
      <c r="J11733">
        <f t="shared" si="23"/>
        <v>0</v>
      </c>
    </row>
    <row r="11734" spans="6:10">
      <c r="F11734">
        <f t="shared" si="20"/>
        <v>0</v>
      </c>
      <c r="G11734">
        <f>COUNTIF($D$2:D11734,D11734)</f>
        <v>0</v>
      </c>
      <c r="H11734" t="str">
        <f t="shared" si="21"/>
        <v xml:space="preserve"> - 0</v>
      </c>
      <c r="I11734">
        <f t="shared" si="22"/>
        <v>0</v>
      </c>
      <c r="J11734">
        <f t="shared" si="23"/>
        <v>0</v>
      </c>
    </row>
    <row r="11735" spans="6:10">
      <c r="F11735">
        <f t="shared" si="20"/>
        <v>0</v>
      </c>
      <c r="G11735">
        <f>COUNTIF($D$2:D11735,D11735)</f>
        <v>0</v>
      </c>
      <c r="H11735" t="str">
        <f t="shared" si="21"/>
        <v xml:space="preserve"> - 0</v>
      </c>
      <c r="I11735">
        <f t="shared" si="22"/>
        <v>0</v>
      </c>
      <c r="J11735">
        <f t="shared" si="23"/>
        <v>0</v>
      </c>
    </row>
    <row r="11736" spans="6:10">
      <c r="F11736">
        <f t="shared" si="20"/>
        <v>0</v>
      </c>
      <c r="G11736">
        <f>COUNTIF($D$2:D11736,D11736)</f>
        <v>0</v>
      </c>
      <c r="H11736" t="str">
        <f t="shared" si="21"/>
        <v xml:space="preserve"> - 0</v>
      </c>
      <c r="I11736">
        <f t="shared" si="22"/>
        <v>0</v>
      </c>
      <c r="J11736">
        <f t="shared" si="23"/>
        <v>0</v>
      </c>
    </row>
    <row r="11737" spans="6:10">
      <c r="F11737">
        <f t="shared" si="20"/>
        <v>0</v>
      </c>
      <c r="G11737">
        <f>COUNTIF($D$2:D11737,D11737)</f>
        <v>0</v>
      </c>
      <c r="H11737" t="str">
        <f t="shared" si="21"/>
        <v xml:space="preserve"> - 0</v>
      </c>
      <c r="I11737">
        <f t="shared" si="22"/>
        <v>0</v>
      </c>
      <c r="J11737">
        <f t="shared" si="23"/>
        <v>0</v>
      </c>
    </row>
    <row r="11738" spans="6:10">
      <c r="F11738">
        <f t="shared" si="20"/>
        <v>0</v>
      </c>
      <c r="G11738">
        <f>COUNTIF($D$2:D11738,D11738)</f>
        <v>0</v>
      </c>
      <c r="H11738" t="str">
        <f t="shared" si="21"/>
        <v xml:space="preserve"> - 0</v>
      </c>
      <c r="I11738">
        <f t="shared" si="22"/>
        <v>0</v>
      </c>
      <c r="J11738">
        <f t="shared" si="23"/>
        <v>0</v>
      </c>
    </row>
    <row r="11739" spans="6:10">
      <c r="F11739">
        <f t="shared" si="20"/>
        <v>0</v>
      </c>
      <c r="G11739">
        <f>COUNTIF($D$2:D11739,D11739)</f>
        <v>0</v>
      </c>
      <c r="H11739" t="str">
        <f t="shared" si="21"/>
        <v xml:space="preserve"> - 0</v>
      </c>
      <c r="I11739">
        <f t="shared" si="22"/>
        <v>0</v>
      </c>
      <c r="J11739">
        <f t="shared" si="23"/>
        <v>0</v>
      </c>
    </row>
    <row r="11740" spans="6:10">
      <c r="F11740">
        <f t="shared" si="20"/>
        <v>0</v>
      </c>
      <c r="G11740">
        <f>COUNTIF($D$2:D11740,D11740)</f>
        <v>0</v>
      </c>
      <c r="H11740" t="str">
        <f t="shared" si="21"/>
        <v xml:space="preserve"> - 0</v>
      </c>
      <c r="I11740">
        <f t="shared" si="22"/>
        <v>0</v>
      </c>
      <c r="J11740">
        <f t="shared" si="23"/>
        <v>0</v>
      </c>
    </row>
    <row r="11741" spans="6:10">
      <c r="F11741">
        <f t="shared" si="20"/>
        <v>0</v>
      </c>
      <c r="G11741">
        <f>COUNTIF($D$2:D11741,D11741)</f>
        <v>0</v>
      </c>
      <c r="H11741" t="str">
        <f t="shared" si="21"/>
        <v xml:space="preserve"> - 0</v>
      </c>
      <c r="I11741">
        <f t="shared" si="22"/>
        <v>0</v>
      </c>
      <c r="J11741">
        <f t="shared" si="23"/>
        <v>0</v>
      </c>
    </row>
    <row r="11742" spans="6:10">
      <c r="F11742">
        <f t="shared" si="20"/>
        <v>0</v>
      </c>
      <c r="G11742">
        <f>COUNTIF($D$2:D11742,D11742)</f>
        <v>0</v>
      </c>
      <c r="H11742" t="str">
        <f t="shared" si="21"/>
        <v xml:space="preserve"> - 0</v>
      </c>
      <c r="I11742">
        <f t="shared" si="22"/>
        <v>0</v>
      </c>
      <c r="J11742">
        <f t="shared" si="23"/>
        <v>0</v>
      </c>
    </row>
    <row r="11743" spans="6:10">
      <c r="F11743">
        <f t="shared" si="20"/>
        <v>0</v>
      </c>
      <c r="G11743">
        <f>COUNTIF($D$2:D11743,D11743)</f>
        <v>0</v>
      </c>
      <c r="H11743" t="str">
        <f t="shared" si="21"/>
        <v xml:space="preserve"> - 0</v>
      </c>
      <c r="I11743">
        <f t="shared" si="22"/>
        <v>0</v>
      </c>
      <c r="J11743">
        <f t="shared" si="23"/>
        <v>0</v>
      </c>
    </row>
    <row r="11744" spans="6:10">
      <c r="F11744">
        <f t="shared" si="20"/>
        <v>0</v>
      </c>
      <c r="G11744">
        <f>COUNTIF($D$2:D11744,D11744)</f>
        <v>0</v>
      </c>
      <c r="H11744" t="str">
        <f t="shared" si="21"/>
        <v xml:space="preserve"> - 0</v>
      </c>
      <c r="I11744">
        <f t="shared" si="22"/>
        <v>0</v>
      </c>
      <c r="J11744">
        <f t="shared" si="23"/>
        <v>0</v>
      </c>
    </row>
    <row r="11745" spans="6:10">
      <c r="F11745">
        <f t="shared" si="20"/>
        <v>0</v>
      </c>
      <c r="G11745">
        <f>COUNTIF($D$2:D11745,D11745)</f>
        <v>0</v>
      </c>
      <c r="H11745" t="str">
        <f t="shared" si="21"/>
        <v xml:space="preserve"> - 0</v>
      </c>
      <c r="I11745">
        <f t="shared" si="22"/>
        <v>0</v>
      </c>
      <c r="J11745">
        <f t="shared" si="23"/>
        <v>0</v>
      </c>
    </row>
    <row r="11746" spans="6:10">
      <c r="F11746">
        <f t="shared" si="20"/>
        <v>0</v>
      </c>
      <c r="G11746">
        <f>COUNTIF($D$2:D11746,D11746)</f>
        <v>0</v>
      </c>
      <c r="H11746" t="str">
        <f t="shared" si="21"/>
        <v xml:space="preserve"> - 0</v>
      </c>
      <c r="I11746">
        <f t="shared" si="22"/>
        <v>0</v>
      </c>
      <c r="J11746">
        <f t="shared" si="23"/>
        <v>0</v>
      </c>
    </row>
    <row r="11747" spans="6:10">
      <c r="F11747">
        <f t="shared" si="20"/>
        <v>0</v>
      </c>
      <c r="G11747">
        <f>COUNTIF($D$2:D11747,D11747)</f>
        <v>0</v>
      </c>
      <c r="H11747" t="str">
        <f t="shared" si="21"/>
        <v xml:space="preserve"> - 0</v>
      </c>
      <c r="I11747">
        <f t="shared" si="22"/>
        <v>0</v>
      </c>
      <c r="J11747">
        <f t="shared" si="23"/>
        <v>0</v>
      </c>
    </row>
    <row r="11748" spans="6:10">
      <c r="F11748">
        <f t="shared" si="20"/>
        <v>0</v>
      </c>
      <c r="G11748">
        <f>COUNTIF($D$2:D11748,D11748)</f>
        <v>0</v>
      </c>
      <c r="H11748" t="str">
        <f t="shared" si="21"/>
        <v xml:space="preserve"> - 0</v>
      </c>
      <c r="I11748">
        <f t="shared" si="22"/>
        <v>0</v>
      </c>
      <c r="J11748">
        <f t="shared" si="23"/>
        <v>0</v>
      </c>
    </row>
    <row r="11749" spans="6:10">
      <c r="F11749">
        <f t="shared" si="20"/>
        <v>0</v>
      </c>
      <c r="G11749">
        <f>COUNTIF($D$2:D11749,D11749)</f>
        <v>0</v>
      </c>
      <c r="H11749" t="str">
        <f t="shared" si="21"/>
        <v xml:space="preserve"> - 0</v>
      </c>
      <c r="I11749">
        <f t="shared" si="22"/>
        <v>0</v>
      </c>
      <c r="J11749">
        <f t="shared" si="23"/>
        <v>0</v>
      </c>
    </row>
    <row r="11750" spans="6:10">
      <c r="F11750">
        <f t="shared" si="20"/>
        <v>0</v>
      </c>
      <c r="G11750">
        <f>COUNTIF($D$2:D11750,D11750)</f>
        <v>0</v>
      </c>
      <c r="H11750" t="str">
        <f t="shared" si="21"/>
        <v xml:space="preserve"> - 0</v>
      </c>
      <c r="I11750">
        <f t="shared" si="22"/>
        <v>0</v>
      </c>
      <c r="J11750">
        <f t="shared" si="23"/>
        <v>0</v>
      </c>
    </row>
    <row r="11751" spans="6:10">
      <c r="F11751">
        <f t="shared" si="20"/>
        <v>0</v>
      </c>
      <c r="G11751">
        <f>COUNTIF($D$2:D11751,D11751)</f>
        <v>0</v>
      </c>
      <c r="H11751" t="str">
        <f t="shared" si="21"/>
        <v xml:space="preserve"> - 0</v>
      </c>
      <c r="I11751">
        <f t="shared" si="22"/>
        <v>0</v>
      </c>
      <c r="J11751">
        <f t="shared" si="23"/>
        <v>0</v>
      </c>
    </row>
    <row r="11752" spans="6:10">
      <c r="F11752">
        <f t="shared" si="20"/>
        <v>0</v>
      </c>
      <c r="G11752">
        <f>COUNTIF($D$2:D11752,D11752)</f>
        <v>0</v>
      </c>
      <c r="H11752" t="str">
        <f t="shared" si="21"/>
        <v xml:space="preserve"> - 0</v>
      </c>
      <c r="I11752">
        <f t="shared" si="22"/>
        <v>0</v>
      </c>
      <c r="J11752">
        <f t="shared" si="23"/>
        <v>0</v>
      </c>
    </row>
    <row r="11753" spans="6:10">
      <c r="F11753">
        <f t="shared" ref="F11753:F11816" si="24">COUNTIF($D$2:$D$35910,D11753)</f>
        <v>0</v>
      </c>
      <c r="G11753">
        <f>COUNTIF($D$2:D11753,D11753)</f>
        <v>0</v>
      </c>
      <c r="H11753" t="str">
        <f t="shared" ref="H11753:H11816" si="25">D11753&amp;" - "&amp;G11753&amp;AH11753</f>
        <v xml:space="preserve"> - 0</v>
      </c>
      <c r="I11753">
        <f t="shared" ref="I11753:I11816" si="26">A11753</f>
        <v>0</v>
      </c>
      <c r="J11753">
        <f t="shared" ref="J11753:J11816" si="27">B11753</f>
        <v>0</v>
      </c>
    </row>
    <row r="11754" spans="6:10">
      <c r="F11754">
        <f t="shared" si="24"/>
        <v>0</v>
      </c>
      <c r="G11754">
        <f>COUNTIF($D$2:D11754,D11754)</f>
        <v>0</v>
      </c>
      <c r="H11754" t="str">
        <f t="shared" si="25"/>
        <v xml:space="preserve"> - 0</v>
      </c>
      <c r="I11754">
        <f t="shared" si="26"/>
        <v>0</v>
      </c>
      <c r="J11754">
        <f t="shared" si="27"/>
        <v>0</v>
      </c>
    </row>
    <row r="11755" spans="6:10">
      <c r="F11755">
        <f t="shared" si="24"/>
        <v>0</v>
      </c>
      <c r="G11755">
        <f>COUNTIF($D$2:D11755,D11755)</f>
        <v>0</v>
      </c>
      <c r="H11755" t="str">
        <f t="shared" si="25"/>
        <v xml:space="preserve"> - 0</v>
      </c>
      <c r="I11755">
        <f t="shared" si="26"/>
        <v>0</v>
      </c>
      <c r="J11755">
        <f t="shared" si="27"/>
        <v>0</v>
      </c>
    </row>
    <row r="11756" spans="6:10">
      <c r="F11756">
        <f t="shared" si="24"/>
        <v>0</v>
      </c>
      <c r="G11756">
        <f>COUNTIF($D$2:D11756,D11756)</f>
        <v>0</v>
      </c>
      <c r="H11756" t="str">
        <f t="shared" si="25"/>
        <v xml:space="preserve"> - 0</v>
      </c>
      <c r="I11756">
        <f t="shared" si="26"/>
        <v>0</v>
      </c>
      <c r="J11756">
        <f t="shared" si="27"/>
        <v>0</v>
      </c>
    </row>
    <row r="11757" spans="6:10">
      <c r="F11757">
        <f t="shared" si="24"/>
        <v>0</v>
      </c>
      <c r="G11757">
        <f>COUNTIF($D$2:D11757,D11757)</f>
        <v>0</v>
      </c>
      <c r="H11757" t="str">
        <f t="shared" si="25"/>
        <v xml:space="preserve"> - 0</v>
      </c>
      <c r="I11757">
        <f t="shared" si="26"/>
        <v>0</v>
      </c>
      <c r="J11757">
        <f t="shared" si="27"/>
        <v>0</v>
      </c>
    </row>
    <row r="11758" spans="6:10">
      <c r="F11758">
        <f t="shared" si="24"/>
        <v>0</v>
      </c>
      <c r="G11758">
        <f>COUNTIF($D$2:D11758,D11758)</f>
        <v>0</v>
      </c>
      <c r="H11758" t="str">
        <f t="shared" si="25"/>
        <v xml:space="preserve"> - 0</v>
      </c>
      <c r="I11758">
        <f t="shared" si="26"/>
        <v>0</v>
      </c>
      <c r="J11758">
        <f t="shared" si="27"/>
        <v>0</v>
      </c>
    </row>
    <row r="11759" spans="6:10">
      <c r="F11759">
        <f t="shared" si="24"/>
        <v>0</v>
      </c>
      <c r="G11759">
        <f>COUNTIF($D$2:D11759,D11759)</f>
        <v>0</v>
      </c>
      <c r="H11759" t="str">
        <f t="shared" si="25"/>
        <v xml:space="preserve"> - 0</v>
      </c>
      <c r="I11759">
        <f t="shared" si="26"/>
        <v>0</v>
      </c>
      <c r="J11759">
        <f t="shared" si="27"/>
        <v>0</v>
      </c>
    </row>
    <row r="11760" spans="6:10">
      <c r="F11760">
        <f t="shared" si="24"/>
        <v>0</v>
      </c>
      <c r="G11760">
        <f>COUNTIF($D$2:D11760,D11760)</f>
        <v>0</v>
      </c>
      <c r="H11760" t="str">
        <f t="shared" si="25"/>
        <v xml:space="preserve"> - 0</v>
      </c>
      <c r="I11760">
        <f t="shared" si="26"/>
        <v>0</v>
      </c>
      <c r="J11760">
        <f t="shared" si="27"/>
        <v>0</v>
      </c>
    </row>
    <row r="11761" spans="6:10">
      <c r="F11761">
        <f t="shared" si="24"/>
        <v>0</v>
      </c>
      <c r="G11761">
        <f>COUNTIF($D$2:D11761,D11761)</f>
        <v>0</v>
      </c>
      <c r="H11761" t="str">
        <f t="shared" si="25"/>
        <v xml:space="preserve"> - 0</v>
      </c>
      <c r="I11761">
        <f t="shared" si="26"/>
        <v>0</v>
      </c>
      <c r="J11761">
        <f t="shared" si="27"/>
        <v>0</v>
      </c>
    </row>
    <row r="11762" spans="6:10">
      <c r="F11762">
        <f t="shared" si="24"/>
        <v>0</v>
      </c>
      <c r="G11762">
        <f>COUNTIF($D$2:D11762,D11762)</f>
        <v>0</v>
      </c>
      <c r="H11762" t="str">
        <f t="shared" si="25"/>
        <v xml:space="preserve"> - 0</v>
      </c>
      <c r="I11762">
        <f t="shared" si="26"/>
        <v>0</v>
      </c>
      <c r="J11762">
        <f t="shared" si="27"/>
        <v>0</v>
      </c>
    </row>
    <row r="11763" spans="6:10">
      <c r="F11763">
        <f t="shared" si="24"/>
        <v>0</v>
      </c>
      <c r="G11763">
        <f>COUNTIF($D$2:D11763,D11763)</f>
        <v>0</v>
      </c>
      <c r="H11763" t="str">
        <f t="shared" si="25"/>
        <v xml:space="preserve"> - 0</v>
      </c>
      <c r="I11763">
        <f t="shared" si="26"/>
        <v>0</v>
      </c>
      <c r="J11763">
        <f t="shared" si="27"/>
        <v>0</v>
      </c>
    </row>
    <row r="11764" spans="6:10">
      <c r="F11764">
        <f t="shared" si="24"/>
        <v>0</v>
      </c>
      <c r="G11764">
        <f>COUNTIF($D$2:D11764,D11764)</f>
        <v>0</v>
      </c>
      <c r="H11764" t="str">
        <f t="shared" si="25"/>
        <v xml:space="preserve"> - 0</v>
      </c>
      <c r="I11764">
        <f t="shared" si="26"/>
        <v>0</v>
      </c>
      <c r="J11764">
        <f t="shared" si="27"/>
        <v>0</v>
      </c>
    </row>
    <row r="11765" spans="6:10">
      <c r="F11765">
        <f t="shared" si="24"/>
        <v>0</v>
      </c>
      <c r="G11765">
        <f>COUNTIF($D$2:D11765,D11765)</f>
        <v>0</v>
      </c>
      <c r="H11765" t="str">
        <f t="shared" si="25"/>
        <v xml:space="preserve"> - 0</v>
      </c>
      <c r="I11765">
        <f t="shared" si="26"/>
        <v>0</v>
      </c>
      <c r="J11765">
        <f t="shared" si="27"/>
        <v>0</v>
      </c>
    </row>
    <row r="11766" spans="6:10">
      <c r="F11766">
        <f t="shared" si="24"/>
        <v>0</v>
      </c>
      <c r="G11766">
        <f>COUNTIF($D$2:D11766,D11766)</f>
        <v>0</v>
      </c>
      <c r="H11766" t="str">
        <f t="shared" si="25"/>
        <v xml:space="preserve"> - 0</v>
      </c>
      <c r="I11766">
        <f t="shared" si="26"/>
        <v>0</v>
      </c>
      <c r="J11766">
        <f t="shared" si="27"/>
        <v>0</v>
      </c>
    </row>
    <row r="11767" spans="6:10">
      <c r="F11767">
        <f t="shared" si="24"/>
        <v>0</v>
      </c>
      <c r="G11767">
        <f>COUNTIF($D$2:D11767,D11767)</f>
        <v>0</v>
      </c>
      <c r="H11767" t="str">
        <f t="shared" si="25"/>
        <v xml:space="preserve"> - 0</v>
      </c>
      <c r="I11767">
        <f t="shared" si="26"/>
        <v>0</v>
      </c>
      <c r="J11767">
        <f t="shared" si="27"/>
        <v>0</v>
      </c>
    </row>
    <row r="11768" spans="6:10">
      <c r="F11768">
        <f t="shared" si="24"/>
        <v>0</v>
      </c>
      <c r="G11768">
        <f>COUNTIF($D$2:D11768,D11768)</f>
        <v>0</v>
      </c>
      <c r="H11768" t="str">
        <f t="shared" si="25"/>
        <v xml:space="preserve"> - 0</v>
      </c>
      <c r="I11768">
        <f t="shared" si="26"/>
        <v>0</v>
      </c>
      <c r="J11768">
        <f t="shared" si="27"/>
        <v>0</v>
      </c>
    </row>
    <row r="11769" spans="6:10">
      <c r="F11769">
        <f t="shared" si="24"/>
        <v>0</v>
      </c>
      <c r="G11769">
        <f>COUNTIF($D$2:D11769,D11769)</f>
        <v>0</v>
      </c>
      <c r="H11769" t="str">
        <f t="shared" si="25"/>
        <v xml:space="preserve"> - 0</v>
      </c>
      <c r="I11769">
        <f t="shared" si="26"/>
        <v>0</v>
      </c>
      <c r="J11769">
        <f t="shared" si="27"/>
        <v>0</v>
      </c>
    </row>
    <row r="11770" spans="6:10">
      <c r="F11770">
        <f t="shared" si="24"/>
        <v>0</v>
      </c>
      <c r="G11770">
        <f>COUNTIF($D$2:D11770,D11770)</f>
        <v>0</v>
      </c>
      <c r="H11770" t="str">
        <f t="shared" si="25"/>
        <v xml:space="preserve"> - 0</v>
      </c>
      <c r="I11770">
        <f t="shared" si="26"/>
        <v>0</v>
      </c>
      <c r="J11770">
        <f t="shared" si="27"/>
        <v>0</v>
      </c>
    </row>
    <row r="11771" spans="6:10">
      <c r="F11771">
        <f t="shared" si="24"/>
        <v>0</v>
      </c>
      <c r="G11771">
        <f>COUNTIF($D$2:D11771,D11771)</f>
        <v>0</v>
      </c>
      <c r="H11771" t="str">
        <f t="shared" si="25"/>
        <v xml:space="preserve"> - 0</v>
      </c>
      <c r="I11771">
        <f t="shared" si="26"/>
        <v>0</v>
      </c>
      <c r="J11771">
        <f t="shared" si="27"/>
        <v>0</v>
      </c>
    </row>
    <row r="11772" spans="6:10">
      <c r="F11772">
        <f t="shared" si="24"/>
        <v>0</v>
      </c>
      <c r="G11772">
        <f>COUNTIF($D$2:D11772,D11772)</f>
        <v>0</v>
      </c>
      <c r="H11772" t="str">
        <f t="shared" si="25"/>
        <v xml:space="preserve"> - 0</v>
      </c>
      <c r="I11772">
        <f t="shared" si="26"/>
        <v>0</v>
      </c>
      <c r="J11772">
        <f t="shared" si="27"/>
        <v>0</v>
      </c>
    </row>
    <row r="11773" spans="6:10">
      <c r="F11773">
        <f t="shared" si="24"/>
        <v>0</v>
      </c>
      <c r="G11773">
        <f>COUNTIF($D$2:D11773,D11773)</f>
        <v>0</v>
      </c>
      <c r="H11773" t="str">
        <f t="shared" si="25"/>
        <v xml:space="preserve"> - 0</v>
      </c>
      <c r="I11773">
        <f t="shared" si="26"/>
        <v>0</v>
      </c>
      <c r="J11773">
        <f t="shared" si="27"/>
        <v>0</v>
      </c>
    </row>
    <row r="11774" spans="6:10">
      <c r="F11774">
        <f t="shared" si="24"/>
        <v>0</v>
      </c>
      <c r="G11774">
        <f>COUNTIF($D$2:D11774,D11774)</f>
        <v>0</v>
      </c>
      <c r="H11774" t="str">
        <f t="shared" si="25"/>
        <v xml:space="preserve"> - 0</v>
      </c>
      <c r="I11774">
        <f t="shared" si="26"/>
        <v>0</v>
      </c>
      <c r="J11774">
        <f t="shared" si="27"/>
        <v>0</v>
      </c>
    </row>
    <row r="11775" spans="6:10">
      <c r="F11775">
        <f t="shared" si="24"/>
        <v>0</v>
      </c>
      <c r="G11775">
        <f>COUNTIF($D$2:D11775,D11775)</f>
        <v>0</v>
      </c>
      <c r="H11775" t="str">
        <f t="shared" si="25"/>
        <v xml:space="preserve"> - 0</v>
      </c>
      <c r="I11775">
        <f t="shared" si="26"/>
        <v>0</v>
      </c>
      <c r="J11775">
        <f t="shared" si="27"/>
        <v>0</v>
      </c>
    </row>
    <row r="11776" spans="6:10">
      <c r="F11776">
        <f t="shared" si="24"/>
        <v>0</v>
      </c>
      <c r="G11776">
        <f>COUNTIF($D$2:D11776,D11776)</f>
        <v>0</v>
      </c>
      <c r="H11776" t="str">
        <f t="shared" si="25"/>
        <v xml:space="preserve"> - 0</v>
      </c>
      <c r="I11776">
        <f t="shared" si="26"/>
        <v>0</v>
      </c>
      <c r="J11776">
        <f t="shared" si="27"/>
        <v>0</v>
      </c>
    </row>
    <row r="11777" spans="6:10">
      <c r="F11777">
        <f t="shared" si="24"/>
        <v>0</v>
      </c>
      <c r="G11777">
        <f>COUNTIF($D$2:D11777,D11777)</f>
        <v>0</v>
      </c>
      <c r="H11777" t="str">
        <f t="shared" si="25"/>
        <v xml:space="preserve"> - 0</v>
      </c>
      <c r="I11777">
        <f t="shared" si="26"/>
        <v>0</v>
      </c>
      <c r="J11777">
        <f t="shared" si="27"/>
        <v>0</v>
      </c>
    </row>
    <row r="11778" spans="6:10">
      <c r="F11778">
        <f t="shared" si="24"/>
        <v>0</v>
      </c>
      <c r="G11778">
        <f>COUNTIF($D$2:D11778,D11778)</f>
        <v>0</v>
      </c>
      <c r="H11778" t="str">
        <f t="shared" si="25"/>
        <v xml:space="preserve"> - 0</v>
      </c>
      <c r="I11778">
        <f t="shared" si="26"/>
        <v>0</v>
      </c>
      <c r="J11778">
        <f t="shared" si="27"/>
        <v>0</v>
      </c>
    </row>
    <row r="11779" spans="6:10">
      <c r="F11779">
        <f t="shared" si="24"/>
        <v>0</v>
      </c>
      <c r="G11779">
        <f>COUNTIF($D$2:D11779,D11779)</f>
        <v>0</v>
      </c>
      <c r="H11779" t="str">
        <f t="shared" si="25"/>
        <v xml:space="preserve"> - 0</v>
      </c>
      <c r="I11779">
        <f t="shared" si="26"/>
        <v>0</v>
      </c>
      <c r="J11779">
        <f t="shared" si="27"/>
        <v>0</v>
      </c>
    </row>
    <row r="11780" spans="6:10">
      <c r="F11780">
        <f t="shared" si="24"/>
        <v>0</v>
      </c>
      <c r="G11780">
        <f>COUNTIF($D$2:D11780,D11780)</f>
        <v>0</v>
      </c>
      <c r="H11780" t="str">
        <f t="shared" si="25"/>
        <v xml:space="preserve"> - 0</v>
      </c>
      <c r="I11780">
        <f t="shared" si="26"/>
        <v>0</v>
      </c>
      <c r="J11780">
        <f t="shared" si="27"/>
        <v>0</v>
      </c>
    </row>
    <row r="11781" spans="6:10">
      <c r="F11781">
        <f t="shared" si="24"/>
        <v>0</v>
      </c>
      <c r="G11781">
        <f>COUNTIF($D$2:D11781,D11781)</f>
        <v>0</v>
      </c>
      <c r="H11781" t="str">
        <f t="shared" si="25"/>
        <v xml:space="preserve"> - 0</v>
      </c>
      <c r="I11781">
        <f t="shared" si="26"/>
        <v>0</v>
      </c>
      <c r="J11781">
        <f t="shared" si="27"/>
        <v>0</v>
      </c>
    </row>
    <row r="11782" spans="6:10">
      <c r="F11782">
        <f t="shared" si="24"/>
        <v>0</v>
      </c>
      <c r="G11782">
        <f>COUNTIF($D$2:D11782,D11782)</f>
        <v>0</v>
      </c>
      <c r="H11782" t="str">
        <f t="shared" si="25"/>
        <v xml:space="preserve"> - 0</v>
      </c>
      <c r="I11782">
        <f t="shared" si="26"/>
        <v>0</v>
      </c>
      <c r="J11782">
        <f t="shared" si="27"/>
        <v>0</v>
      </c>
    </row>
    <row r="11783" spans="6:10">
      <c r="F11783">
        <f t="shared" si="24"/>
        <v>0</v>
      </c>
      <c r="G11783">
        <f>COUNTIF($D$2:D11783,D11783)</f>
        <v>0</v>
      </c>
      <c r="H11783" t="str">
        <f t="shared" si="25"/>
        <v xml:space="preserve"> - 0</v>
      </c>
      <c r="I11783">
        <f t="shared" si="26"/>
        <v>0</v>
      </c>
      <c r="J11783">
        <f t="shared" si="27"/>
        <v>0</v>
      </c>
    </row>
    <row r="11784" spans="6:10">
      <c r="F11784">
        <f t="shared" si="24"/>
        <v>0</v>
      </c>
      <c r="G11784">
        <f>COUNTIF($D$2:D11784,D11784)</f>
        <v>0</v>
      </c>
      <c r="H11784" t="str">
        <f t="shared" si="25"/>
        <v xml:space="preserve"> - 0</v>
      </c>
      <c r="I11784">
        <f t="shared" si="26"/>
        <v>0</v>
      </c>
      <c r="J11784">
        <f t="shared" si="27"/>
        <v>0</v>
      </c>
    </row>
    <row r="11785" spans="6:10">
      <c r="F11785">
        <f t="shared" si="24"/>
        <v>0</v>
      </c>
      <c r="G11785">
        <f>COUNTIF($D$2:D11785,D11785)</f>
        <v>0</v>
      </c>
      <c r="H11785" t="str">
        <f t="shared" si="25"/>
        <v xml:space="preserve"> - 0</v>
      </c>
      <c r="I11785">
        <f t="shared" si="26"/>
        <v>0</v>
      </c>
      <c r="J11785">
        <f t="shared" si="27"/>
        <v>0</v>
      </c>
    </row>
    <row r="11786" spans="6:10">
      <c r="F11786">
        <f t="shared" si="24"/>
        <v>0</v>
      </c>
      <c r="G11786">
        <f>COUNTIF($D$2:D11786,D11786)</f>
        <v>0</v>
      </c>
      <c r="H11786" t="str">
        <f t="shared" si="25"/>
        <v xml:space="preserve"> - 0</v>
      </c>
      <c r="I11786">
        <f t="shared" si="26"/>
        <v>0</v>
      </c>
      <c r="J11786">
        <f t="shared" si="27"/>
        <v>0</v>
      </c>
    </row>
    <row r="11787" spans="6:10">
      <c r="F11787">
        <f t="shared" si="24"/>
        <v>0</v>
      </c>
      <c r="G11787">
        <f>COUNTIF($D$2:D11787,D11787)</f>
        <v>0</v>
      </c>
      <c r="H11787" t="str">
        <f t="shared" si="25"/>
        <v xml:space="preserve"> - 0</v>
      </c>
      <c r="I11787">
        <f t="shared" si="26"/>
        <v>0</v>
      </c>
      <c r="J11787">
        <f t="shared" si="27"/>
        <v>0</v>
      </c>
    </row>
    <row r="11788" spans="6:10">
      <c r="F11788">
        <f t="shared" si="24"/>
        <v>0</v>
      </c>
      <c r="G11788">
        <f>COUNTIF($D$2:D11788,D11788)</f>
        <v>0</v>
      </c>
      <c r="H11788" t="str">
        <f t="shared" si="25"/>
        <v xml:space="preserve"> - 0</v>
      </c>
      <c r="I11788">
        <f t="shared" si="26"/>
        <v>0</v>
      </c>
      <c r="J11788">
        <f t="shared" si="27"/>
        <v>0</v>
      </c>
    </row>
    <row r="11789" spans="6:10">
      <c r="F11789">
        <f t="shared" si="24"/>
        <v>0</v>
      </c>
      <c r="G11789">
        <f>COUNTIF($D$2:D11789,D11789)</f>
        <v>0</v>
      </c>
      <c r="H11789" t="str">
        <f t="shared" si="25"/>
        <v xml:space="preserve"> - 0</v>
      </c>
      <c r="I11789">
        <f t="shared" si="26"/>
        <v>0</v>
      </c>
      <c r="J11789">
        <f t="shared" si="27"/>
        <v>0</v>
      </c>
    </row>
    <row r="11790" spans="6:10">
      <c r="F11790">
        <f t="shared" si="24"/>
        <v>0</v>
      </c>
      <c r="G11790">
        <f>COUNTIF($D$2:D11790,D11790)</f>
        <v>0</v>
      </c>
      <c r="H11790" t="str">
        <f t="shared" si="25"/>
        <v xml:space="preserve"> - 0</v>
      </c>
      <c r="I11790">
        <f t="shared" si="26"/>
        <v>0</v>
      </c>
      <c r="J11790">
        <f t="shared" si="27"/>
        <v>0</v>
      </c>
    </row>
    <row r="11791" spans="6:10">
      <c r="F11791">
        <f t="shared" si="24"/>
        <v>0</v>
      </c>
      <c r="G11791">
        <f>COUNTIF($D$2:D11791,D11791)</f>
        <v>0</v>
      </c>
      <c r="H11791" t="str">
        <f t="shared" si="25"/>
        <v xml:space="preserve"> - 0</v>
      </c>
      <c r="I11791">
        <f t="shared" si="26"/>
        <v>0</v>
      </c>
      <c r="J11791">
        <f t="shared" si="27"/>
        <v>0</v>
      </c>
    </row>
    <row r="11792" spans="6:10">
      <c r="F11792">
        <f t="shared" si="24"/>
        <v>0</v>
      </c>
      <c r="G11792">
        <f>COUNTIF($D$2:D11792,D11792)</f>
        <v>0</v>
      </c>
      <c r="H11792" t="str">
        <f t="shared" si="25"/>
        <v xml:space="preserve"> - 0</v>
      </c>
      <c r="I11792">
        <f t="shared" si="26"/>
        <v>0</v>
      </c>
      <c r="J11792">
        <f t="shared" si="27"/>
        <v>0</v>
      </c>
    </row>
    <row r="11793" spans="6:10">
      <c r="F11793">
        <f t="shared" si="24"/>
        <v>0</v>
      </c>
      <c r="G11793">
        <f>COUNTIF($D$2:D11793,D11793)</f>
        <v>0</v>
      </c>
      <c r="H11793" t="str">
        <f t="shared" si="25"/>
        <v xml:space="preserve"> - 0</v>
      </c>
      <c r="I11793">
        <f t="shared" si="26"/>
        <v>0</v>
      </c>
      <c r="J11793">
        <f t="shared" si="27"/>
        <v>0</v>
      </c>
    </row>
    <row r="11794" spans="6:10">
      <c r="F11794">
        <f t="shared" si="24"/>
        <v>0</v>
      </c>
      <c r="G11794">
        <f>COUNTIF($D$2:D11794,D11794)</f>
        <v>0</v>
      </c>
      <c r="H11794" t="str">
        <f t="shared" si="25"/>
        <v xml:space="preserve"> - 0</v>
      </c>
      <c r="I11794">
        <f t="shared" si="26"/>
        <v>0</v>
      </c>
      <c r="J11794">
        <f t="shared" si="27"/>
        <v>0</v>
      </c>
    </row>
    <row r="11795" spans="6:10">
      <c r="F11795">
        <f t="shared" si="24"/>
        <v>0</v>
      </c>
      <c r="G11795">
        <f>COUNTIF($D$2:D11795,D11795)</f>
        <v>0</v>
      </c>
      <c r="H11795" t="str">
        <f t="shared" si="25"/>
        <v xml:space="preserve"> - 0</v>
      </c>
      <c r="I11795">
        <f t="shared" si="26"/>
        <v>0</v>
      </c>
      <c r="J11795">
        <f t="shared" si="27"/>
        <v>0</v>
      </c>
    </row>
    <row r="11796" spans="6:10">
      <c r="F11796">
        <f t="shared" si="24"/>
        <v>0</v>
      </c>
      <c r="G11796">
        <f>COUNTIF($D$2:D11796,D11796)</f>
        <v>0</v>
      </c>
      <c r="H11796" t="str">
        <f t="shared" si="25"/>
        <v xml:space="preserve"> - 0</v>
      </c>
      <c r="I11796">
        <f t="shared" si="26"/>
        <v>0</v>
      </c>
      <c r="J11796">
        <f t="shared" si="27"/>
        <v>0</v>
      </c>
    </row>
    <row r="11797" spans="6:10">
      <c r="F11797">
        <f t="shared" si="24"/>
        <v>0</v>
      </c>
      <c r="G11797">
        <f>COUNTIF($D$2:D11797,D11797)</f>
        <v>0</v>
      </c>
      <c r="H11797" t="str">
        <f t="shared" si="25"/>
        <v xml:space="preserve"> - 0</v>
      </c>
      <c r="I11797">
        <f t="shared" si="26"/>
        <v>0</v>
      </c>
      <c r="J11797">
        <f t="shared" si="27"/>
        <v>0</v>
      </c>
    </row>
    <row r="11798" spans="6:10">
      <c r="F11798">
        <f t="shared" si="24"/>
        <v>0</v>
      </c>
      <c r="G11798">
        <f>COUNTIF($D$2:D11798,D11798)</f>
        <v>0</v>
      </c>
      <c r="H11798" t="str">
        <f t="shared" si="25"/>
        <v xml:space="preserve"> - 0</v>
      </c>
      <c r="I11798">
        <f t="shared" si="26"/>
        <v>0</v>
      </c>
      <c r="J11798">
        <f t="shared" si="27"/>
        <v>0</v>
      </c>
    </row>
    <row r="11799" spans="6:10">
      <c r="F11799">
        <f t="shared" si="24"/>
        <v>0</v>
      </c>
      <c r="G11799">
        <f>COUNTIF($D$2:D11799,D11799)</f>
        <v>0</v>
      </c>
      <c r="H11799" t="str">
        <f t="shared" si="25"/>
        <v xml:space="preserve"> - 0</v>
      </c>
      <c r="I11799">
        <f t="shared" si="26"/>
        <v>0</v>
      </c>
      <c r="J11799">
        <f t="shared" si="27"/>
        <v>0</v>
      </c>
    </row>
    <row r="11800" spans="6:10">
      <c r="F11800">
        <f t="shared" si="24"/>
        <v>0</v>
      </c>
      <c r="G11800">
        <f>COUNTIF($D$2:D11800,D11800)</f>
        <v>0</v>
      </c>
      <c r="H11800" t="str">
        <f t="shared" si="25"/>
        <v xml:space="preserve"> - 0</v>
      </c>
      <c r="I11800">
        <f t="shared" si="26"/>
        <v>0</v>
      </c>
      <c r="J11800">
        <f t="shared" si="27"/>
        <v>0</v>
      </c>
    </row>
    <row r="11801" spans="6:10">
      <c r="F11801">
        <f t="shared" si="24"/>
        <v>0</v>
      </c>
      <c r="G11801">
        <f>COUNTIF($D$2:D11801,D11801)</f>
        <v>0</v>
      </c>
      <c r="H11801" t="str">
        <f t="shared" si="25"/>
        <v xml:space="preserve"> - 0</v>
      </c>
      <c r="I11801">
        <f t="shared" si="26"/>
        <v>0</v>
      </c>
      <c r="J11801">
        <f t="shared" si="27"/>
        <v>0</v>
      </c>
    </row>
    <row r="11802" spans="6:10">
      <c r="F11802">
        <f t="shared" si="24"/>
        <v>0</v>
      </c>
      <c r="G11802">
        <f>COUNTIF($D$2:D11802,D11802)</f>
        <v>0</v>
      </c>
      <c r="H11802" t="str">
        <f t="shared" si="25"/>
        <v xml:space="preserve"> - 0</v>
      </c>
      <c r="I11802">
        <f t="shared" si="26"/>
        <v>0</v>
      </c>
      <c r="J11802">
        <f t="shared" si="27"/>
        <v>0</v>
      </c>
    </row>
    <row r="11803" spans="6:10">
      <c r="F11803">
        <f t="shared" si="24"/>
        <v>0</v>
      </c>
      <c r="G11803">
        <f>COUNTIF($D$2:D11803,D11803)</f>
        <v>0</v>
      </c>
      <c r="H11803" t="str">
        <f t="shared" si="25"/>
        <v xml:space="preserve"> - 0</v>
      </c>
      <c r="I11803">
        <f t="shared" si="26"/>
        <v>0</v>
      </c>
      <c r="J11803">
        <f t="shared" si="27"/>
        <v>0</v>
      </c>
    </row>
    <row r="11804" spans="6:10">
      <c r="F11804">
        <f t="shared" si="24"/>
        <v>0</v>
      </c>
      <c r="G11804">
        <f>COUNTIF($D$2:D11804,D11804)</f>
        <v>0</v>
      </c>
      <c r="H11804" t="str">
        <f t="shared" si="25"/>
        <v xml:space="preserve"> - 0</v>
      </c>
      <c r="I11804">
        <f t="shared" si="26"/>
        <v>0</v>
      </c>
      <c r="J11804">
        <f t="shared" si="27"/>
        <v>0</v>
      </c>
    </row>
    <row r="11805" spans="6:10">
      <c r="F11805">
        <f t="shared" si="24"/>
        <v>0</v>
      </c>
      <c r="G11805">
        <f>COUNTIF($D$2:D11805,D11805)</f>
        <v>0</v>
      </c>
      <c r="H11805" t="str">
        <f t="shared" si="25"/>
        <v xml:space="preserve"> - 0</v>
      </c>
      <c r="I11805">
        <f t="shared" si="26"/>
        <v>0</v>
      </c>
      <c r="J11805">
        <f t="shared" si="27"/>
        <v>0</v>
      </c>
    </row>
    <row r="11806" spans="6:10">
      <c r="F11806">
        <f t="shared" si="24"/>
        <v>0</v>
      </c>
      <c r="G11806">
        <f>COUNTIF($D$2:D11806,D11806)</f>
        <v>0</v>
      </c>
      <c r="H11806" t="str">
        <f t="shared" si="25"/>
        <v xml:space="preserve"> - 0</v>
      </c>
      <c r="I11806">
        <f t="shared" si="26"/>
        <v>0</v>
      </c>
      <c r="J11806">
        <f t="shared" si="27"/>
        <v>0</v>
      </c>
    </row>
    <row r="11807" spans="6:10">
      <c r="F11807">
        <f t="shared" si="24"/>
        <v>0</v>
      </c>
      <c r="G11807">
        <f>COUNTIF($D$2:D11807,D11807)</f>
        <v>0</v>
      </c>
      <c r="H11807" t="str">
        <f t="shared" si="25"/>
        <v xml:space="preserve"> - 0</v>
      </c>
      <c r="I11807">
        <f t="shared" si="26"/>
        <v>0</v>
      </c>
      <c r="J11807">
        <f t="shared" si="27"/>
        <v>0</v>
      </c>
    </row>
    <row r="11808" spans="6:10">
      <c r="F11808">
        <f t="shared" si="24"/>
        <v>0</v>
      </c>
      <c r="G11808">
        <f>COUNTIF($D$2:D11808,D11808)</f>
        <v>0</v>
      </c>
      <c r="H11808" t="str">
        <f t="shared" si="25"/>
        <v xml:space="preserve"> - 0</v>
      </c>
      <c r="I11808">
        <f t="shared" si="26"/>
        <v>0</v>
      </c>
      <c r="J11808">
        <f t="shared" si="27"/>
        <v>0</v>
      </c>
    </row>
    <row r="11809" spans="6:10">
      <c r="F11809">
        <f t="shared" si="24"/>
        <v>0</v>
      </c>
      <c r="G11809">
        <f>COUNTIF($D$2:D11809,D11809)</f>
        <v>0</v>
      </c>
      <c r="H11809" t="str">
        <f t="shared" si="25"/>
        <v xml:space="preserve"> - 0</v>
      </c>
      <c r="I11809">
        <f t="shared" si="26"/>
        <v>0</v>
      </c>
      <c r="J11809">
        <f t="shared" si="27"/>
        <v>0</v>
      </c>
    </row>
    <row r="11810" spans="6:10">
      <c r="F11810">
        <f t="shared" si="24"/>
        <v>0</v>
      </c>
      <c r="G11810">
        <f>COUNTIF($D$2:D11810,D11810)</f>
        <v>0</v>
      </c>
      <c r="H11810" t="str">
        <f t="shared" si="25"/>
        <v xml:space="preserve"> - 0</v>
      </c>
      <c r="I11810">
        <f t="shared" si="26"/>
        <v>0</v>
      </c>
      <c r="J11810">
        <f t="shared" si="27"/>
        <v>0</v>
      </c>
    </row>
    <row r="11811" spans="6:10">
      <c r="F11811">
        <f t="shared" si="24"/>
        <v>0</v>
      </c>
      <c r="G11811">
        <f>COUNTIF($D$2:D11811,D11811)</f>
        <v>0</v>
      </c>
      <c r="H11811" t="str">
        <f t="shared" si="25"/>
        <v xml:space="preserve"> - 0</v>
      </c>
      <c r="I11811">
        <f t="shared" si="26"/>
        <v>0</v>
      </c>
      <c r="J11811">
        <f t="shared" si="27"/>
        <v>0</v>
      </c>
    </row>
    <row r="11812" spans="6:10">
      <c r="F11812">
        <f t="shared" si="24"/>
        <v>0</v>
      </c>
      <c r="G11812">
        <f>COUNTIF($D$2:D11812,D11812)</f>
        <v>0</v>
      </c>
      <c r="H11812" t="str">
        <f t="shared" si="25"/>
        <v xml:space="preserve"> - 0</v>
      </c>
      <c r="I11812">
        <f t="shared" si="26"/>
        <v>0</v>
      </c>
      <c r="J11812">
        <f t="shared" si="27"/>
        <v>0</v>
      </c>
    </row>
    <row r="11813" spans="6:10">
      <c r="F11813">
        <f t="shared" si="24"/>
        <v>0</v>
      </c>
      <c r="G11813">
        <f>COUNTIF($D$2:D11813,D11813)</f>
        <v>0</v>
      </c>
      <c r="H11813" t="str">
        <f t="shared" si="25"/>
        <v xml:space="preserve"> - 0</v>
      </c>
      <c r="I11813">
        <f t="shared" si="26"/>
        <v>0</v>
      </c>
      <c r="J11813">
        <f t="shared" si="27"/>
        <v>0</v>
      </c>
    </row>
    <row r="11814" spans="6:10">
      <c r="F11814">
        <f t="shared" si="24"/>
        <v>0</v>
      </c>
      <c r="G11814">
        <f>COUNTIF($D$2:D11814,D11814)</f>
        <v>0</v>
      </c>
      <c r="H11814" t="str">
        <f t="shared" si="25"/>
        <v xml:space="preserve"> - 0</v>
      </c>
      <c r="I11814">
        <f t="shared" si="26"/>
        <v>0</v>
      </c>
      <c r="J11814">
        <f t="shared" si="27"/>
        <v>0</v>
      </c>
    </row>
    <row r="11815" spans="6:10">
      <c r="F11815">
        <f t="shared" si="24"/>
        <v>0</v>
      </c>
      <c r="G11815">
        <f>COUNTIF($D$2:D11815,D11815)</f>
        <v>0</v>
      </c>
      <c r="H11815" t="str">
        <f t="shared" si="25"/>
        <v xml:space="preserve"> - 0</v>
      </c>
      <c r="I11815">
        <f t="shared" si="26"/>
        <v>0</v>
      </c>
      <c r="J11815">
        <f t="shared" si="27"/>
        <v>0</v>
      </c>
    </row>
    <row r="11816" spans="6:10">
      <c r="F11816">
        <f t="shared" si="24"/>
        <v>0</v>
      </c>
      <c r="G11816">
        <f>COUNTIF($D$2:D11816,D11816)</f>
        <v>0</v>
      </c>
      <c r="H11816" t="str">
        <f t="shared" si="25"/>
        <v xml:space="preserve"> - 0</v>
      </c>
      <c r="I11816">
        <f t="shared" si="26"/>
        <v>0</v>
      </c>
      <c r="J11816">
        <f t="shared" si="27"/>
        <v>0</v>
      </c>
    </row>
    <row r="11817" spans="6:10">
      <c r="F11817">
        <f t="shared" ref="F11817:F11880" si="28">COUNTIF($D$2:$D$35910,D11817)</f>
        <v>0</v>
      </c>
      <c r="G11817">
        <f>COUNTIF($D$2:D11817,D11817)</f>
        <v>0</v>
      </c>
      <c r="H11817" t="str">
        <f t="shared" ref="H11817:H11880" si="29">D11817&amp;" - "&amp;G11817&amp;AH11817</f>
        <v xml:space="preserve"> - 0</v>
      </c>
      <c r="I11817">
        <f t="shared" ref="I11817:I11880" si="30">A11817</f>
        <v>0</v>
      </c>
      <c r="J11817">
        <f t="shared" ref="J11817:J11880" si="31">B11817</f>
        <v>0</v>
      </c>
    </row>
    <row r="11818" spans="6:10">
      <c r="F11818">
        <f t="shared" si="28"/>
        <v>0</v>
      </c>
      <c r="G11818">
        <f>COUNTIF($D$2:D11818,D11818)</f>
        <v>0</v>
      </c>
      <c r="H11818" t="str">
        <f t="shared" si="29"/>
        <v xml:space="preserve"> - 0</v>
      </c>
      <c r="I11818">
        <f t="shared" si="30"/>
        <v>0</v>
      </c>
      <c r="J11818">
        <f t="shared" si="31"/>
        <v>0</v>
      </c>
    </row>
    <row r="11819" spans="6:10">
      <c r="F11819">
        <f t="shared" si="28"/>
        <v>0</v>
      </c>
      <c r="G11819">
        <f>COUNTIF($D$2:D11819,D11819)</f>
        <v>0</v>
      </c>
      <c r="H11819" t="str">
        <f t="shared" si="29"/>
        <v xml:space="preserve"> - 0</v>
      </c>
      <c r="I11819">
        <f t="shared" si="30"/>
        <v>0</v>
      </c>
      <c r="J11819">
        <f t="shared" si="31"/>
        <v>0</v>
      </c>
    </row>
    <row r="11820" spans="6:10">
      <c r="F11820">
        <f t="shared" si="28"/>
        <v>0</v>
      </c>
      <c r="G11820">
        <f>COUNTIF($D$2:D11820,D11820)</f>
        <v>0</v>
      </c>
      <c r="H11820" t="str">
        <f t="shared" si="29"/>
        <v xml:space="preserve"> - 0</v>
      </c>
      <c r="I11820">
        <f t="shared" si="30"/>
        <v>0</v>
      </c>
      <c r="J11820">
        <f t="shared" si="31"/>
        <v>0</v>
      </c>
    </row>
    <row r="11821" spans="6:10">
      <c r="F11821">
        <f t="shared" si="28"/>
        <v>0</v>
      </c>
      <c r="G11821">
        <f>COUNTIF($D$2:D11821,D11821)</f>
        <v>0</v>
      </c>
      <c r="H11821" t="str">
        <f t="shared" si="29"/>
        <v xml:space="preserve"> - 0</v>
      </c>
      <c r="I11821">
        <f t="shared" si="30"/>
        <v>0</v>
      </c>
      <c r="J11821">
        <f t="shared" si="31"/>
        <v>0</v>
      </c>
    </row>
    <row r="11822" spans="6:10">
      <c r="F11822">
        <f t="shared" si="28"/>
        <v>0</v>
      </c>
      <c r="G11822">
        <f>COUNTIF($D$2:D11822,D11822)</f>
        <v>0</v>
      </c>
      <c r="H11822" t="str">
        <f t="shared" si="29"/>
        <v xml:space="preserve"> - 0</v>
      </c>
      <c r="I11822">
        <f t="shared" si="30"/>
        <v>0</v>
      </c>
      <c r="J11822">
        <f t="shared" si="31"/>
        <v>0</v>
      </c>
    </row>
    <row r="11823" spans="6:10">
      <c r="F11823">
        <f t="shared" si="28"/>
        <v>0</v>
      </c>
      <c r="G11823">
        <f>COUNTIF($D$2:D11823,D11823)</f>
        <v>0</v>
      </c>
      <c r="H11823" t="str">
        <f t="shared" si="29"/>
        <v xml:space="preserve"> - 0</v>
      </c>
      <c r="I11823">
        <f t="shared" si="30"/>
        <v>0</v>
      </c>
      <c r="J11823">
        <f t="shared" si="31"/>
        <v>0</v>
      </c>
    </row>
    <row r="11824" spans="6:10">
      <c r="F11824">
        <f t="shared" si="28"/>
        <v>0</v>
      </c>
      <c r="G11824">
        <f>COUNTIF($D$2:D11824,D11824)</f>
        <v>0</v>
      </c>
      <c r="H11824" t="str">
        <f t="shared" si="29"/>
        <v xml:space="preserve"> - 0</v>
      </c>
      <c r="I11824">
        <f t="shared" si="30"/>
        <v>0</v>
      </c>
      <c r="J11824">
        <f t="shared" si="31"/>
        <v>0</v>
      </c>
    </row>
    <row r="11825" spans="6:10">
      <c r="F11825">
        <f t="shared" si="28"/>
        <v>0</v>
      </c>
      <c r="G11825">
        <f>COUNTIF($D$2:D11825,D11825)</f>
        <v>0</v>
      </c>
      <c r="H11825" t="str">
        <f t="shared" si="29"/>
        <v xml:space="preserve"> - 0</v>
      </c>
      <c r="I11825">
        <f t="shared" si="30"/>
        <v>0</v>
      </c>
      <c r="J11825">
        <f t="shared" si="31"/>
        <v>0</v>
      </c>
    </row>
    <row r="11826" spans="6:10">
      <c r="F11826">
        <f t="shared" si="28"/>
        <v>0</v>
      </c>
      <c r="G11826">
        <f>COUNTIF($D$2:D11826,D11826)</f>
        <v>0</v>
      </c>
      <c r="H11826" t="str">
        <f t="shared" si="29"/>
        <v xml:space="preserve"> - 0</v>
      </c>
      <c r="I11826">
        <f t="shared" si="30"/>
        <v>0</v>
      </c>
      <c r="J11826">
        <f t="shared" si="31"/>
        <v>0</v>
      </c>
    </row>
    <row r="11827" spans="6:10">
      <c r="F11827">
        <f t="shared" si="28"/>
        <v>0</v>
      </c>
      <c r="G11827">
        <f>COUNTIF($D$2:D11827,D11827)</f>
        <v>0</v>
      </c>
      <c r="H11827" t="str">
        <f t="shared" si="29"/>
        <v xml:space="preserve"> - 0</v>
      </c>
      <c r="I11827">
        <f t="shared" si="30"/>
        <v>0</v>
      </c>
      <c r="J11827">
        <f t="shared" si="31"/>
        <v>0</v>
      </c>
    </row>
    <row r="11828" spans="6:10">
      <c r="F11828">
        <f t="shared" si="28"/>
        <v>0</v>
      </c>
      <c r="G11828">
        <f>COUNTIF($D$2:D11828,D11828)</f>
        <v>0</v>
      </c>
      <c r="H11828" t="str">
        <f t="shared" si="29"/>
        <v xml:space="preserve"> - 0</v>
      </c>
      <c r="I11828">
        <f t="shared" si="30"/>
        <v>0</v>
      </c>
      <c r="J11828">
        <f t="shared" si="31"/>
        <v>0</v>
      </c>
    </row>
    <row r="11829" spans="6:10">
      <c r="F11829">
        <f t="shared" si="28"/>
        <v>0</v>
      </c>
      <c r="G11829">
        <f>COUNTIF($D$2:D11829,D11829)</f>
        <v>0</v>
      </c>
      <c r="H11829" t="str">
        <f t="shared" si="29"/>
        <v xml:space="preserve"> - 0</v>
      </c>
      <c r="I11829">
        <f t="shared" si="30"/>
        <v>0</v>
      </c>
      <c r="J11829">
        <f t="shared" si="31"/>
        <v>0</v>
      </c>
    </row>
    <row r="11830" spans="6:10">
      <c r="F11830">
        <f t="shared" si="28"/>
        <v>0</v>
      </c>
      <c r="G11830">
        <f>COUNTIF($D$2:D11830,D11830)</f>
        <v>0</v>
      </c>
      <c r="H11830" t="str">
        <f t="shared" si="29"/>
        <v xml:space="preserve"> - 0</v>
      </c>
      <c r="I11830">
        <f t="shared" si="30"/>
        <v>0</v>
      </c>
      <c r="J11830">
        <f t="shared" si="31"/>
        <v>0</v>
      </c>
    </row>
    <row r="11831" spans="6:10">
      <c r="F11831">
        <f t="shared" si="28"/>
        <v>0</v>
      </c>
      <c r="G11831">
        <f>COUNTIF($D$2:D11831,D11831)</f>
        <v>0</v>
      </c>
      <c r="H11831" t="str">
        <f t="shared" si="29"/>
        <v xml:space="preserve"> - 0</v>
      </c>
      <c r="I11831">
        <f t="shared" si="30"/>
        <v>0</v>
      </c>
      <c r="J11831">
        <f t="shared" si="31"/>
        <v>0</v>
      </c>
    </row>
    <row r="11832" spans="6:10">
      <c r="F11832">
        <f t="shared" si="28"/>
        <v>0</v>
      </c>
      <c r="G11832">
        <f>COUNTIF($D$2:D11832,D11832)</f>
        <v>0</v>
      </c>
      <c r="H11832" t="str">
        <f t="shared" si="29"/>
        <v xml:space="preserve"> - 0</v>
      </c>
      <c r="I11832">
        <f t="shared" si="30"/>
        <v>0</v>
      </c>
      <c r="J11832">
        <f t="shared" si="31"/>
        <v>0</v>
      </c>
    </row>
    <row r="11833" spans="6:10">
      <c r="F11833">
        <f t="shared" si="28"/>
        <v>0</v>
      </c>
      <c r="G11833">
        <f>COUNTIF($D$2:D11833,D11833)</f>
        <v>0</v>
      </c>
      <c r="H11833" t="str">
        <f t="shared" si="29"/>
        <v xml:space="preserve"> - 0</v>
      </c>
      <c r="I11833">
        <f t="shared" si="30"/>
        <v>0</v>
      </c>
      <c r="J11833">
        <f t="shared" si="31"/>
        <v>0</v>
      </c>
    </row>
    <row r="11834" spans="6:10">
      <c r="F11834">
        <f t="shared" si="28"/>
        <v>0</v>
      </c>
      <c r="G11834">
        <f>COUNTIF($D$2:D11834,D11834)</f>
        <v>0</v>
      </c>
      <c r="H11834" t="str">
        <f t="shared" si="29"/>
        <v xml:space="preserve"> - 0</v>
      </c>
      <c r="I11834">
        <f t="shared" si="30"/>
        <v>0</v>
      </c>
      <c r="J11834">
        <f t="shared" si="31"/>
        <v>0</v>
      </c>
    </row>
    <row r="11835" spans="6:10">
      <c r="F11835">
        <f t="shared" si="28"/>
        <v>0</v>
      </c>
      <c r="G11835">
        <f>COUNTIF($D$2:D11835,D11835)</f>
        <v>0</v>
      </c>
      <c r="H11835" t="str">
        <f t="shared" si="29"/>
        <v xml:space="preserve"> - 0</v>
      </c>
      <c r="I11835">
        <f t="shared" si="30"/>
        <v>0</v>
      </c>
      <c r="J11835">
        <f t="shared" si="31"/>
        <v>0</v>
      </c>
    </row>
    <row r="11836" spans="6:10">
      <c r="F11836">
        <f t="shared" si="28"/>
        <v>0</v>
      </c>
      <c r="G11836">
        <f>COUNTIF($D$2:D11836,D11836)</f>
        <v>0</v>
      </c>
      <c r="H11836" t="str">
        <f t="shared" si="29"/>
        <v xml:space="preserve"> - 0</v>
      </c>
      <c r="I11836">
        <f t="shared" si="30"/>
        <v>0</v>
      </c>
      <c r="J11836">
        <f t="shared" si="31"/>
        <v>0</v>
      </c>
    </row>
    <row r="11837" spans="6:10">
      <c r="F11837">
        <f t="shared" si="28"/>
        <v>0</v>
      </c>
      <c r="G11837">
        <f>COUNTIF($D$2:D11837,D11837)</f>
        <v>0</v>
      </c>
      <c r="H11837" t="str">
        <f t="shared" si="29"/>
        <v xml:space="preserve"> - 0</v>
      </c>
      <c r="I11837">
        <f t="shared" si="30"/>
        <v>0</v>
      </c>
      <c r="J11837">
        <f t="shared" si="31"/>
        <v>0</v>
      </c>
    </row>
    <row r="11838" spans="6:10">
      <c r="F11838">
        <f t="shared" si="28"/>
        <v>0</v>
      </c>
      <c r="G11838">
        <f>COUNTIF($D$2:D11838,D11838)</f>
        <v>0</v>
      </c>
      <c r="H11838" t="str">
        <f t="shared" si="29"/>
        <v xml:space="preserve"> - 0</v>
      </c>
      <c r="I11838">
        <f t="shared" si="30"/>
        <v>0</v>
      </c>
      <c r="J11838">
        <f t="shared" si="31"/>
        <v>0</v>
      </c>
    </row>
    <row r="11839" spans="6:10">
      <c r="F11839">
        <f t="shared" si="28"/>
        <v>0</v>
      </c>
      <c r="G11839">
        <f>COUNTIF($D$2:D11839,D11839)</f>
        <v>0</v>
      </c>
      <c r="H11839" t="str">
        <f t="shared" si="29"/>
        <v xml:space="preserve"> - 0</v>
      </c>
      <c r="I11839">
        <f t="shared" si="30"/>
        <v>0</v>
      </c>
      <c r="J11839">
        <f t="shared" si="31"/>
        <v>0</v>
      </c>
    </row>
    <row r="11840" spans="6:10">
      <c r="F11840">
        <f t="shared" si="28"/>
        <v>0</v>
      </c>
      <c r="G11840">
        <f>COUNTIF($D$2:D11840,D11840)</f>
        <v>0</v>
      </c>
      <c r="H11840" t="str">
        <f t="shared" si="29"/>
        <v xml:space="preserve"> - 0</v>
      </c>
      <c r="I11840">
        <f t="shared" si="30"/>
        <v>0</v>
      </c>
      <c r="J11840">
        <f t="shared" si="31"/>
        <v>0</v>
      </c>
    </row>
    <row r="11841" spans="6:10">
      <c r="F11841">
        <f t="shared" si="28"/>
        <v>0</v>
      </c>
      <c r="G11841">
        <f>COUNTIF($D$2:D11841,D11841)</f>
        <v>0</v>
      </c>
      <c r="H11841" t="str">
        <f t="shared" si="29"/>
        <v xml:space="preserve"> - 0</v>
      </c>
      <c r="I11841">
        <f t="shared" si="30"/>
        <v>0</v>
      </c>
      <c r="J11841">
        <f t="shared" si="31"/>
        <v>0</v>
      </c>
    </row>
    <row r="11842" spans="6:10">
      <c r="F11842">
        <f t="shared" si="28"/>
        <v>0</v>
      </c>
      <c r="G11842">
        <f>COUNTIF($D$2:D11842,D11842)</f>
        <v>0</v>
      </c>
      <c r="H11842" t="str">
        <f t="shared" si="29"/>
        <v xml:space="preserve"> - 0</v>
      </c>
      <c r="I11842">
        <f t="shared" si="30"/>
        <v>0</v>
      </c>
      <c r="J11842">
        <f t="shared" si="31"/>
        <v>0</v>
      </c>
    </row>
    <row r="11843" spans="6:10">
      <c r="F11843">
        <f t="shared" si="28"/>
        <v>0</v>
      </c>
      <c r="G11843">
        <f>COUNTIF($D$2:D11843,D11843)</f>
        <v>0</v>
      </c>
      <c r="H11843" t="str">
        <f t="shared" si="29"/>
        <v xml:space="preserve"> - 0</v>
      </c>
      <c r="I11843">
        <f t="shared" si="30"/>
        <v>0</v>
      </c>
      <c r="J11843">
        <f t="shared" si="31"/>
        <v>0</v>
      </c>
    </row>
    <row r="11844" spans="6:10">
      <c r="F11844">
        <f t="shared" si="28"/>
        <v>0</v>
      </c>
      <c r="G11844">
        <f>COUNTIF($D$2:D11844,D11844)</f>
        <v>0</v>
      </c>
      <c r="H11844" t="str">
        <f t="shared" si="29"/>
        <v xml:space="preserve"> - 0</v>
      </c>
      <c r="I11844">
        <f t="shared" si="30"/>
        <v>0</v>
      </c>
      <c r="J11844">
        <f t="shared" si="31"/>
        <v>0</v>
      </c>
    </row>
    <row r="11845" spans="6:10">
      <c r="F11845">
        <f t="shared" si="28"/>
        <v>0</v>
      </c>
      <c r="G11845">
        <f>COUNTIF($D$2:D11845,D11845)</f>
        <v>0</v>
      </c>
      <c r="H11845" t="str">
        <f t="shared" si="29"/>
        <v xml:space="preserve"> - 0</v>
      </c>
      <c r="I11845">
        <f t="shared" si="30"/>
        <v>0</v>
      </c>
      <c r="J11845">
        <f t="shared" si="31"/>
        <v>0</v>
      </c>
    </row>
    <row r="11846" spans="6:10">
      <c r="F11846">
        <f t="shared" si="28"/>
        <v>0</v>
      </c>
      <c r="G11846">
        <f>COUNTIF($D$2:D11846,D11846)</f>
        <v>0</v>
      </c>
      <c r="H11846" t="str">
        <f t="shared" si="29"/>
        <v xml:space="preserve"> - 0</v>
      </c>
      <c r="I11846">
        <f t="shared" si="30"/>
        <v>0</v>
      </c>
      <c r="J11846">
        <f t="shared" si="31"/>
        <v>0</v>
      </c>
    </row>
    <row r="11847" spans="6:10">
      <c r="F11847">
        <f t="shared" si="28"/>
        <v>0</v>
      </c>
      <c r="G11847">
        <f>COUNTIF($D$2:D11847,D11847)</f>
        <v>0</v>
      </c>
      <c r="H11847" t="str">
        <f t="shared" si="29"/>
        <v xml:space="preserve"> - 0</v>
      </c>
      <c r="I11847">
        <f t="shared" si="30"/>
        <v>0</v>
      </c>
      <c r="J11847">
        <f t="shared" si="31"/>
        <v>0</v>
      </c>
    </row>
    <row r="11848" spans="6:10">
      <c r="F11848">
        <f t="shared" si="28"/>
        <v>0</v>
      </c>
      <c r="G11848">
        <f>COUNTIF($D$2:D11848,D11848)</f>
        <v>0</v>
      </c>
      <c r="H11848" t="str">
        <f t="shared" si="29"/>
        <v xml:space="preserve"> - 0</v>
      </c>
      <c r="I11848">
        <f t="shared" si="30"/>
        <v>0</v>
      </c>
      <c r="J11848">
        <f t="shared" si="31"/>
        <v>0</v>
      </c>
    </row>
    <row r="11849" spans="6:10">
      <c r="F11849">
        <f t="shared" si="28"/>
        <v>0</v>
      </c>
      <c r="G11849">
        <f>COUNTIF($D$2:D11849,D11849)</f>
        <v>0</v>
      </c>
      <c r="H11849" t="str">
        <f t="shared" si="29"/>
        <v xml:space="preserve"> - 0</v>
      </c>
      <c r="I11849">
        <f t="shared" si="30"/>
        <v>0</v>
      </c>
      <c r="J11849">
        <f t="shared" si="31"/>
        <v>0</v>
      </c>
    </row>
    <row r="11850" spans="6:10">
      <c r="F11850">
        <f t="shared" si="28"/>
        <v>0</v>
      </c>
      <c r="G11850">
        <f>COUNTIF($D$2:D11850,D11850)</f>
        <v>0</v>
      </c>
      <c r="H11850" t="str">
        <f t="shared" si="29"/>
        <v xml:space="preserve"> - 0</v>
      </c>
      <c r="I11850">
        <f t="shared" si="30"/>
        <v>0</v>
      </c>
      <c r="J11850">
        <f t="shared" si="31"/>
        <v>0</v>
      </c>
    </row>
    <row r="11851" spans="6:10">
      <c r="F11851">
        <f t="shared" si="28"/>
        <v>0</v>
      </c>
      <c r="G11851">
        <f>COUNTIF($D$2:D11851,D11851)</f>
        <v>0</v>
      </c>
      <c r="H11851" t="str">
        <f t="shared" si="29"/>
        <v xml:space="preserve"> - 0</v>
      </c>
      <c r="I11851">
        <f t="shared" si="30"/>
        <v>0</v>
      </c>
      <c r="J11851">
        <f t="shared" si="31"/>
        <v>0</v>
      </c>
    </row>
    <row r="11852" spans="6:10">
      <c r="F11852">
        <f t="shared" si="28"/>
        <v>0</v>
      </c>
      <c r="G11852">
        <f>COUNTIF($D$2:D11852,D11852)</f>
        <v>0</v>
      </c>
      <c r="H11852" t="str">
        <f t="shared" si="29"/>
        <v xml:space="preserve"> - 0</v>
      </c>
      <c r="I11852">
        <f t="shared" si="30"/>
        <v>0</v>
      </c>
      <c r="J11852">
        <f t="shared" si="31"/>
        <v>0</v>
      </c>
    </row>
    <row r="11853" spans="6:10">
      <c r="F11853">
        <f t="shared" si="28"/>
        <v>0</v>
      </c>
      <c r="G11853">
        <f>COUNTIF($D$2:D11853,D11853)</f>
        <v>0</v>
      </c>
      <c r="H11853" t="str">
        <f t="shared" si="29"/>
        <v xml:space="preserve"> - 0</v>
      </c>
      <c r="I11853">
        <f t="shared" si="30"/>
        <v>0</v>
      </c>
      <c r="J11853">
        <f t="shared" si="31"/>
        <v>0</v>
      </c>
    </row>
    <row r="11854" spans="6:10">
      <c r="F11854">
        <f t="shared" si="28"/>
        <v>0</v>
      </c>
      <c r="G11854">
        <f>COUNTIF($D$2:D11854,D11854)</f>
        <v>0</v>
      </c>
      <c r="H11854" t="str">
        <f t="shared" si="29"/>
        <v xml:space="preserve"> - 0</v>
      </c>
      <c r="I11854">
        <f t="shared" si="30"/>
        <v>0</v>
      </c>
      <c r="J11854">
        <f t="shared" si="31"/>
        <v>0</v>
      </c>
    </row>
    <row r="11855" spans="6:10">
      <c r="F11855">
        <f t="shared" si="28"/>
        <v>0</v>
      </c>
      <c r="G11855">
        <f>COUNTIF($D$2:D11855,D11855)</f>
        <v>0</v>
      </c>
      <c r="H11855" t="str">
        <f t="shared" si="29"/>
        <v xml:space="preserve"> - 0</v>
      </c>
      <c r="I11855">
        <f t="shared" si="30"/>
        <v>0</v>
      </c>
      <c r="J11855">
        <f t="shared" si="31"/>
        <v>0</v>
      </c>
    </row>
    <row r="11856" spans="6:10">
      <c r="F11856">
        <f t="shared" si="28"/>
        <v>0</v>
      </c>
      <c r="G11856">
        <f>COUNTIF($D$2:D11856,D11856)</f>
        <v>0</v>
      </c>
      <c r="H11856" t="str">
        <f t="shared" si="29"/>
        <v xml:space="preserve"> - 0</v>
      </c>
      <c r="I11856">
        <f t="shared" si="30"/>
        <v>0</v>
      </c>
      <c r="J11856">
        <f t="shared" si="31"/>
        <v>0</v>
      </c>
    </row>
    <row r="11857" spans="6:10">
      <c r="F11857">
        <f t="shared" si="28"/>
        <v>0</v>
      </c>
      <c r="G11857">
        <f>COUNTIF($D$2:D11857,D11857)</f>
        <v>0</v>
      </c>
      <c r="H11857" t="str">
        <f t="shared" si="29"/>
        <v xml:space="preserve"> - 0</v>
      </c>
      <c r="I11857">
        <f t="shared" si="30"/>
        <v>0</v>
      </c>
      <c r="J11857">
        <f t="shared" si="31"/>
        <v>0</v>
      </c>
    </row>
    <row r="11858" spans="6:10">
      <c r="F11858">
        <f t="shared" si="28"/>
        <v>0</v>
      </c>
      <c r="G11858">
        <f>COUNTIF($D$2:D11858,D11858)</f>
        <v>0</v>
      </c>
      <c r="H11858" t="str">
        <f t="shared" si="29"/>
        <v xml:space="preserve"> - 0</v>
      </c>
      <c r="I11858">
        <f t="shared" si="30"/>
        <v>0</v>
      </c>
      <c r="J11858">
        <f t="shared" si="31"/>
        <v>0</v>
      </c>
    </row>
    <row r="11859" spans="6:10">
      <c r="F11859">
        <f t="shared" si="28"/>
        <v>0</v>
      </c>
      <c r="G11859">
        <f>COUNTIF($D$2:D11859,D11859)</f>
        <v>0</v>
      </c>
      <c r="H11859" t="str">
        <f t="shared" si="29"/>
        <v xml:space="preserve"> - 0</v>
      </c>
      <c r="I11859">
        <f t="shared" si="30"/>
        <v>0</v>
      </c>
      <c r="J11859">
        <f t="shared" si="31"/>
        <v>0</v>
      </c>
    </row>
    <row r="11860" spans="6:10">
      <c r="F11860">
        <f t="shared" si="28"/>
        <v>0</v>
      </c>
      <c r="G11860">
        <f>COUNTIF($D$2:D11860,D11860)</f>
        <v>0</v>
      </c>
      <c r="H11860" t="str">
        <f t="shared" si="29"/>
        <v xml:space="preserve"> - 0</v>
      </c>
      <c r="I11860">
        <f t="shared" si="30"/>
        <v>0</v>
      </c>
      <c r="J11860">
        <f t="shared" si="31"/>
        <v>0</v>
      </c>
    </row>
    <row r="11861" spans="6:10">
      <c r="F11861">
        <f t="shared" si="28"/>
        <v>0</v>
      </c>
      <c r="G11861">
        <f>COUNTIF($D$2:D11861,D11861)</f>
        <v>0</v>
      </c>
      <c r="H11861" t="str">
        <f t="shared" si="29"/>
        <v xml:space="preserve"> - 0</v>
      </c>
      <c r="I11861">
        <f t="shared" si="30"/>
        <v>0</v>
      </c>
      <c r="J11861">
        <f t="shared" si="31"/>
        <v>0</v>
      </c>
    </row>
    <row r="11862" spans="6:10">
      <c r="F11862">
        <f t="shared" si="28"/>
        <v>0</v>
      </c>
      <c r="G11862">
        <f>COUNTIF($D$2:D11862,D11862)</f>
        <v>0</v>
      </c>
      <c r="H11862" t="str">
        <f t="shared" si="29"/>
        <v xml:space="preserve"> - 0</v>
      </c>
      <c r="I11862">
        <f t="shared" si="30"/>
        <v>0</v>
      </c>
      <c r="J11862">
        <f t="shared" si="31"/>
        <v>0</v>
      </c>
    </row>
    <row r="11863" spans="6:10">
      <c r="F11863">
        <f t="shared" si="28"/>
        <v>0</v>
      </c>
      <c r="G11863">
        <f>COUNTIF($D$2:D11863,D11863)</f>
        <v>0</v>
      </c>
      <c r="H11863" t="str">
        <f t="shared" si="29"/>
        <v xml:space="preserve"> - 0</v>
      </c>
      <c r="I11863">
        <f t="shared" si="30"/>
        <v>0</v>
      </c>
      <c r="J11863">
        <f t="shared" si="31"/>
        <v>0</v>
      </c>
    </row>
    <row r="11864" spans="6:10">
      <c r="F11864">
        <f t="shared" si="28"/>
        <v>0</v>
      </c>
      <c r="G11864">
        <f>COUNTIF($D$2:D11864,D11864)</f>
        <v>0</v>
      </c>
      <c r="H11864" t="str">
        <f t="shared" si="29"/>
        <v xml:space="preserve"> - 0</v>
      </c>
      <c r="I11864">
        <f t="shared" si="30"/>
        <v>0</v>
      </c>
      <c r="J11864">
        <f t="shared" si="31"/>
        <v>0</v>
      </c>
    </row>
    <row r="11865" spans="6:10">
      <c r="F11865">
        <f t="shared" si="28"/>
        <v>0</v>
      </c>
      <c r="G11865">
        <f>COUNTIF($D$2:D11865,D11865)</f>
        <v>0</v>
      </c>
      <c r="H11865" t="str">
        <f t="shared" si="29"/>
        <v xml:space="preserve"> - 0</v>
      </c>
      <c r="I11865">
        <f t="shared" si="30"/>
        <v>0</v>
      </c>
      <c r="J11865">
        <f t="shared" si="31"/>
        <v>0</v>
      </c>
    </row>
    <row r="11866" spans="6:10">
      <c r="F11866">
        <f t="shared" si="28"/>
        <v>0</v>
      </c>
      <c r="G11866">
        <f>COUNTIF($D$2:D11866,D11866)</f>
        <v>0</v>
      </c>
      <c r="H11866" t="str">
        <f t="shared" si="29"/>
        <v xml:space="preserve"> - 0</v>
      </c>
      <c r="I11866">
        <f t="shared" si="30"/>
        <v>0</v>
      </c>
      <c r="J11866">
        <f t="shared" si="31"/>
        <v>0</v>
      </c>
    </row>
    <row r="11867" spans="6:10">
      <c r="F11867">
        <f t="shared" si="28"/>
        <v>0</v>
      </c>
      <c r="G11867">
        <f>COUNTIF($D$2:D11867,D11867)</f>
        <v>0</v>
      </c>
      <c r="H11867" t="str">
        <f t="shared" si="29"/>
        <v xml:space="preserve"> - 0</v>
      </c>
      <c r="I11867">
        <f t="shared" si="30"/>
        <v>0</v>
      </c>
      <c r="J11867">
        <f t="shared" si="31"/>
        <v>0</v>
      </c>
    </row>
    <row r="11868" spans="6:10">
      <c r="F11868">
        <f t="shared" si="28"/>
        <v>0</v>
      </c>
      <c r="G11868">
        <f>COUNTIF($D$2:D11868,D11868)</f>
        <v>0</v>
      </c>
      <c r="H11868" t="str">
        <f t="shared" si="29"/>
        <v xml:space="preserve"> - 0</v>
      </c>
      <c r="I11868">
        <f t="shared" si="30"/>
        <v>0</v>
      </c>
      <c r="J11868">
        <f t="shared" si="31"/>
        <v>0</v>
      </c>
    </row>
    <row r="11869" spans="6:10">
      <c r="F11869">
        <f t="shared" si="28"/>
        <v>0</v>
      </c>
      <c r="G11869">
        <f>COUNTIF($D$2:D11869,D11869)</f>
        <v>0</v>
      </c>
      <c r="H11869" t="str">
        <f t="shared" si="29"/>
        <v xml:space="preserve"> - 0</v>
      </c>
      <c r="I11869">
        <f t="shared" si="30"/>
        <v>0</v>
      </c>
      <c r="J11869">
        <f t="shared" si="31"/>
        <v>0</v>
      </c>
    </row>
    <row r="11870" spans="6:10">
      <c r="F11870">
        <f t="shared" si="28"/>
        <v>0</v>
      </c>
      <c r="G11870">
        <f>COUNTIF($D$2:D11870,D11870)</f>
        <v>0</v>
      </c>
      <c r="H11870" t="str">
        <f t="shared" si="29"/>
        <v xml:space="preserve"> - 0</v>
      </c>
      <c r="I11870">
        <f t="shared" si="30"/>
        <v>0</v>
      </c>
      <c r="J11870">
        <f t="shared" si="31"/>
        <v>0</v>
      </c>
    </row>
    <row r="11871" spans="6:10">
      <c r="F11871">
        <f t="shared" si="28"/>
        <v>0</v>
      </c>
      <c r="G11871">
        <f>COUNTIF($D$2:D11871,D11871)</f>
        <v>0</v>
      </c>
      <c r="H11871" t="str">
        <f t="shared" si="29"/>
        <v xml:space="preserve"> - 0</v>
      </c>
      <c r="I11871">
        <f t="shared" si="30"/>
        <v>0</v>
      </c>
      <c r="J11871">
        <f t="shared" si="31"/>
        <v>0</v>
      </c>
    </row>
    <row r="11872" spans="6:10">
      <c r="F11872">
        <f t="shared" si="28"/>
        <v>0</v>
      </c>
      <c r="G11872">
        <f>COUNTIF($D$2:D11872,D11872)</f>
        <v>0</v>
      </c>
      <c r="H11872" t="str">
        <f t="shared" si="29"/>
        <v xml:space="preserve"> - 0</v>
      </c>
      <c r="I11872">
        <f t="shared" si="30"/>
        <v>0</v>
      </c>
      <c r="J11872">
        <f t="shared" si="31"/>
        <v>0</v>
      </c>
    </row>
    <row r="11873" spans="6:10">
      <c r="F11873">
        <f t="shared" si="28"/>
        <v>0</v>
      </c>
      <c r="G11873">
        <f>COUNTIF($D$2:D11873,D11873)</f>
        <v>0</v>
      </c>
      <c r="H11873" t="str">
        <f t="shared" si="29"/>
        <v xml:space="preserve"> - 0</v>
      </c>
      <c r="I11873">
        <f t="shared" si="30"/>
        <v>0</v>
      </c>
      <c r="J11873">
        <f t="shared" si="31"/>
        <v>0</v>
      </c>
    </row>
    <row r="11874" spans="6:10">
      <c r="F11874">
        <f t="shared" si="28"/>
        <v>0</v>
      </c>
      <c r="G11874">
        <f>COUNTIF($D$2:D11874,D11874)</f>
        <v>0</v>
      </c>
      <c r="H11874" t="str">
        <f t="shared" si="29"/>
        <v xml:space="preserve"> - 0</v>
      </c>
      <c r="I11874">
        <f t="shared" si="30"/>
        <v>0</v>
      </c>
      <c r="J11874">
        <f t="shared" si="31"/>
        <v>0</v>
      </c>
    </row>
    <row r="11875" spans="6:10">
      <c r="F11875">
        <f t="shared" si="28"/>
        <v>0</v>
      </c>
      <c r="G11875">
        <f>COUNTIF($D$2:D11875,D11875)</f>
        <v>0</v>
      </c>
      <c r="H11875" t="str">
        <f t="shared" si="29"/>
        <v xml:space="preserve"> - 0</v>
      </c>
      <c r="I11875">
        <f t="shared" si="30"/>
        <v>0</v>
      </c>
      <c r="J11875">
        <f t="shared" si="31"/>
        <v>0</v>
      </c>
    </row>
    <row r="11876" spans="6:10">
      <c r="F11876">
        <f t="shared" si="28"/>
        <v>0</v>
      </c>
      <c r="G11876">
        <f>COUNTIF($D$2:D11876,D11876)</f>
        <v>0</v>
      </c>
      <c r="H11876" t="str">
        <f t="shared" si="29"/>
        <v xml:space="preserve"> - 0</v>
      </c>
      <c r="I11876">
        <f t="shared" si="30"/>
        <v>0</v>
      </c>
      <c r="J11876">
        <f t="shared" si="31"/>
        <v>0</v>
      </c>
    </row>
    <row r="11877" spans="6:10">
      <c r="F11877">
        <f t="shared" si="28"/>
        <v>0</v>
      </c>
      <c r="G11877">
        <f>COUNTIF($D$2:D11877,D11877)</f>
        <v>0</v>
      </c>
      <c r="H11877" t="str">
        <f t="shared" si="29"/>
        <v xml:space="preserve"> - 0</v>
      </c>
      <c r="I11877">
        <f t="shared" si="30"/>
        <v>0</v>
      </c>
      <c r="J11877">
        <f t="shared" si="31"/>
        <v>0</v>
      </c>
    </row>
    <row r="11878" spans="6:10">
      <c r="F11878">
        <f t="shared" si="28"/>
        <v>0</v>
      </c>
      <c r="G11878">
        <f>COUNTIF($D$2:D11878,D11878)</f>
        <v>0</v>
      </c>
      <c r="H11878" t="str">
        <f t="shared" si="29"/>
        <v xml:space="preserve"> - 0</v>
      </c>
      <c r="I11878">
        <f t="shared" si="30"/>
        <v>0</v>
      </c>
      <c r="J11878">
        <f t="shared" si="31"/>
        <v>0</v>
      </c>
    </row>
    <row r="11879" spans="6:10">
      <c r="F11879">
        <f t="shared" si="28"/>
        <v>0</v>
      </c>
      <c r="G11879">
        <f>COUNTIF($D$2:D11879,D11879)</f>
        <v>0</v>
      </c>
      <c r="H11879" t="str">
        <f t="shared" si="29"/>
        <v xml:space="preserve"> - 0</v>
      </c>
      <c r="I11879">
        <f t="shared" si="30"/>
        <v>0</v>
      </c>
      <c r="J11879">
        <f t="shared" si="31"/>
        <v>0</v>
      </c>
    </row>
    <row r="11880" spans="6:10">
      <c r="F11880">
        <f t="shared" si="28"/>
        <v>0</v>
      </c>
      <c r="G11880">
        <f>COUNTIF($D$2:D11880,D11880)</f>
        <v>0</v>
      </c>
      <c r="H11880" t="str">
        <f t="shared" si="29"/>
        <v xml:space="preserve"> - 0</v>
      </c>
      <c r="I11880">
        <f t="shared" si="30"/>
        <v>0</v>
      </c>
      <c r="J11880">
        <f t="shared" si="31"/>
        <v>0</v>
      </c>
    </row>
    <row r="11881" spans="6:10">
      <c r="F11881">
        <f t="shared" ref="F11881:F11944" si="32">COUNTIF($D$2:$D$35910,D11881)</f>
        <v>0</v>
      </c>
      <c r="G11881">
        <f>COUNTIF($D$2:D11881,D11881)</f>
        <v>0</v>
      </c>
      <c r="H11881" t="str">
        <f t="shared" ref="H11881:H11944" si="33">D11881&amp;" - "&amp;G11881&amp;AH11881</f>
        <v xml:space="preserve"> - 0</v>
      </c>
      <c r="I11881">
        <f t="shared" ref="I11881:I11944" si="34">A11881</f>
        <v>0</v>
      </c>
      <c r="J11881">
        <f t="shared" ref="J11881:J11944" si="35">B11881</f>
        <v>0</v>
      </c>
    </row>
    <row r="11882" spans="6:10">
      <c r="F11882">
        <f t="shared" si="32"/>
        <v>0</v>
      </c>
      <c r="G11882">
        <f>COUNTIF($D$2:D11882,D11882)</f>
        <v>0</v>
      </c>
      <c r="H11882" t="str">
        <f t="shared" si="33"/>
        <v xml:space="preserve"> - 0</v>
      </c>
      <c r="I11882">
        <f t="shared" si="34"/>
        <v>0</v>
      </c>
      <c r="J11882">
        <f t="shared" si="35"/>
        <v>0</v>
      </c>
    </row>
    <row r="11883" spans="6:10">
      <c r="F11883">
        <f t="shared" si="32"/>
        <v>0</v>
      </c>
      <c r="G11883">
        <f>COUNTIF($D$2:D11883,D11883)</f>
        <v>0</v>
      </c>
      <c r="H11883" t="str">
        <f t="shared" si="33"/>
        <v xml:space="preserve"> - 0</v>
      </c>
      <c r="I11883">
        <f t="shared" si="34"/>
        <v>0</v>
      </c>
      <c r="J11883">
        <f t="shared" si="35"/>
        <v>0</v>
      </c>
    </row>
    <row r="11884" spans="6:10">
      <c r="F11884">
        <f t="shared" si="32"/>
        <v>0</v>
      </c>
      <c r="G11884">
        <f>COUNTIF($D$2:D11884,D11884)</f>
        <v>0</v>
      </c>
      <c r="H11884" t="str">
        <f t="shared" si="33"/>
        <v xml:space="preserve"> - 0</v>
      </c>
      <c r="I11884">
        <f t="shared" si="34"/>
        <v>0</v>
      </c>
      <c r="J11884">
        <f t="shared" si="35"/>
        <v>0</v>
      </c>
    </row>
    <row r="11885" spans="6:10">
      <c r="F11885">
        <f t="shared" si="32"/>
        <v>0</v>
      </c>
      <c r="G11885">
        <f>COUNTIF($D$2:D11885,D11885)</f>
        <v>0</v>
      </c>
      <c r="H11885" t="str">
        <f t="shared" si="33"/>
        <v xml:space="preserve"> - 0</v>
      </c>
      <c r="I11885">
        <f t="shared" si="34"/>
        <v>0</v>
      </c>
      <c r="J11885">
        <f t="shared" si="35"/>
        <v>0</v>
      </c>
    </row>
    <row r="11886" spans="6:10">
      <c r="F11886">
        <f t="shared" si="32"/>
        <v>0</v>
      </c>
      <c r="G11886">
        <f>COUNTIF($D$2:D11886,D11886)</f>
        <v>0</v>
      </c>
      <c r="H11886" t="str">
        <f t="shared" si="33"/>
        <v xml:space="preserve"> - 0</v>
      </c>
      <c r="I11886">
        <f t="shared" si="34"/>
        <v>0</v>
      </c>
      <c r="J11886">
        <f t="shared" si="35"/>
        <v>0</v>
      </c>
    </row>
    <row r="11887" spans="6:10">
      <c r="F11887">
        <f t="shared" si="32"/>
        <v>0</v>
      </c>
      <c r="G11887">
        <f>COUNTIF($D$2:D11887,D11887)</f>
        <v>0</v>
      </c>
      <c r="H11887" t="str">
        <f t="shared" si="33"/>
        <v xml:space="preserve"> - 0</v>
      </c>
      <c r="I11887">
        <f t="shared" si="34"/>
        <v>0</v>
      </c>
      <c r="J11887">
        <f t="shared" si="35"/>
        <v>0</v>
      </c>
    </row>
    <row r="11888" spans="6:10">
      <c r="F11888">
        <f t="shared" si="32"/>
        <v>0</v>
      </c>
      <c r="G11888">
        <f>COUNTIF($D$2:D11888,D11888)</f>
        <v>0</v>
      </c>
      <c r="H11888" t="str">
        <f t="shared" si="33"/>
        <v xml:space="preserve"> - 0</v>
      </c>
      <c r="I11888">
        <f t="shared" si="34"/>
        <v>0</v>
      </c>
      <c r="J11888">
        <f t="shared" si="35"/>
        <v>0</v>
      </c>
    </row>
    <row r="11889" spans="6:10">
      <c r="F11889">
        <f t="shared" si="32"/>
        <v>0</v>
      </c>
      <c r="G11889">
        <f>COUNTIF($D$2:D11889,D11889)</f>
        <v>0</v>
      </c>
      <c r="H11889" t="str">
        <f t="shared" si="33"/>
        <v xml:space="preserve"> - 0</v>
      </c>
      <c r="I11889">
        <f t="shared" si="34"/>
        <v>0</v>
      </c>
      <c r="J11889">
        <f t="shared" si="35"/>
        <v>0</v>
      </c>
    </row>
    <row r="11890" spans="6:10">
      <c r="F11890">
        <f t="shared" si="32"/>
        <v>0</v>
      </c>
      <c r="G11890">
        <f>COUNTIF($D$2:D11890,D11890)</f>
        <v>0</v>
      </c>
      <c r="H11890" t="str">
        <f t="shared" si="33"/>
        <v xml:space="preserve"> - 0</v>
      </c>
      <c r="I11890">
        <f t="shared" si="34"/>
        <v>0</v>
      </c>
      <c r="J11890">
        <f t="shared" si="35"/>
        <v>0</v>
      </c>
    </row>
    <row r="11891" spans="6:10">
      <c r="F11891">
        <f t="shared" si="32"/>
        <v>0</v>
      </c>
      <c r="G11891">
        <f>COUNTIF($D$2:D11891,D11891)</f>
        <v>0</v>
      </c>
      <c r="H11891" t="str">
        <f t="shared" si="33"/>
        <v xml:space="preserve"> - 0</v>
      </c>
      <c r="I11891">
        <f t="shared" si="34"/>
        <v>0</v>
      </c>
      <c r="J11891">
        <f t="shared" si="35"/>
        <v>0</v>
      </c>
    </row>
    <row r="11892" spans="6:10">
      <c r="F11892">
        <f t="shared" si="32"/>
        <v>0</v>
      </c>
      <c r="G11892">
        <f>COUNTIF($D$2:D11892,D11892)</f>
        <v>0</v>
      </c>
      <c r="H11892" t="str">
        <f t="shared" si="33"/>
        <v xml:space="preserve"> - 0</v>
      </c>
      <c r="I11892">
        <f t="shared" si="34"/>
        <v>0</v>
      </c>
      <c r="J11892">
        <f t="shared" si="35"/>
        <v>0</v>
      </c>
    </row>
    <row r="11893" spans="6:10">
      <c r="F11893">
        <f t="shared" si="32"/>
        <v>0</v>
      </c>
      <c r="G11893">
        <f>COUNTIF($D$2:D11893,D11893)</f>
        <v>0</v>
      </c>
      <c r="H11893" t="str">
        <f t="shared" si="33"/>
        <v xml:space="preserve"> - 0</v>
      </c>
      <c r="I11893">
        <f t="shared" si="34"/>
        <v>0</v>
      </c>
      <c r="J11893">
        <f t="shared" si="35"/>
        <v>0</v>
      </c>
    </row>
    <row r="11894" spans="6:10">
      <c r="F11894">
        <f t="shared" si="32"/>
        <v>0</v>
      </c>
      <c r="G11894">
        <f>COUNTIF($D$2:D11894,D11894)</f>
        <v>0</v>
      </c>
      <c r="H11894" t="str">
        <f t="shared" si="33"/>
        <v xml:space="preserve"> - 0</v>
      </c>
      <c r="I11894">
        <f t="shared" si="34"/>
        <v>0</v>
      </c>
      <c r="J11894">
        <f t="shared" si="35"/>
        <v>0</v>
      </c>
    </row>
    <row r="11895" spans="6:10">
      <c r="F11895">
        <f t="shared" si="32"/>
        <v>0</v>
      </c>
      <c r="G11895">
        <f>COUNTIF($D$2:D11895,D11895)</f>
        <v>0</v>
      </c>
      <c r="H11895" t="str">
        <f t="shared" si="33"/>
        <v xml:space="preserve"> - 0</v>
      </c>
      <c r="I11895">
        <f t="shared" si="34"/>
        <v>0</v>
      </c>
      <c r="J11895">
        <f t="shared" si="35"/>
        <v>0</v>
      </c>
    </row>
    <row r="11896" spans="6:10">
      <c r="F11896">
        <f t="shared" si="32"/>
        <v>0</v>
      </c>
      <c r="G11896">
        <f>COUNTIF($D$2:D11896,D11896)</f>
        <v>0</v>
      </c>
      <c r="H11896" t="str">
        <f t="shared" si="33"/>
        <v xml:space="preserve"> - 0</v>
      </c>
      <c r="I11896">
        <f t="shared" si="34"/>
        <v>0</v>
      </c>
      <c r="J11896">
        <f t="shared" si="35"/>
        <v>0</v>
      </c>
    </row>
    <row r="11897" spans="6:10">
      <c r="F11897">
        <f t="shared" si="32"/>
        <v>0</v>
      </c>
      <c r="G11897">
        <f>COUNTIF($D$2:D11897,D11897)</f>
        <v>0</v>
      </c>
      <c r="H11897" t="str">
        <f t="shared" si="33"/>
        <v xml:space="preserve"> - 0</v>
      </c>
      <c r="I11897">
        <f t="shared" si="34"/>
        <v>0</v>
      </c>
      <c r="J11897">
        <f t="shared" si="35"/>
        <v>0</v>
      </c>
    </row>
    <row r="11898" spans="6:10">
      <c r="F11898">
        <f t="shared" si="32"/>
        <v>0</v>
      </c>
      <c r="G11898">
        <f>COUNTIF($D$2:D11898,D11898)</f>
        <v>0</v>
      </c>
      <c r="H11898" t="str">
        <f t="shared" si="33"/>
        <v xml:space="preserve"> - 0</v>
      </c>
      <c r="I11898">
        <f t="shared" si="34"/>
        <v>0</v>
      </c>
      <c r="J11898">
        <f t="shared" si="35"/>
        <v>0</v>
      </c>
    </row>
    <row r="11899" spans="6:10">
      <c r="F11899">
        <f t="shared" si="32"/>
        <v>0</v>
      </c>
      <c r="G11899">
        <f>COUNTIF($D$2:D11899,D11899)</f>
        <v>0</v>
      </c>
      <c r="H11899" t="str">
        <f t="shared" si="33"/>
        <v xml:space="preserve"> - 0</v>
      </c>
      <c r="I11899">
        <f t="shared" si="34"/>
        <v>0</v>
      </c>
      <c r="J11899">
        <f t="shared" si="35"/>
        <v>0</v>
      </c>
    </row>
    <row r="11900" spans="6:10">
      <c r="F11900">
        <f t="shared" si="32"/>
        <v>0</v>
      </c>
      <c r="G11900">
        <f>COUNTIF($D$2:D11900,D11900)</f>
        <v>0</v>
      </c>
      <c r="H11900" t="str">
        <f t="shared" si="33"/>
        <v xml:space="preserve"> - 0</v>
      </c>
      <c r="I11900">
        <f t="shared" si="34"/>
        <v>0</v>
      </c>
      <c r="J11900">
        <f t="shared" si="35"/>
        <v>0</v>
      </c>
    </row>
    <row r="11901" spans="6:10">
      <c r="F11901">
        <f t="shared" si="32"/>
        <v>0</v>
      </c>
      <c r="G11901">
        <f>COUNTIF($D$2:D11901,D11901)</f>
        <v>0</v>
      </c>
      <c r="H11901" t="str">
        <f t="shared" si="33"/>
        <v xml:space="preserve"> - 0</v>
      </c>
      <c r="I11901">
        <f t="shared" si="34"/>
        <v>0</v>
      </c>
      <c r="J11901">
        <f t="shared" si="35"/>
        <v>0</v>
      </c>
    </row>
    <row r="11902" spans="6:10">
      <c r="F11902">
        <f t="shared" si="32"/>
        <v>0</v>
      </c>
      <c r="G11902">
        <f>COUNTIF($D$2:D11902,D11902)</f>
        <v>0</v>
      </c>
      <c r="H11902" t="str">
        <f t="shared" si="33"/>
        <v xml:space="preserve"> - 0</v>
      </c>
      <c r="I11902">
        <f t="shared" si="34"/>
        <v>0</v>
      </c>
      <c r="J11902">
        <f t="shared" si="35"/>
        <v>0</v>
      </c>
    </row>
    <row r="11903" spans="6:10">
      <c r="F11903">
        <f t="shared" si="32"/>
        <v>0</v>
      </c>
      <c r="G11903">
        <f>COUNTIF($D$2:D11903,D11903)</f>
        <v>0</v>
      </c>
      <c r="H11903" t="str">
        <f t="shared" si="33"/>
        <v xml:space="preserve"> - 0</v>
      </c>
      <c r="I11903">
        <f t="shared" si="34"/>
        <v>0</v>
      </c>
      <c r="J11903">
        <f t="shared" si="35"/>
        <v>0</v>
      </c>
    </row>
    <row r="11904" spans="6:10">
      <c r="F11904">
        <f t="shared" si="32"/>
        <v>0</v>
      </c>
      <c r="G11904">
        <f>COUNTIF($D$2:D11904,D11904)</f>
        <v>0</v>
      </c>
      <c r="H11904" t="str">
        <f t="shared" si="33"/>
        <v xml:space="preserve"> - 0</v>
      </c>
      <c r="I11904">
        <f t="shared" si="34"/>
        <v>0</v>
      </c>
      <c r="J11904">
        <f t="shared" si="35"/>
        <v>0</v>
      </c>
    </row>
    <row r="11905" spans="6:10">
      <c r="F11905">
        <f t="shared" si="32"/>
        <v>0</v>
      </c>
      <c r="G11905">
        <f>COUNTIF($D$2:D11905,D11905)</f>
        <v>0</v>
      </c>
      <c r="H11905" t="str">
        <f t="shared" si="33"/>
        <v xml:space="preserve"> - 0</v>
      </c>
      <c r="I11905">
        <f t="shared" si="34"/>
        <v>0</v>
      </c>
      <c r="J11905">
        <f t="shared" si="35"/>
        <v>0</v>
      </c>
    </row>
    <row r="11906" spans="6:10">
      <c r="F11906">
        <f t="shared" si="32"/>
        <v>0</v>
      </c>
      <c r="G11906">
        <f>COUNTIF($D$2:D11906,D11906)</f>
        <v>0</v>
      </c>
      <c r="H11906" t="str">
        <f t="shared" si="33"/>
        <v xml:space="preserve"> - 0</v>
      </c>
      <c r="I11906">
        <f t="shared" si="34"/>
        <v>0</v>
      </c>
      <c r="J11906">
        <f t="shared" si="35"/>
        <v>0</v>
      </c>
    </row>
    <row r="11907" spans="6:10">
      <c r="F11907">
        <f t="shared" si="32"/>
        <v>0</v>
      </c>
      <c r="G11907">
        <f>COUNTIF($D$2:D11907,D11907)</f>
        <v>0</v>
      </c>
      <c r="H11907" t="str">
        <f t="shared" si="33"/>
        <v xml:space="preserve"> - 0</v>
      </c>
      <c r="I11907">
        <f t="shared" si="34"/>
        <v>0</v>
      </c>
      <c r="J11907">
        <f t="shared" si="35"/>
        <v>0</v>
      </c>
    </row>
    <row r="11908" spans="6:10">
      <c r="F11908">
        <f t="shared" si="32"/>
        <v>0</v>
      </c>
      <c r="G11908">
        <f>COUNTIF($D$2:D11908,D11908)</f>
        <v>0</v>
      </c>
      <c r="H11908" t="str">
        <f t="shared" si="33"/>
        <v xml:space="preserve"> - 0</v>
      </c>
      <c r="I11908">
        <f t="shared" si="34"/>
        <v>0</v>
      </c>
      <c r="J11908">
        <f t="shared" si="35"/>
        <v>0</v>
      </c>
    </row>
    <row r="11909" spans="6:10">
      <c r="F11909">
        <f t="shared" si="32"/>
        <v>0</v>
      </c>
      <c r="G11909">
        <f>COUNTIF($D$2:D11909,D11909)</f>
        <v>0</v>
      </c>
      <c r="H11909" t="str">
        <f t="shared" si="33"/>
        <v xml:space="preserve"> - 0</v>
      </c>
      <c r="I11909">
        <f t="shared" si="34"/>
        <v>0</v>
      </c>
      <c r="J11909">
        <f t="shared" si="35"/>
        <v>0</v>
      </c>
    </row>
    <row r="11910" spans="6:10">
      <c r="F11910">
        <f t="shared" si="32"/>
        <v>0</v>
      </c>
      <c r="G11910">
        <f>COUNTIF($D$2:D11910,D11910)</f>
        <v>0</v>
      </c>
      <c r="H11910" t="str">
        <f t="shared" si="33"/>
        <v xml:space="preserve"> - 0</v>
      </c>
      <c r="I11910">
        <f t="shared" si="34"/>
        <v>0</v>
      </c>
      <c r="J11910">
        <f t="shared" si="35"/>
        <v>0</v>
      </c>
    </row>
    <row r="11911" spans="6:10">
      <c r="F11911">
        <f t="shared" si="32"/>
        <v>0</v>
      </c>
      <c r="G11911">
        <f>COUNTIF($D$2:D11911,D11911)</f>
        <v>0</v>
      </c>
      <c r="H11911" t="str">
        <f t="shared" si="33"/>
        <v xml:space="preserve"> - 0</v>
      </c>
      <c r="I11911">
        <f t="shared" si="34"/>
        <v>0</v>
      </c>
      <c r="J11911">
        <f t="shared" si="35"/>
        <v>0</v>
      </c>
    </row>
    <row r="11912" spans="6:10">
      <c r="F11912">
        <f t="shared" si="32"/>
        <v>0</v>
      </c>
      <c r="G11912">
        <f>COUNTIF($D$2:D11912,D11912)</f>
        <v>0</v>
      </c>
      <c r="H11912" t="str">
        <f t="shared" si="33"/>
        <v xml:space="preserve"> - 0</v>
      </c>
      <c r="I11912">
        <f t="shared" si="34"/>
        <v>0</v>
      </c>
      <c r="J11912">
        <f t="shared" si="35"/>
        <v>0</v>
      </c>
    </row>
    <row r="11913" spans="6:10">
      <c r="F11913">
        <f t="shared" si="32"/>
        <v>0</v>
      </c>
      <c r="G11913">
        <f>COUNTIF($D$2:D11913,D11913)</f>
        <v>0</v>
      </c>
      <c r="H11913" t="str">
        <f t="shared" si="33"/>
        <v xml:space="preserve"> - 0</v>
      </c>
      <c r="I11913">
        <f t="shared" si="34"/>
        <v>0</v>
      </c>
      <c r="J11913">
        <f t="shared" si="35"/>
        <v>0</v>
      </c>
    </row>
    <row r="11914" spans="6:10">
      <c r="F11914">
        <f t="shared" si="32"/>
        <v>0</v>
      </c>
      <c r="G11914">
        <f>COUNTIF($D$2:D11914,D11914)</f>
        <v>0</v>
      </c>
      <c r="H11914" t="str">
        <f t="shared" si="33"/>
        <v xml:space="preserve"> - 0</v>
      </c>
      <c r="I11914">
        <f t="shared" si="34"/>
        <v>0</v>
      </c>
      <c r="J11914">
        <f t="shared" si="35"/>
        <v>0</v>
      </c>
    </row>
    <row r="11915" spans="6:10">
      <c r="F11915">
        <f t="shared" si="32"/>
        <v>0</v>
      </c>
      <c r="G11915">
        <f>COUNTIF($D$2:D11915,D11915)</f>
        <v>0</v>
      </c>
      <c r="H11915" t="str">
        <f t="shared" si="33"/>
        <v xml:space="preserve"> - 0</v>
      </c>
      <c r="I11915">
        <f t="shared" si="34"/>
        <v>0</v>
      </c>
      <c r="J11915">
        <f t="shared" si="35"/>
        <v>0</v>
      </c>
    </row>
    <row r="11916" spans="6:10">
      <c r="F11916">
        <f t="shared" si="32"/>
        <v>0</v>
      </c>
      <c r="G11916">
        <f>COUNTIF($D$2:D11916,D11916)</f>
        <v>0</v>
      </c>
      <c r="H11916" t="str">
        <f t="shared" si="33"/>
        <v xml:space="preserve"> - 0</v>
      </c>
      <c r="I11916">
        <f t="shared" si="34"/>
        <v>0</v>
      </c>
      <c r="J11916">
        <f t="shared" si="35"/>
        <v>0</v>
      </c>
    </row>
    <row r="11917" spans="6:10">
      <c r="F11917">
        <f t="shared" si="32"/>
        <v>0</v>
      </c>
      <c r="G11917">
        <f>COUNTIF($D$2:D11917,D11917)</f>
        <v>0</v>
      </c>
      <c r="H11917" t="str">
        <f t="shared" si="33"/>
        <v xml:space="preserve"> - 0</v>
      </c>
      <c r="I11917">
        <f t="shared" si="34"/>
        <v>0</v>
      </c>
      <c r="J11917">
        <f t="shared" si="35"/>
        <v>0</v>
      </c>
    </row>
    <row r="11918" spans="6:10">
      <c r="F11918">
        <f t="shared" si="32"/>
        <v>0</v>
      </c>
      <c r="G11918">
        <f>COUNTIF($D$2:D11918,D11918)</f>
        <v>0</v>
      </c>
      <c r="H11918" t="str">
        <f t="shared" si="33"/>
        <v xml:space="preserve"> - 0</v>
      </c>
      <c r="I11918">
        <f t="shared" si="34"/>
        <v>0</v>
      </c>
      <c r="J11918">
        <f t="shared" si="35"/>
        <v>0</v>
      </c>
    </row>
    <row r="11919" spans="6:10">
      <c r="F11919">
        <f t="shared" si="32"/>
        <v>0</v>
      </c>
      <c r="G11919">
        <f>COUNTIF($D$2:D11919,D11919)</f>
        <v>0</v>
      </c>
      <c r="H11919" t="str">
        <f t="shared" si="33"/>
        <v xml:space="preserve"> - 0</v>
      </c>
      <c r="I11919">
        <f t="shared" si="34"/>
        <v>0</v>
      </c>
      <c r="J11919">
        <f t="shared" si="35"/>
        <v>0</v>
      </c>
    </row>
    <row r="11920" spans="6:10">
      <c r="F11920">
        <f t="shared" si="32"/>
        <v>0</v>
      </c>
      <c r="G11920">
        <f>COUNTIF($D$2:D11920,D11920)</f>
        <v>0</v>
      </c>
      <c r="H11920" t="str">
        <f t="shared" si="33"/>
        <v xml:space="preserve"> - 0</v>
      </c>
      <c r="I11920">
        <f t="shared" si="34"/>
        <v>0</v>
      </c>
      <c r="J11920">
        <f t="shared" si="35"/>
        <v>0</v>
      </c>
    </row>
    <row r="11921" spans="6:10">
      <c r="F11921">
        <f t="shared" si="32"/>
        <v>0</v>
      </c>
      <c r="G11921">
        <f>COUNTIF($D$2:D11921,D11921)</f>
        <v>0</v>
      </c>
      <c r="H11921" t="str">
        <f t="shared" si="33"/>
        <v xml:space="preserve"> - 0</v>
      </c>
      <c r="I11921">
        <f t="shared" si="34"/>
        <v>0</v>
      </c>
      <c r="J11921">
        <f t="shared" si="35"/>
        <v>0</v>
      </c>
    </row>
    <row r="11922" spans="6:10">
      <c r="F11922">
        <f t="shared" si="32"/>
        <v>0</v>
      </c>
      <c r="G11922">
        <f>COUNTIF($D$2:D11922,D11922)</f>
        <v>0</v>
      </c>
      <c r="H11922" t="str">
        <f t="shared" si="33"/>
        <v xml:space="preserve"> - 0</v>
      </c>
      <c r="I11922">
        <f t="shared" si="34"/>
        <v>0</v>
      </c>
      <c r="J11922">
        <f t="shared" si="35"/>
        <v>0</v>
      </c>
    </row>
    <row r="11923" spans="6:10">
      <c r="F11923">
        <f t="shared" si="32"/>
        <v>0</v>
      </c>
      <c r="G11923">
        <f>COUNTIF($D$2:D11923,D11923)</f>
        <v>0</v>
      </c>
      <c r="H11923" t="str">
        <f t="shared" si="33"/>
        <v xml:space="preserve"> - 0</v>
      </c>
      <c r="I11923">
        <f t="shared" si="34"/>
        <v>0</v>
      </c>
      <c r="J11923">
        <f t="shared" si="35"/>
        <v>0</v>
      </c>
    </row>
    <row r="11924" spans="6:10">
      <c r="F11924">
        <f t="shared" si="32"/>
        <v>0</v>
      </c>
      <c r="G11924">
        <f>COUNTIF($D$2:D11924,D11924)</f>
        <v>0</v>
      </c>
      <c r="H11924" t="str">
        <f t="shared" si="33"/>
        <v xml:space="preserve"> - 0</v>
      </c>
      <c r="I11924">
        <f t="shared" si="34"/>
        <v>0</v>
      </c>
      <c r="J11924">
        <f t="shared" si="35"/>
        <v>0</v>
      </c>
    </row>
    <row r="11925" spans="6:10">
      <c r="F11925">
        <f t="shared" si="32"/>
        <v>0</v>
      </c>
      <c r="G11925">
        <f>COUNTIF($D$2:D11925,D11925)</f>
        <v>0</v>
      </c>
      <c r="H11925" t="str">
        <f t="shared" si="33"/>
        <v xml:space="preserve"> - 0</v>
      </c>
      <c r="I11925">
        <f t="shared" si="34"/>
        <v>0</v>
      </c>
      <c r="J11925">
        <f t="shared" si="35"/>
        <v>0</v>
      </c>
    </row>
    <row r="11926" spans="6:10">
      <c r="F11926">
        <f t="shared" si="32"/>
        <v>0</v>
      </c>
      <c r="G11926">
        <f>COUNTIF($D$2:D11926,D11926)</f>
        <v>0</v>
      </c>
      <c r="H11926" t="str">
        <f t="shared" si="33"/>
        <v xml:space="preserve"> - 0</v>
      </c>
      <c r="I11926">
        <f t="shared" si="34"/>
        <v>0</v>
      </c>
      <c r="J11926">
        <f t="shared" si="35"/>
        <v>0</v>
      </c>
    </row>
    <row r="11927" spans="6:10">
      <c r="F11927">
        <f t="shared" si="32"/>
        <v>0</v>
      </c>
      <c r="G11927">
        <f>COUNTIF($D$2:D11927,D11927)</f>
        <v>0</v>
      </c>
      <c r="H11927" t="str">
        <f t="shared" si="33"/>
        <v xml:space="preserve"> - 0</v>
      </c>
      <c r="I11927">
        <f t="shared" si="34"/>
        <v>0</v>
      </c>
      <c r="J11927">
        <f t="shared" si="35"/>
        <v>0</v>
      </c>
    </row>
    <row r="11928" spans="6:10">
      <c r="F11928">
        <f t="shared" si="32"/>
        <v>0</v>
      </c>
      <c r="G11928">
        <f>COUNTIF($D$2:D11928,D11928)</f>
        <v>0</v>
      </c>
      <c r="H11928" t="str">
        <f t="shared" si="33"/>
        <v xml:space="preserve"> - 0</v>
      </c>
      <c r="I11928">
        <f t="shared" si="34"/>
        <v>0</v>
      </c>
      <c r="J11928">
        <f t="shared" si="35"/>
        <v>0</v>
      </c>
    </row>
    <row r="11929" spans="6:10">
      <c r="F11929">
        <f t="shared" si="32"/>
        <v>0</v>
      </c>
      <c r="G11929">
        <f>COUNTIF($D$2:D11929,D11929)</f>
        <v>0</v>
      </c>
      <c r="H11929" t="str">
        <f t="shared" si="33"/>
        <v xml:space="preserve"> - 0</v>
      </c>
      <c r="I11929">
        <f t="shared" si="34"/>
        <v>0</v>
      </c>
      <c r="J11929">
        <f t="shared" si="35"/>
        <v>0</v>
      </c>
    </row>
    <row r="11930" spans="6:10">
      <c r="F11930">
        <f t="shared" si="32"/>
        <v>0</v>
      </c>
      <c r="G11930">
        <f>COUNTIF($D$2:D11930,D11930)</f>
        <v>0</v>
      </c>
      <c r="H11930" t="str">
        <f t="shared" si="33"/>
        <v xml:space="preserve"> - 0</v>
      </c>
      <c r="I11930">
        <f t="shared" si="34"/>
        <v>0</v>
      </c>
      <c r="J11930">
        <f t="shared" si="35"/>
        <v>0</v>
      </c>
    </row>
    <row r="11931" spans="6:10">
      <c r="F11931">
        <f t="shared" si="32"/>
        <v>0</v>
      </c>
      <c r="G11931">
        <f>COUNTIF($D$2:D11931,D11931)</f>
        <v>0</v>
      </c>
      <c r="H11931" t="str">
        <f t="shared" si="33"/>
        <v xml:space="preserve"> - 0</v>
      </c>
      <c r="I11931">
        <f t="shared" si="34"/>
        <v>0</v>
      </c>
      <c r="J11931">
        <f t="shared" si="35"/>
        <v>0</v>
      </c>
    </row>
    <row r="11932" spans="6:10">
      <c r="F11932">
        <f t="shared" si="32"/>
        <v>0</v>
      </c>
      <c r="G11932">
        <f>COUNTIF($D$2:D11932,D11932)</f>
        <v>0</v>
      </c>
      <c r="H11932" t="str">
        <f t="shared" si="33"/>
        <v xml:space="preserve"> - 0</v>
      </c>
      <c r="I11932">
        <f t="shared" si="34"/>
        <v>0</v>
      </c>
      <c r="J11932">
        <f t="shared" si="35"/>
        <v>0</v>
      </c>
    </row>
    <row r="11933" spans="6:10">
      <c r="F11933">
        <f t="shared" si="32"/>
        <v>0</v>
      </c>
      <c r="G11933">
        <f>COUNTIF($D$2:D11933,D11933)</f>
        <v>0</v>
      </c>
      <c r="H11933" t="str">
        <f t="shared" si="33"/>
        <v xml:space="preserve"> - 0</v>
      </c>
      <c r="I11933">
        <f t="shared" si="34"/>
        <v>0</v>
      </c>
      <c r="J11933">
        <f t="shared" si="35"/>
        <v>0</v>
      </c>
    </row>
    <row r="11934" spans="6:10">
      <c r="F11934">
        <f t="shared" si="32"/>
        <v>0</v>
      </c>
      <c r="G11934">
        <f>COUNTIF($D$2:D11934,D11934)</f>
        <v>0</v>
      </c>
      <c r="H11934" t="str">
        <f t="shared" si="33"/>
        <v xml:space="preserve"> - 0</v>
      </c>
      <c r="I11934">
        <f t="shared" si="34"/>
        <v>0</v>
      </c>
      <c r="J11934">
        <f t="shared" si="35"/>
        <v>0</v>
      </c>
    </row>
    <row r="11935" spans="6:10">
      <c r="F11935">
        <f t="shared" si="32"/>
        <v>0</v>
      </c>
      <c r="G11935">
        <f>COUNTIF($D$2:D11935,D11935)</f>
        <v>0</v>
      </c>
      <c r="H11935" t="str">
        <f t="shared" si="33"/>
        <v xml:space="preserve"> - 0</v>
      </c>
      <c r="I11935">
        <f t="shared" si="34"/>
        <v>0</v>
      </c>
      <c r="J11935">
        <f t="shared" si="35"/>
        <v>0</v>
      </c>
    </row>
    <row r="11936" spans="6:10">
      <c r="F11936">
        <f t="shared" si="32"/>
        <v>0</v>
      </c>
      <c r="G11936">
        <f>COUNTIF($D$2:D11936,D11936)</f>
        <v>0</v>
      </c>
      <c r="H11936" t="str">
        <f t="shared" si="33"/>
        <v xml:space="preserve"> - 0</v>
      </c>
      <c r="I11936">
        <f t="shared" si="34"/>
        <v>0</v>
      </c>
      <c r="J11936">
        <f t="shared" si="35"/>
        <v>0</v>
      </c>
    </row>
    <row r="11937" spans="6:10">
      <c r="F11937">
        <f t="shared" si="32"/>
        <v>0</v>
      </c>
      <c r="G11937">
        <f>COUNTIF($D$2:D11937,D11937)</f>
        <v>0</v>
      </c>
      <c r="H11937" t="str">
        <f t="shared" si="33"/>
        <v xml:space="preserve"> - 0</v>
      </c>
      <c r="I11937">
        <f t="shared" si="34"/>
        <v>0</v>
      </c>
      <c r="J11937">
        <f t="shared" si="35"/>
        <v>0</v>
      </c>
    </row>
    <row r="11938" spans="6:10">
      <c r="F11938">
        <f t="shared" si="32"/>
        <v>0</v>
      </c>
      <c r="G11938">
        <f>COUNTIF($D$2:D11938,D11938)</f>
        <v>0</v>
      </c>
      <c r="H11938" t="str">
        <f t="shared" si="33"/>
        <v xml:space="preserve"> - 0</v>
      </c>
      <c r="I11938">
        <f t="shared" si="34"/>
        <v>0</v>
      </c>
      <c r="J11938">
        <f t="shared" si="35"/>
        <v>0</v>
      </c>
    </row>
    <row r="11939" spans="6:10">
      <c r="F11939">
        <f t="shared" si="32"/>
        <v>0</v>
      </c>
      <c r="G11939">
        <f>COUNTIF($D$2:D11939,D11939)</f>
        <v>0</v>
      </c>
      <c r="H11939" t="str">
        <f t="shared" si="33"/>
        <v xml:space="preserve"> - 0</v>
      </c>
      <c r="I11939">
        <f t="shared" si="34"/>
        <v>0</v>
      </c>
      <c r="J11939">
        <f t="shared" si="35"/>
        <v>0</v>
      </c>
    </row>
    <row r="11940" spans="6:10">
      <c r="F11940">
        <f t="shared" si="32"/>
        <v>0</v>
      </c>
      <c r="G11940">
        <f>COUNTIF($D$2:D11940,D11940)</f>
        <v>0</v>
      </c>
      <c r="H11940" t="str">
        <f t="shared" si="33"/>
        <v xml:space="preserve"> - 0</v>
      </c>
      <c r="I11940">
        <f t="shared" si="34"/>
        <v>0</v>
      </c>
      <c r="J11940">
        <f t="shared" si="35"/>
        <v>0</v>
      </c>
    </row>
    <row r="11941" spans="6:10">
      <c r="F11941">
        <f t="shared" si="32"/>
        <v>0</v>
      </c>
      <c r="G11941">
        <f>COUNTIF($D$2:D11941,D11941)</f>
        <v>0</v>
      </c>
      <c r="H11941" t="str">
        <f t="shared" si="33"/>
        <v xml:space="preserve"> - 0</v>
      </c>
      <c r="I11941">
        <f t="shared" si="34"/>
        <v>0</v>
      </c>
      <c r="J11941">
        <f t="shared" si="35"/>
        <v>0</v>
      </c>
    </row>
    <row r="11942" spans="6:10">
      <c r="F11942">
        <f t="shared" si="32"/>
        <v>0</v>
      </c>
      <c r="G11942">
        <f>COUNTIF($D$2:D11942,D11942)</f>
        <v>0</v>
      </c>
      <c r="H11942" t="str">
        <f t="shared" si="33"/>
        <v xml:space="preserve"> - 0</v>
      </c>
      <c r="I11942">
        <f t="shared" si="34"/>
        <v>0</v>
      </c>
      <c r="J11942">
        <f t="shared" si="35"/>
        <v>0</v>
      </c>
    </row>
    <row r="11943" spans="6:10">
      <c r="F11943">
        <f t="shared" si="32"/>
        <v>0</v>
      </c>
      <c r="G11943">
        <f>COUNTIF($D$2:D11943,D11943)</f>
        <v>0</v>
      </c>
      <c r="H11943" t="str">
        <f t="shared" si="33"/>
        <v xml:space="preserve"> - 0</v>
      </c>
      <c r="I11943">
        <f t="shared" si="34"/>
        <v>0</v>
      </c>
      <c r="J11943">
        <f t="shared" si="35"/>
        <v>0</v>
      </c>
    </row>
    <row r="11944" spans="6:10">
      <c r="F11944">
        <f t="shared" si="32"/>
        <v>0</v>
      </c>
      <c r="G11944">
        <f>COUNTIF($D$2:D11944,D11944)</f>
        <v>0</v>
      </c>
      <c r="H11944" t="str">
        <f t="shared" si="33"/>
        <v xml:space="preserve"> - 0</v>
      </c>
      <c r="I11944">
        <f t="shared" si="34"/>
        <v>0</v>
      </c>
      <c r="J11944">
        <f t="shared" si="35"/>
        <v>0</v>
      </c>
    </row>
    <row r="11945" spans="6:10">
      <c r="F11945">
        <f t="shared" ref="F11945:F12008" si="36">COUNTIF($D$2:$D$35910,D11945)</f>
        <v>0</v>
      </c>
      <c r="G11945">
        <f>COUNTIF($D$2:D11945,D11945)</f>
        <v>0</v>
      </c>
      <c r="H11945" t="str">
        <f t="shared" ref="H11945:H12008" si="37">D11945&amp;" - "&amp;G11945&amp;AH11945</f>
        <v xml:space="preserve"> - 0</v>
      </c>
      <c r="I11945">
        <f t="shared" ref="I11945:I12008" si="38">A11945</f>
        <v>0</v>
      </c>
      <c r="J11945">
        <f t="shared" ref="J11945:J12008" si="39">B11945</f>
        <v>0</v>
      </c>
    </row>
    <row r="11946" spans="6:10">
      <c r="F11946">
        <f t="shared" si="36"/>
        <v>0</v>
      </c>
      <c r="G11946">
        <f>COUNTIF($D$2:D11946,D11946)</f>
        <v>0</v>
      </c>
      <c r="H11946" t="str">
        <f t="shared" si="37"/>
        <v xml:space="preserve"> - 0</v>
      </c>
      <c r="I11946">
        <f t="shared" si="38"/>
        <v>0</v>
      </c>
      <c r="J11946">
        <f t="shared" si="39"/>
        <v>0</v>
      </c>
    </row>
    <row r="11947" spans="6:10">
      <c r="F11947">
        <f t="shared" si="36"/>
        <v>0</v>
      </c>
      <c r="G11947">
        <f>COUNTIF($D$2:D11947,D11947)</f>
        <v>0</v>
      </c>
      <c r="H11947" t="str">
        <f t="shared" si="37"/>
        <v xml:space="preserve"> - 0</v>
      </c>
      <c r="I11947">
        <f t="shared" si="38"/>
        <v>0</v>
      </c>
      <c r="J11947">
        <f t="shared" si="39"/>
        <v>0</v>
      </c>
    </row>
    <row r="11948" spans="6:10">
      <c r="F11948">
        <f t="shared" si="36"/>
        <v>0</v>
      </c>
      <c r="G11948">
        <f>COUNTIF($D$2:D11948,D11948)</f>
        <v>0</v>
      </c>
      <c r="H11948" t="str">
        <f t="shared" si="37"/>
        <v xml:space="preserve"> - 0</v>
      </c>
      <c r="I11948">
        <f t="shared" si="38"/>
        <v>0</v>
      </c>
      <c r="J11948">
        <f t="shared" si="39"/>
        <v>0</v>
      </c>
    </row>
    <row r="11949" spans="6:10">
      <c r="F11949">
        <f t="shared" si="36"/>
        <v>0</v>
      </c>
      <c r="G11949">
        <f>COUNTIF($D$2:D11949,D11949)</f>
        <v>0</v>
      </c>
      <c r="H11949" t="str">
        <f t="shared" si="37"/>
        <v xml:space="preserve"> - 0</v>
      </c>
      <c r="I11949">
        <f t="shared" si="38"/>
        <v>0</v>
      </c>
      <c r="J11949">
        <f t="shared" si="39"/>
        <v>0</v>
      </c>
    </row>
    <row r="11950" spans="6:10">
      <c r="F11950">
        <f t="shared" si="36"/>
        <v>0</v>
      </c>
      <c r="G11950">
        <f>COUNTIF($D$2:D11950,D11950)</f>
        <v>0</v>
      </c>
      <c r="H11950" t="str">
        <f t="shared" si="37"/>
        <v xml:space="preserve"> - 0</v>
      </c>
      <c r="I11950">
        <f t="shared" si="38"/>
        <v>0</v>
      </c>
      <c r="J11950">
        <f t="shared" si="39"/>
        <v>0</v>
      </c>
    </row>
    <row r="11951" spans="6:10">
      <c r="F11951">
        <f t="shared" si="36"/>
        <v>0</v>
      </c>
      <c r="G11951">
        <f>COUNTIF($D$2:D11951,D11951)</f>
        <v>0</v>
      </c>
      <c r="H11951" t="str">
        <f t="shared" si="37"/>
        <v xml:space="preserve"> - 0</v>
      </c>
      <c r="I11951">
        <f t="shared" si="38"/>
        <v>0</v>
      </c>
      <c r="J11951">
        <f t="shared" si="39"/>
        <v>0</v>
      </c>
    </row>
    <row r="11952" spans="6:10">
      <c r="F11952">
        <f t="shared" si="36"/>
        <v>0</v>
      </c>
      <c r="G11952">
        <f>COUNTIF($D$2:D11952,D11952)</f>
        <v>0</v>
      </c>
      <c r="H11952" t="str">
        <f t="shared" si="37"/>
        <v xml:space="preserve"> - 0</v>
      </c>
      <c r="I11952">
        <f t="shared" si="38"/>
        <v>0</v>
      </c>
      <c r="J11952">
        <f t="shared" si="39"/>
        <v>0</v>
      </c>
    </row>
    <row r="11953" spans="6:10">
      <c r="F11953">
        <f t="shared" si="36"/>
        <v>0</v>
      </c>
      <c r="G11953">
        <f>COUNTIF($D$2:D11953,D11953)</f>
        <v>0</v>
      </c>
      <c r="H11953" t="str">
        <f t="shared" si="37"/>
        <v xml:space="preserve"> - 0</v>
      </c>
      <c r="I11953">
        <f t="shared" si="38"/>
        <v>0</v>
      </c>
      <c r="J11953">
        <f t="shared" si="39"/>
        <v>0</v>
      </c>
    </row>
    <row r="11954" spans="6:10">
      <c r="F11954">
        <f t="shared" si="36"/>
        <v>0</v>
      </c>
      <c r="G11954">
        <f>COUNTIF($D$2:D11954,D11954)</f>
        <v>0</v>
      </c>
      <c r="H11954" t="str">
        <f t="shared" si="37"/>
        <v xml:space="preserve"> - 0</v>
      </c>
      <c r="I11954">
        <f t="shared" si="38"/>
        <v>0</v>
      </c>
      <c r="J11954">
        <f t="shared" si="39"/>
        <v>0</v>
      </c>
    </row>
    <row r="11955" spans="6:10">
      <c r="F11955">
        <f t="shared" si="36"/>
        <v>0</v>
      </c>
      <c r="G11955">
        <f>COUNTIF($D$2:D11955,D11955)</f>
        <v>0</v>
      </c>
      <c r="H11955" t="str">
        <f t="shared" si="37"/>
        <v xml:space="preserve"> - 0</v>
      </c>
      <c r="I11955">
        <f t="shared" si="38"/>
        <v>0</v>
      </c>
      <c r="J11955">
        <f t="shared" si="39"/>
        <v>0</v>
      </c>
    </row>
    <row r="11956" spans="6:10">
      <c r="F11956">
        <f t="shared" si="36"/>
        <v>0</v>
      </c>
      <c r="G11956">
        <f>COUNTIF($D$2:D11956,D11956)</f>
        <v>0</v>
      </c>
      <c r="H11956" t="str">
        <f t="shared" si="37"/>
        <v xml:space="preserve"> - 0</v>
      </c>
      <c r="I11956">
        <f t="shared" si="38"/>
        <v>0</v>
      </c>
      <c r="J11956">
        <f t="shared" si="39"/>
        <v>0</v>
      </c>
    </row>
    <row r="11957" spans="6:10">
      <c r="F11957">
        <f t="shared" si="36"/>
        <v>0</v>
      </c>
      <c r="G11957">
        <f>COUNTIF($D$2:D11957,D11957)</f>
        <v>0</v>
      </c>
      <c r="H11957" t="str">
        <f t="shared" si="37"/>
        <v xml:space="preserve"> - 0</v>
      </c>
      <c r="I11957">
        <f t="shared" si="38"/>
        <v>0</v>
      </c>
      <c r="J11957">
        <f t="shared" si="39"/>
        <v>0</v>
      </c>
    </row>
    <row r="11958" spans="6:10">
      <c r="F11958">
        <f t="shared" si="36"/>
        <v>0</v>
      </c>
      <c r="G11958">
        <f>COUNTIF($D$2:D11958,D11958)</f>
        <v>0</v>
      </c>
      <c r="H11958" t="str">
        <f t="shared" si="37"/>
        <v xml:space="preserve"> - 0</v>
      </c>
      <c r="I11958">
        <f t="shared" si="38"/>
        <v>0</v>
      </c>
      <c r="J11958">
        <f t="shared" si="39"/>
        <v>0</v>
      </c>
    </row>
    <row r="11959" spans="6:10">
      <c r="F11959">
        <f t="shared" si="36"/>
        <v>0</v>
      </c>
      <c r="G11959">
        <f>COUNTIF($D$2:D11959,D11959)</f>
        <v>0</v>
      </c>
      <c r="H11959" t="str">
        <f t="shared" si="37"/>
        <v xml:space="preserve"> - 0</v>
      </c>
      <c r="I11959">
        <f t="shared" si="38"/>
        <v>0</v>
      </c>
      <c r="J11959">
        <f t="shared" si="39"/>
        <v>0</v>
      </c>
    </row>
    <row r="11960" spans="6:10">
      <c r="F11960">
        <f t="shared" si="36"/>
        <v>0</v>
      </c>
      <c r="G11960">
        <f>COUNTIF($D$2:D11960,D11960)</f>
        <v>0</v>
      </c>
      <c r="H11960" t="str">
        <f t="shared" si="37"/>
        <v xml:space="preserve"> - 0</v>
      </c>
      <c r="I11960">
        <f t="shared" si="38"/>
        <v>0</v>
      </c>
      <c r="J11960">
        <f t="shared" si="39"/>
        <v>0</v>
      </c>
    </row>
    <row r="11961" spans="6:10">
      <c r="F11961">
        <f t="shared" si="36"/>
        <v>0</v>
      </c>
      <c r="G11961">
        <f>COUNTIF($D$2:D11961,D11961)</f>
        <v>0</v>
      </c>
      <c r="H11961" t="str">
        <f t="shared" si="37"/>
        <v xml:space="preserve"> - 0</v>
      </c>
      <c r="I11961">
        <f t="shared" si="38"/>
        <v>0</v>
      </c>
      <c r="J11961">
        <f t="shared" si="39"/>
        <v>0</v>
      </c>
    </row>
    <row r="11962" spans="6:10">
      <c r="F11962">
        <f t="shared" si="36"/>
        <v>0</v>
      </c>
      <c r="G11962">
        <f>COUNTIF($D$2:D11962,D11962)</f>
        <v>0</v>
      </c>
      <c r="H11962" t="str">
        <f t="shared" si="37"/>
        <v xml:space="preserve"> - 0</v>
      </c>
      <c r="I11962">
        <f t="shared" si="38"/>
        <v>0</v>
      </c>
      <c r="J11962">
        <f t="shared" si="39"/>
        <v>0</v>
      </c>
    </row>
    <row r="11963" spans="6:10">
      <c r="F11963">
        <f t="shared" si="36"/>
        <v>0</v>
      </c>
      <c r="G11963">
        <f>COUNTIF($D$2:D11963,D11963)</f>
        <v>0</v>
      </c>
      <c r="H11963" t="str">
        <f t="shared" si="37"/>
        <v xml:space="preserve"> - 0</v>
      </c>
      <c r="I11963">
        <f t="shared" si="38"/>
        <v>0</v>
      </c>
      <c r="J11963">
        <f t="shared" si="39"/>
        <v>0</v>
      </c>
    </row>
    <row r="11964" spans="6:10">
      <c r="F11964">
        <f t="shared" si="36"/>
        <v>0</v>
      </c>
      <c r="G11964">
        <f>COUNTIF($D$2:D11964,D11964)</f>
        <v>0</v>
      </c>
      <c r="H11964" t="str">
        <f t="shared" si="37"/>
        <v xml:space="preserve"> - 0</v>
      </c>
      <c r="I11964">
        <f t="shared" si="38"/>
        <v>0</v>
      </c>
      <c r="J11964">
        <f t="shared" si="39"/>
        <v>0</v>
      </c>
    </row>
    <row r="11965" spans="6:10">
      <c r="F11965">
        <f t="shared" si="36"/>
        <v>0</v>
      </c>
      <c r="G11965">
        <f>COUNTIF($D$2:D11965,D11965)</f>
        <v>0</v>
      </c>
      <c r="H11965" t="str">
        <f t="shared" si="37"/>
        <v xml:space="preserve"> - 0</v>
      </c>
      <c r="I11965">
        <f t="shared" si="38"/>
        <v>0</v>
      </c>
      <c r="J11965">
        <f t="shared" si="39"/>
        <v>0</v>
      </c>
    </row>
    <row r="11966" spans="6:10">
      <c r="F11966">
        <f t="shared" si="36"/>
        <v>0</v>
      </c>
      <c r="G11966">
        <f>COUNTIF($D$2:D11966,D11966)</f>
        <v>0</v>
      </c>
      <c r="H11966" t="str">
        <f t="shared" si="37"/>
        <v xml:space="preserve"> - 0</v>
      </c>
      <c r="I11966">
        <f t="shared" si="38"/>
        <v>0</v>
      </c>
      <c r="J11966">
        <f t="shared" si="39"/>
        <v>0</v>
      </c>
    </row>
    <row r="11967" spans="6:10">
      <c r="F11967">
        <f t="shared" si="36"/>
        <v>0</v>
      </c>
      <c r="G11967">
        <f>COUNTIF($D$2:D11967,D11967)</f>
        <v>0</v>
      </c>
      <c r="H11967" t="str">
        <f t="shared" si="37"/>
        <v xml:space="preserve"> - 0</v>
      </c>
      <c r="I11967">
        <f t="shared" si="38"/>
        <v>0</v>
      </c>
      <c r="J11967">
        <f t="shared" si="39"/>
        <v>0</v>
      </c>
    </row>
    <row r="11968" spans="6:10">
      <c r="F11968">
        <f t="shared" si="36"/>
        <v>0</v>
      </c>
      <c r="G11968">
        <f>COUNTIF($D$2:D11968,D11968)</f>
        <v>0</v>
      </c>
      <c r="H11968" t="str">
        <f t="shared" si="37"/>
        <v xml:space="preserve"> - 0</v>
      </c>
      <c r="I11968">
        <f t="shared" si="38"/>
        <v>0</v>
      </c>
      <c r="J11968">
        <f t="shared" si="39"/>
        <v>0</v>
      </c>
    </row>
    <row r="11969" spans="6:10">
      <c r="F11969">
        <f t="shared" si="36"/>
        <v>0</v>
      </c>
      <c r="G11969">
        <f>COUNTIF($D$2:D11969,D11969)</f>
        <v>0</v>
      </c>
      <c r="H11969" t="str">
        <f t="shared" si="37"/>
        <v xml:space="preserve"> - 0</v>
      </c>
      <c r="I11969">
        <f t="shared" si="38"/>
        <v>0</v>
      </c>
      <c r="J11969">
        <f t="shared" si="39"/>
        <v>0</v>
      </c>
    </row>
    <row r="11970" spans="6:10">
      <c r="F11970">
        <f t="shared" si="36"/>
        <v>0</v>
      </c>
      <c r="G11970">
        <f>COUNTIF($D$2:D11970,D11970)</f>
        <v>0</v>
      </c>
      <c r="H11970" t="str">
        <f t="shared" si="37"/>
        <v xml:space="preserve"> - 0</v>
      </c>
      <c r="I11970">
        <f t="shared" si="38"/>
        <v>0</v>
      </c>
      <c r="J11970">
        <f t="shared" si="39"/>
        <v>0</v>
      </c>
    </row>
    <row r="11971" spans="6:10">
      <c r="F11971">
        <f t="shared" si="36"/>
        <v>0</v>
      </c>
      <c r="G11971">
        <f>COUNTIF($D$2:D11971,D11971)</f>
        <v>0</v>
      </c>
      <c r="H11971" t="str">
        <f t="shared" si="37"/>
        <v xml:space="preserve"> - 0</v>
      </c>
      <c r="I11971">
        <f t="shared" si="38"/>
        <v>0</v>
      </c>
      <c r="J11971">
        <f t="shared" si="39"/>
        <v>0</v>
      </c>
    </row>
    <row r="11972" spans="6:10">
      <c r="F11972">
        <f t="shared" si="36"/>
        <v>0</v>
      </c>
      <c r="G11972">
        <f>COUNTIF($D$2:D11972,D11972)</f>
        <v>0</v>
      </c>
      <c r="H11972" t="str">
        <f t="shared" si="37"/>
        <v xml:space="preserve"> - 0</v>
      </c>
      <c r="I11972">
        <f t="shared" si="38"/>
        <v>0</v>
      </c>
      <c r="J11972">
        <f t="shared" si="39"/>
        <v>0</v>
      </c>
    </row>
    <row r="11973" spans="6:10">
      <c r="F11973">
        <f t="shared" si="36"/>
        <v>0</v>
      </c>
      <c r="G11973">
        <f>COUNTIF($D$2:D11973,D11973)</f>
        <v>0</v>
      </c>
      <c r="H11973" t="str">
        <f t="shared" si="37"/>
        <v xml:space="preserve"> - 0</v>
      </c>
      <c r="I11973">
        <f t="shared" si="38"/>
        <v>0</v>
      </c>
      <c r="J11973">
        <f t="shared" si="39"/>
        <v>0</v>
      </c>
    </row>
    <row r="11974" spans="6:10">
      <c r="F11974">
        <f t="shared" si="36"/>
        <v>0</v>
      </c>
      <c r="G11974">
        <f>COUNTIF($D$2:D11974,D11974)</f>
        <v>0</v>
      </c>
      <c r="H11974" t="str">
        <f t="shared" si="37"/>
        <v xml:space="preserve"> - 0</v>
      </c>
      <c r="I11974">
        <f t="shared" si="38"/>
        <v>0</v>
      </c>
      <c r="J11974">
        <f t="shared" si="39"/>
        <v>0</v>
      </c>
    </row>
    <row r="11975" spans="6:10">
      <c r="F11975">
        <f t="shared" si="36"/>
        <v>0</v>
      </c>
      <c r="G11975">
        <f>COUNTIF($D$2:D11975,D11975)</f>
        <v>0</v>
      </c>
      <c r="H11975" t="str">
        <f t="shared" si="37"/>
        <v xml:space="preserve"> - 0</v>
      </c>
      <c r="I11975">
        <f t="shared" si="38"/>
        <v>0</v>
      </c>
      <c r="J11975">
        <f t="shared" si="39"/>
        <v>0</v>
      </c>
    </row>
    <row r="11976" spans="6:10">
      <c r="F11976">
        <f t="shared" si="36"/>
        <v>0</v>
      </c>
      <c r="G11976">
        <f>COUNTIF($D$2:D11976,D11976)</f>
        <v>0</v>
      </c>
      <c r="H11976" t="str">
        <f t="shared" si="37"/>
        <v xml:space="preserve"> - 0</v>
      </c>
      <c r="I11976">
        <f t="shared" si="38"/>
        <v>0</v>
      </c>
      <c r="J11976">
        <f t="shared" si="39"/>
        <v>0</v>
      </c>
    </row>
    <row r="11977" spans="6:10">
      <c r="F11977">
        <f t="shared" si="36"/>
        <v>0</v>
      </c>
      <c r="G11977">
        <f>COUNTIF($D$2:D11977,D11977)</f>
        <v>0</v>
      </c>
      <c r="H11977" t="str">
        <f t="shared" si="37"/>
        <v xml:space="preserve"> - 0</v>
      </c>
      <c r="I11977">
        <f t="shared" si="38"/>
        <v>0</v>
      </c>
      <c r="J11977">
        <f t="shared" si="39"/>
        <v>0</v>
      </c>
    </row>
    <row r="11978" spans="6:10">
      <c r="F11978">
        <f t="shared" si="36"/>
        <v>0</v>
      </c>
      <c r="G11978">
        <f>COUNTIF($D$2:D11978,D11978)</f>
        <v>0</v>
      </c>
      <c r="H11978" t="str">
        <f t="shared" si="37"/>
        <v xml:space="preserve"> - 0</v>
      </c>
      <c r="I11978">
        <f t="shared" si="38"/>
        <v>0</v>
      </c>
      <c r="J11978">
        <f t="shared" si="39"/>
        <v>0</v>
      </c>
    </row>
    <row r="11979" spans="6:10">
      <c r="F11979">
        <f t="shared" si="36"/>
        <v>0</v>
      </c>
      <c r="G11979">
        <f>COUNTIF($D$2:D11979,D11979)</f>
        <v>0</v>
      </c>
      <c r="H11979" t="str">
        <f t="shared" si="37"/>
        <v xml:space="preserve"> - 0</v>
      </c>
      <c r="I11979">
        <f t="shared" si="38"/>
        <v>0</v>
      </c>
      <c r="J11979">
        <f t="shared" si="39"/>
        <v>0</v>
      </c>
    </row>
    <row r="11980" spans="6:10">
      <c r="F11980">
        <f t="shared" si="36"/>
        <v>0</v>
      </c>
      <c r="G11980">
        <f>COUNTIF($D$2:D11980,D11980)</f>
        <v>0</v>
      </c>
      <c r="H11980" t="str">
        <f t="shared" si="37"/>
        <v xml:space="preserve"> - 0</v>
      </c>
      <c r="I11980">
        <f t="shared" si="38"/>
        <v>0</v>
      </c>
      <c r="J11980">
        <f t="shared" si="39"/>
        <v>0</v>
      </c>
    </row>
    <row r="11981" spans="6:10">
      <c r="F11981">
        <f t="shared" si="36"/>
        <v>0</v>
      </c>
      <c r="G11981">
        <f>COUNTIF($D$2:D11981,D11981)</f>
        <v>0</v>
      </c>
      <c r="H11981" t="str">
        <f t="shared" si="37"/>
        <v xml:space="preserve"> - 0</v>
      </c>
      <c r="I11981">
        <f t="shared" si="38"/>
        <v>0</v>
      </c>
      <c r="J11981">
        <f t="shared" si="39"/>
        <v>0</v>
      </c>
    </row>
    <row r="11982" spans="6:10">
      <c r="F11982">
        <f t="shared" si="36"/>
        <v>0</v>
      </c>
      <c r="G11982">
        <f>COUNTIF($D$2:D11982,D11982)</f>
        <v>0</v>
      </c>
      <c r="H11982" t="str">
        <f t="shared" si="37"/>
        <v xml:space="preserve"> - 0</v>
      </c>
      <c r="I11982">
        <f t="shared" si="38"/>
        <v>0</v>
      </c>
      <c r="J11982">
        <f t="shared" si="39"/>
        <v>0</v>
      </c>
    </row>
    <row r="11983" spans="6:10">
      <c r="F11983">
        <f t="shared" si="36"/>
        <v>0</v>
      </c>
      <c r="G11983">
        <f>COUNTIF($D$2:D11983,D11983)</f>
        <v>0</v>
      </c>
      <c r="H11983" t="str">
        <f t="shared" si="37"/>
        <v xml:space="preserve"> - 0</v>
      </c>
      <c r="I11983">
        <f t="shared" si="38"/>
        <v>0</v>
      </c>
      <c r="J11983">
        <f t="shared" si="39"/>
        <v>0</v>
      </c>
    </row>
    <row r="11984" spans="6:10">
      <c r="F11984">
        <f t="shared" si="36"/>
        <v>0</v>
      </c>
      <c r="G11984">
        <f>COUNTIF($D$2:D11984,D11984)</f>
        <v>0</v>
      </c>
      <c r="H11984" t="str">
        <f t="shared" si="37"/>
        <v xml:space="preserve"> - 0</v>
      </c>
      <c r="I11984">
        <f t="shared" si="38"/>
        <v>0</v>
      </c>
      <c r="J11984">
        <f t="shared" si="39"/>
        <v>0</v>
      </c>
    </row>
    <row r="11985" spans="6:10">
      <c r="F11985">
        <f t="shared" si="36"/>
        <v>0</v>
      </c>
      <c r="G11985">
        <f>COUNTIF($D$2:D11985,D11985)</f>
        <v>0</v>
      </c>
      <c r="H11985" t="str">
        <f t="shared" si="37"/>
        <v xml:space="preserve"> - 0</v>
      </c>
      <c r="I11985">
        <f t="shared" si="38"/>
        <v>0</v>
      </c>
      <c r="J11985">
        <f t="shared" si="39"/>
        <v>0</v>
      </c>
    </row>
    <row r="11986" spans="6:10">
      <c r="F11986">
        <f t="shared" si="36"/>
        <v>0</v>
      </c>
      <c r="G11986">
        <f>COUNTIF($D$2:D11986,D11986)</f>
        <v>0</v>
      </c>
      <c r="H11986" t="str">
        <f t="shared" si="37"/>
        <v xml:space="preserve"> - 0</v>
      </c>
      <c r="I11986">
        <f t="shared" si="38"/>
        <v>0</v>
      </c>
      <c r="J11986">
        <f t="shared" si="39"/>
        <v>0</v>
      </c>
    </row>
    <row r="11987" spans="6:10">
      <c r="F11987">
        <f t="shared" si="36"/>
        <v>0</v>
      </c>
      <c r="G11987">
        <f>COUNTIF($D$2:D11987,D11987)</f>
        <v>0</v>
      </c>
      <c r="H11987" t="str">
        <f t="shared" si="37"/>
        <v xml:space="preserve"> - 0</v>
      </c>
      <c r="I11987">
        <f t="shared" si="38"/>
        <v>0</v>
      </c>
      <c r="J11987">
        <f t="shared" si="39"/>
        <v>0</v>
      </c>
    </row>
    <row r="11988" spans="6:10">
      <c r="F11988">
        <f t="shared" si="36"/>
        <v>0</v>
      </c>
      <c r="G11988">
        <f>COUNTIF($D$2:D11988,D11988)</f>
        <v>0</v>
      </c>
      <c r="H11988" t="str">
        <f t="shared" si="37"/>
        <v xml:space="preserve"> - 0</v>
      </c>
      <c r="I11988">
        <f t="shared" si="38"/>
        <v>0</v>
      </c>
      <c r="J11988">
        <f t="shared" si="39"/>
        <v>0</v>
      </c>
    </row>
    <row r="11989" spans="6:10">
      <c r="F11989">
        <f t="shared" si="36"/>
        <v>0</v>
      </c>
      <c r="G11989">
        <f>COUNTIF($D$2:D11989,D11989)</f>
        <v>0</v>
      </c>
      <c r="H11989" t="str">
        <f t="shared" si="37"/>
        <v xml:space="preserve"> - 0</v>
      </c>
      <c r="I11989">
        <f t="shared" si="38"/>
        <v>0</v>
      </c>
      <c r="J11989">
        <f t="shared" si="39"/>
        <v>0</v>
      </c>
    </row>
    <row r="11990" spans="6:10">
      <c r="F11990">
        <f t="shared" si="36"/>
        <v>0</v>
      </c>
      <c r="G11990">
        <f>COUNTIF($D$2:D11990,D11990)</f>
        <v>0</v>
      </c>
      <c r="H11990" t="str">
        <f t="shared" si="37"/>
        <v xml:space="preserve"> - 0</v>
      </c>
      <c r="I11990">
        <f t="shared" si="38"/>
        <v>0</v>
      </c>
      <c r="J11990">
        <f t="shared" si="39"/>
        <v>0</v>
      </c>
    </row>
    <row r="11991" spans="6:10">
      <c r="F11991">
        <f t="shared" si="36"/>
        <v>0</v>
      </c>
      <c r="G11991">
        <f>COUNTIF($D$2:D11991,D11991)</f>
        <v>0</v>
      </c>
      <c r="H11991" t="str">
        <f t="shared" si="37"/>
        <v xml:space="preserve"> - 0</v>
      </c>
      <c r="I11991">
        <f t="shared" si="38"/>
        <v>0</v>
      </c>
      <c r="J11991">
        <f t="shared" si="39"/>
        <v>0</v>
      </c>
    </row>
    <row r="11992" spans="6:10">
      <c r="F11992">
        <f t="shared" si="36"/>
        <v>0</v>
      </c>
      <c r="G11992">
        <f>COUNTIF($D$2:D11992,D11992)</f>
        <v>0</v>
      </c>
      <c r="H11992" t="str">
        <f t="shared" si="37"/>
        <v xml:space="preserve"> - 0</v>
      </c>
      <c r="I11992">
        <f t="shared" si="38"/>
        <v>0</v>
      </c>
      <c r="J11992">
        <f t="shared" si="39"/>
        <v>0</v>
      </c>
    </row>
    <row r="11993" spans="6:10">
      <c r="F11993">
        <f t="shared" si="36"/>
        <v>0</v>
      </c>
      <c r="G11993">
        <f>COUNTIF($D$2:D11993,D11993)</f>
        <v>0</v>
      </c>
      <c r="H11993" t="str">
        <f t="shared" si="37"/>
        <v xml:space="preserve"> - 0</v>
      </c>
      <c r="I11993">
        <f t="shared" si="38"/>
        <v>0</v>
      </c>
      <c r="J11993">
        <f t="shared" si="39"/>
        <v>0</v>
      </c>
    </row>
    <row r="11994" spans="6:10">
      <c r="F11994">
        <f t="shared" si="36"/>
        <v>0</v>
      </c>
      <c r="G11994">
        <f>COUNTIF($D$2:D11994,D11994)</f>
        <v>0</v>
      </c>
      <c r="H11994" t="str">
        <f t="shared" si="37"/>
        <v xml:space="preserve"> - 0</v>
      </c>
      <c r="I11994">
        <f t="shared" si="38"/>
        <v>0</v>
      </c>
      <c r="J11994">
        <f t="shared" si="39"/>
        <v>0</v>
      </c>
    </row>
    <row r="11995" spans="6:10">
      <c r="F11995">
        <f t="shared" si="36"/>
        <v>0</v>
      </c>
      <c r="G11995">
        <f>COUNTIF($D$2:D11995,D11995)</f>
        <v>0</v>
      </c>
      <c r="H11995" t="str">
        <f t="shared" si="37"/>
        <v xml:space="preserve"> - 0</v>
      </c>
      <c r="I11995">
        <f t="shared" si="38"/>
        <v>0</v>
      </c>
      <c r="J11995">
        <f t="shared" si="39"/>
        <v>0</v>
      </c>
    </row>
    <row r="11996" spans="6:10">
      <c r="F11996">
        <f t="shared" si="36"/>
        <v>0</v>
      </c>
      <c r="G11996">
        <f>COUNTIF($D$2:D11996,D11996)</f>
        <v>0</v>
      </c>
      <c r="H11996" t="str">
        <f t="shared" si="37"/>
        <v xml:space="preserve"> - 0</v>
      </c>
      <c r="I11996">
        <f t="shared" si="38"/>
        <v>0</v>
      </c>
      <c r="J11996">
        <f t="shared" si="39"/>
        <v>0</v>
      </c>
    </row>
    <row r="11997" spans="6:10">
      <c r="F11997">
        <f t="shared" si="36"/>
        <v>0</v>
      </c>
      <c r="G11997">
        <f>COUNTIF($D$2:D11997,D11997)</f>
        <v>0</v>
      </c>
      <c r="H11997" t="str">
        <f t="shared" si="37"/>
        <v xml:space="preserve"> - 0</v>
      </c>
      <c r="I11997">
        <f t="shared" si="38"/>
        <v>0</v>
      </c>
      <c r="J11997">
        <f t="shared" si="39"/>
        <v>0</v>
      </c>
    </row>
    <row r="11998" spans="6:10">
      <c r="F11998">
        <f t="shared" si="36"/>
        <v>0</v>
      </c>
      <c r="G11998">
        <f>COUNTIF($D$2:D11998,D11998)</f>
        <v>0</v>
      </c>
      <c r="H11998" t="str">
        <f t="shared" si="37"/>
        <v xml:space="preserve"> - 0</v>
      </c>
      <c r="I11998">
        <f t="shared" si="38"/>
        <v>0</v>
      </c>
      <c r="J11998">
        <f t="shared" si="39"/>
        <v>0</v>
      </c>
    </row>
    <row r="11999" spans="6:10">
      <c r="F11999">
        <f t="shared" si="36"/>
        <v>0</v>
      </c>
      <c r="G11999">
        <f>COUNTIF($D$2:D11999,D11999)</f>
        <v>0</v>
      </c>
      <c r="H11999" t="str">
        <f t="shared" si="37"/>
        <v xml:space="preserve"> - 0</v>
      </c>
      <c r="I11999">
        <f t="shared" si="38"/>
        <v>0</v>
      </c>
      <c r="J11999">
        <f t="shared" si="39"/>
        <v>0</v>
      </c>
    </row>
    <row r="12000" spans="6:10">
      <c r="F12000">
        <f t="shared" si="36"/>
        <v>0</v>
      </c>
      <c r="G12000">
        <f>COUNTIF($D$2:D12000,D12000)</f>
        <v>0</v>
      </c>
      <c r="H12000" t="str">
        <f t="shared" si="37"/>
        <v xml:space="preserve"> - 0</v>
      </c>
      <c r="I12000">
        <f t="shared" si="38"/>
        <v>0</v>
      </c>
      <c r="J12000">
        <f t="shared" si="39"/>
        <v>0</v>
      </c>
    </row>
    <row r="12001" spans="6:10">
      <c r="F12001">
        <f t="shared" si="36"/>
        <v>0</v>
      </c>
      <c r="G12001">
        <f>COUNTIF($D$2:D12001,D12001)</f>
        <v>0</v>
      </c>
      <c r="H12001" t="str">
        <f t="shared" si="37"/>
        <v xml:space="preserve"> - 0</v>
      </c>
      <c r="I12001">
        <f t="shared" si="38"/>
        <v>0</v>
      </c>
      <c r="J12001">
        <f t="shared" si="39"/>
        <v>0</v>
      </c>
    </row>
    <row r="12002" spans="6:10">
      <c r="F12002">
        <f t="shared" si="36"/>
        <v>0</v>
      </c>
      <c r="G12002">
        <f>COUNTIF($D$2:D12002,D12002)</f>
        <v>0</v>
      </c>
      <c r="H12002" t="str">
        <f t="shared" si="37"/>
        <v xml:space="preserve"> - 0</v>
      </c>
      <c r="I12002">
        <f t="shared" si="38"/>
        <v>0</v>
      </c>
      <c r="J12002">
        <f t="shared" si="39"/>
        <v>0</v>
      </c>
    </row>
    <row r="12003" spans="6:10">
      <c r="F12003">
        <f t="shared" si="36"/>
        <v>0</v>
      </c>
      <c r="G12003">
        <f>COUNTIF($D$2:D12003,D12003)</f>
        <v>0</v>
      </c>
      <c r="H12003" t="str">
        <f t="shared" si="37"/>
        <v xml:space="preserve"> - 0</v>
      </c>
      <c r="I12003">
        <f t="shared" si="38"/>
        <v>0</v>
      </c>
      <c r="J12003">
        <f t="shared" si="39"/>
        <v>0</v>
      </c>
    </row>
    <row r="12004" spans="6:10">
      <c r="F12004">
        <f t="shared" si="36"/>
        <v>0</v>
      </c>
      <c r="G12004">
        <f>COUNTIF($D$2:D12004,D12004)</f>
        <v>0</v>
      </c>
      <c r="H12004" t="str">
        <f t="shared" si="37"/>
        <v xml:space="preserve"> - 0</v>
      </c>
      <c r="I12004">
        <f t="shared" si="38"/>
        <v>0</v>
      </c>
      <c r="J12004">
        <f t="shared" si="39"/>
        <v>0</v>
      </c>
    </row>
    <row r="12005" spans="6:10">
      <c r="F12005">
        <f t="shared" si="36"/>
        <v>0</v>
      </c>
      <c r="G12005">
        <f>COUNTIF($D$2:D12005,D12005)</f>
        <v>0</v>
      </c>
      <c r="H12005" t="str">
        <f t="shared" si="37"/>
        <v xml:space="preserve"> - 0</v>
      </c>
      <c r="I12005">
        <f t="shared" si="38"/>
        <v>0</v>
      </c>
      <c r="J12005">
        <f t="shared" si="39"/>
        <v>0</v>
      </c>
    </row>
    <row r="12006" spans="6:10">
      <c r="F12006">
        <f t="shared" si="36"/>
        <v>0</v>
      </c>
      <c r="G12006">
        <f>COUNTIF($D$2:D12006,D12006)</f>
        <v>0</v>
      </c>
      <c r="H12006" t="str">
        <f t="shared" si="37"/>
        <v xml:space="preserve"> - 0</v>
      </c>
      <c r="I12006">
        <f t="shared" si="38"/>
        <v>0</v>
      </c>
      <c r="J12006">
        <f t="shared" si="39"/>
        <v>0</v>
      </c>
    </row>
    <row r="12007" spans="6:10">
      <c r="F12007">
        <f t="shared" si="36"/>
        <v>0</v>
      </c>
      <c r="G12007">
        <f>COUNTIF($D$2:D12007,D12007)</f>
        <v>0</v>
      </c>
      <c r="H12007" t="str">
        <f t="shared" si="37"/>
        <v xml:space="preserve"> - 0</v>
      </c>
      <c r="I12007">
        <f t="shared" si="38"/>
        <v>0</v>
      </c>
      <c r="J12007">
        <f t="shared" si="39"/>
        <v>0</v>
      </c>
    </row>
    <row r="12008" spans="6:10">
      <c r="F12008">
        <f t="shared" si="36"/>
        <v>0</v>
      </c>
      <c r="G12008">
        <f>COUNTIF($D$2:D12008,D12008)</f>
        <v>0</v>
      </c>
      <c r="H12008" t="str">
        <f t="shared" si="37"/>
        <v xml:space="preserve"> - 0</v>
      </c>
      <c r="I12008">
        <f t="shared" si="38"/>
        <v>0</v>
      </c>
      <c r="J12008">
        <f t="shared" si="39"/>
        <v>0</v>
      </c>
    </row>
    <row r="12009" spans="6:10">
      <c r="F12009">
        <f t="shared" ref="F12009:F12072" si="40">COUNTIF($D$2:$D$35910,D12009)</f>
        <v>0</v>
      </c>
      <c r="G12009">
        <f>COUNTIF($D$2:D12009,D12009)</f>
        <v>0</v>
      </c>
      <c r="H12009" t="str">
        <f t="shared" ref="H12009:H12072" si="41">D12009&amp;" - "&amp;G12009&amp;AH12009</f>
        <v xml:space="preserve"> - 0</v>
      </c>
      <c r="I12009">
        <f t="shared" ref="I12009:I12072" si="42">A12009</f>
        <v>0</v>
      </c>
      <c r="J12009">
        <f t="shared" ref="J12009:J12072" si="43">B12009</f>
        <v>0</v>
      </c>
    </row>
    <row r="12010" spans="6:10">
      <c r="F12010">
        <f t="shared" si="40"/>
        <v>0</v>
      </c>
      <c r="G12010">
        <f>COUNTIF($D$2:D12010,D12010)</f>
        <v>0</v>
      </c>
      <c r="H12010" t="str">
        <f t="shared" si="41"/>
        <v xml:space="preserve"> - 0</v>
      </c>
      <c r="I12010">
        <f t="shared" si="42"/>
        <v>0</v>
      </c>
      <c r="J12010">
        <f t="shared" si="43"/>
        <v>0</v>
      </c>
    </row>
    <row r="12011" spans="6:10">
      <c r="F12011">
        <f t="shared" si="40"/>
        <v>0</v>
      </c>
      <c r="G12011">
        <f>COUNTIF($D$2:D12011,D12011)</f>
        <v>0</v>
      </c>
      <c r="H12011" t="str">
        <f t="shared" si="41"/>
        <v xml:space="preserve"> - 0</v>
      </c>
      <c r="I12011">
        <f t="shared" si="42"/>
        <v>0</v>
      </c>
      <c r="J12011">
        <f t="shared" si="43"/>
        <v>0</v>
      </c>
    </row>
    <row r="12012" spans="6:10">
      <c r="F12012">
        <f t="shared" si="40"/>
        <v>0</v>
      </c>
      <c r="G12012">
        <f>COUNTIF($D$2:D12012,D12012)</f>
        <v>0</v>
      </c>
      <c r="H12012" t="str">
        <f t="shared" si="41"/>
        <v xml:space="preserve"> - 0</v>
      </c>
      <c r="I12012">
        <f t="shared" si="42"/>
        <v>0</v>
      </c>
      <c r="J12012">
        <f t="shared" si="43"/>
        <v>0</v>
      </c>
    </row>
    <row r="12013" spans="6:10">
      <c r="F12013">
        <f t="shared" si="40"/>
        <v>0</v>
      </c>
      <c r="G12013">
        <f>COUNTIF($D$2:D12013,D12013)</f>
        <v>0</v>
      </c>
      <c r="H12013" t="str">
        <f t="shared" si="41"/>
        <v xml:space="preserve"> - 0</v>
      </c>
      <c r="I12013">
        <f t="shared" si="42"/>
        <v>0</v>
      </c>
      <c r="J12013">
        <f t="shared" si="43"/>
        <v>0</v>
      </c>
    </row>
    <row r="12014" spans="6:10">
      <c r="F12014">
        <f t="shared" si="40"/>
        <v>0</v>
      </c>
      <c r="G12014">
        <f>COUNTIF($D$2:D12014,D12014)</f>
        <v>0</v>
      </c>
      <c r="H12014" t="str">
        <f t="shared" si="41"/>
        <v xml:space="preserve"> - 0</v>
      </c>
      <c r="I12014">
        <f t="shared" si="42"/>
        <v>0</v>
      </c>
      <c r="J12014">
        <f t="shared" si="43"/>
        <v>0</v>
      </c>
    </row>
    <row r="12015" spans="6:10">
      <c r="F12015">
        <f t="shared" si="40"/>
        <v>0</v>
      </c>
      <c r="G12015">
        <f>COUNTIF($D$2:D12015,D12015)</f>
        <v>0</v>
      </c>
      <c r="H12015" t="str">
        <f t="shared" si="41"/>
        <v xml:space="preserve"> - 0</v>
      </c>
      <c r="I12015">
        <f t="shared" si="42"/>
        <v>0</v>
      </c>
      <c r="J12015">
        <f t="shared" si="43"/>
        <v>0</v>
      </c>
    </row>
    <row r="12016" spans="6:10">
      <c r="F12016">
        <f t="shared" si="40"/>
        <v>0</v>
      </c>
      <c r="G12016">
        <f>COUNTIF($D$2:D12016,D12016)</f>
        <v>0</v>
      </c>
      <c r="H12016" t="str">
        <f t="shared" si="41"/>
        <v xml:space="preserve"> - 0</v>
      </c>
      <c r="I12016">
        <f t="shared" si="42"/>
        <v>0</v>
      </c>
      <c r="J12016">
        <f t="shared" si="43"/>
        <v>0</v>
      </c>
    </row>
    <row r="12017" spans="6:10">
      <c r="F12017">
        <f t="shared" si="40"/>
        <v>0</v>
      </c>
      <c r="G12017">
        <f>COUNTIF($D$2:D12017,D12017)</f>
        <v>0</v>
      </c>
      <c r="H12017" t="str">
        <f t="shared" si="41"/>
        <v xml:space="preserve"> - 0</v>
      </c>
      <c r="I12017">
        <f t="shared" si="42"/>
        <v>0</v>
      </c>
      <c r="J12017">
        <f t="shared" si="43"/>
        <v>0</v>
      </c>
    </row>
    <row r="12018" spans="6:10">
      <c r="F12018">
        <f t="shared" si="40"/>
        <v>0</v>
      </c>
      <c r="G12018">
        <f>COUNTIF($D$2:D12018,D12018)</f>
        <v>0</v>
      </c>
      <c r="H12018" t="str">
        <f t="shared" si="41"/>
        <v xml:space="preserve"> - 0</v>
      </c>
      <c r="I12018">
        <f t="shared" si="42"/>
        <v>0</v>
      </c>
      <c r="J12018">
        <f t="shared" si="43"/>
        <v>0</v>
      </c>
    </row>
    <row r="12019" spans="6:10">
      <c r="F12019">
        <f t="shared" si="40"/>
        <v>0</v>
      </c>
      <c r="G12019">
        <f>COUNTIF($D$2:D12019,D12019)</f>
        <v>0</v>
      </c>
      <c r="H12019" t="str">
        <f t="shared" si="41"/>
        <v xml:space="preserve"> - 0</v>
      </c>
      <c r="I12019">
        <f t="shared" si="42"/>
        <v>0</v>
      </c>
      <c r="J12019">
        <f t="shared" si="43"/>
        <v>0</v>
      </c>
    </row>
    <row r="12020" spans="6:10">
      <c r="F12020">
        <f t="shared" si="40"/>
        <v>0</v>
      </c>
      <c r="G12020">
        <f>COUNTIF($D$2:D12020,D12020)</f>
        <v>0</v>
      </c>
      <c r="H12020" t="str">
        <f t="shared" si="41"/>
        <v xml:space="preserve"> - 0</v>
      </c>
      <c r="I12020">
        <f t="shared" si="42"/>
        <v>0</v>
      </c>
      <c r="J12020">
        <f t="shared" si="43"/>
        <v>0</v>
      </c>
    </row>
    <row r="12021" spans="6:10">
      <c r="F12021">
        <f t="shared" si="40"/>
        <v>0</v>
      </c>
      <c r="G12021">
        <f>COUNTIF($D$2:D12021,D12021)</f>
        <v>0</v>
      </c>
      <c r="H12021" t="str">
        <f t="shared" si="41"/>
        <v xml:space="preserve"> - 0</v>
      </c>
      <c r="I12021">
        <f t="shared" si="42"/>
        <v>0</v>
      </c>
      <c r="J12021">
        <f t="shared" si="43"/>
        <v>0</v>
      </c>
    </row>
    <row r="12022" spans="6:10">
      <c r="F12022">
        <f t="shared" si="40"/>
        <v>0</v>
      </c>
      <c r="G12022">
        <f>COUNTIF($D$2:D12022,D12022)</f>
        <v>0</v>
      </c>
      <c r="H12022" t="str">
        <f t="shared" si="41"/>
        <v xml:space="preserve"> - 0</v>
      </c>
      <c r="I12022">
        <f t="shared" si="42"/>
        <v>0</v>
      </c>
      <c r="J12022">
        <f t="shared" si="43"/>
        <v>0</v>
      </c>
    </row>
    <row r="12023" spans="6:10">
      <c r="F12023">
        <f t="shared" si="40"/>
        <v>0</v>
      </c>
      <c r="G12023">
        <f>COUNTIF($D$2:D12023,D12023)</f>
        <v>0</v>
      </c>
      <c r="H12023" t="str">
        <f t="shared" si="41"/>
        <v xml:space="preserve"> - 0</v>
      </c>
      <c r="I12023">
        <f t="shared" si="42"/>
        <v>0</v>
      </c>
      <c r="J12023">
        <f t="shared" si="43"/>
        <v>0</v>
      </c>
    </row>
    <row r="12024" spans="6:10">
      <c r="F12024">
        <f t="shared" si="40"/>
        <v>0</v>
      </c>
      <c r="G12024">
        <f>COUNTIF($D$2:D12024,D12024)</f>
        <v>0</v>
      </c>
      <c r="H12024" t="str">
        <f t="shared" si="41"/>
        <v xml:space="preserve"> - 0</v>
      </c>
      <c r="I12024">
        <f t="shared" si="42"/>
        <v>0</v>
      </c>
      <c r="J12024">
        <f t="shared" si="43"/>
        <v>0</v>
      </c>
    </row>
    <row r="12025" spans="6:10">
      <c r="F12025">
        <f t="shared" si="40"/>
        <v>0</v>
      </c>
      <c r="G12025">
        <f>COUNTIF($D$2:D12025,D12025)</f>
        <v>0</v>
      </c>
      <c r="H12025" t="str">
        <f t="shared" si="41"/>
        <v xml:space="preserve"> - 0</v>
      </c>
      <c r="I12025">
        <f t="shared" si="42"/>
        <v>0</v>
      </c>
      <c r="J12025">
        <f t="shared" si="43"/>
        <v>0</v>
      </c>
    </row>
    <row r="12026" spans="6:10">
      <c r="F12026">
        <f t="shared" si="40"/>
        <v>0</v>
      </c>
      <c r="G12026">
        <f>COUNTIF($D$2:D12026,D12026)</f>
        <v>0</v>
      </c>
      <c r="H12026" t="str">
        <f t="shared" si="41"/>
        <v xml:space="preserve"> - 0</v>
      </c>
      <c r="I12026">
        <f t="shared" si="42"/>
        <v>0</v>
      </c>
      <c r="J12026">
        <f t="shared" si="43"/>
        <v>0</v>
      </c>
    </row>
    <row r="12027" spans="6:10">
      <c r="F12027">
        <f t="shared" si="40"/>
        <v>0</v>
      </c>
      <c r="G12027">
        <f>COUNTIF($D$2:D12027,D12027)</f>
        <v>0</v>
      </c>
      <c r="H12027" t="str">
        <f t="shared" si="41"/>
        <v xml:space="preserve"> - 0</v>
      </c>
      <c r="I12027">
        <f t="shared" si="42"/>
        <v>0</v>
      </c>
      <c r="J12027">
        <f t="shared" si="43"/>
        <v>0</v>
      </c>
    </row>
    <row r="12028" spans="6:10">
      <c r="F12028">
        <f t="shared" si="40"/>
        <v>0</v>
      </c>
      <c r="G12028">
        <f>COUNTIF($D$2:D12028,D12028)</f>
        <v>0</v>
      </c>
      <c r="H12028" t="str">
        <f t="shared" si="41"/>
        <v xml:space="preserve"> - 0</v>
      </c>
      <c r="I12028">
        <f t="shared" si="42"/>
        <v>0</v>
      </c>
      <c r="J12028">
        <f t="shared" si="43"/>
        <v>0</v>
      </c>
    </row>
    <row r="12029" spans="6:10">
      <c r="F12029">
        <f t="shared" si="40"/>
        <v>0</v>
      </c>
      <c r="G12029">
        <f>COUNTIF($D$2:D12029,D12029)</f>
        <v>0</v>
      </c>
      <c r="H12029" t="str">
        <f t="shared" si="41"/>
        <v xml:space="preserve"> - 0</v>
      </c>
      <c r="I12029">
        <f t="shared" si="42"/>
        <v>0</v>
      </c>
      <c r="J12029">
        <f t="shared" si="43"/>
        <v>0</v>
      </c>
    </row>
    <row r="12030" spans="6:10">
      <c r="F12030">
        <f t="shared" si="40"/>
        <v>0</v>
      </c>
      <c r="G12030">
        <f>COUNTIF($D$2:D12030,D12030)</f>
        <v>0</v>
      </c>
      <c r="H12030" t="str">
        <f t="shared" si="41"/>
        <v xml:space="preserve"> - 0</v>
      </c>
      <c r="I12030">
        <f t="shared" si="42"/>
        <v>0</v>
      </c>
      <c r="J12030">
        <f t="shared" si="43"/>
        <v>0</v>
      </c>
    </row>
    <row r="12031" spans="6:10">
      <c r="F12031">
        <f t="shared" si="40"/>
        <v>0</v>
      </c>
      <c r="G12031">
        <f>COUNTIF($D$2:D12031,D12031)</f>
        <v>0</v>
      </c>
      <c r="H12031" t="str">
        <f t="shared" si="41"/>
        <v xml:space="preserve"> - 0</v>
      </c>
      <c r="I12031">
        <f t="shared" si="42"/>
        <v>0</v>
      </c>
      <c r="J12031">
        <f t="shared" si="43"/>
        <v>0</v>
      </c>
    </row>
    <row r="12032" spans="6:10">
      <c r="F12032">
        <f t="shared" si="40"/>
        <v>0</v>
      </c>
      <c r="G12032">
        <f>COUNTIF($D$2:D12032,D12032)</f>
        <v>0</v>
      </c>
      <c r="H12032" t="str">
        <f t="shared" si="41"/>
        <v xml:space="preserve"> - 0</v>
      </c>
      <c r="I12032">
        <f t="shared" si="42"/>
        <v>0</v>
      </c>
      <c r="J12032">
        <f t="shared" si="43"/>
        <v>0</v>
      </c>
    </row>
    <row r="12033" spans="6:10">
      <c r="F12033">
        <f t="shared" si="40"/>
        <v>0</v>
      </c>
      <c r="G12033">
        <f>COUNTIF($D$2:D12033,D12033)</f>
        <v>0</v>
      </c>
      <c r="H12033" t="str">
        <f t="shared" si="41"/>
        <v xml:space="preserve"> - 0</v>
      </c>
      <c r="I12033">
        <f t="shared" si="42"/>
        <v>0</v>
      </c>
      <c r="J12033">
        <f t="shared" si="43"/>
        <v>0</v>
      </c>
    </row>
    <row r="12034" spans="6:10">
      <c r="F12034">
        <f t="shared" si="40"/>
        <v>0</v>
      </c>
      <c r="G12034">
        <f>COUNTIF($D$2:D12034,D12034)</f>
        <v>0</v>
      </c>
      <c r="H12034" t="str">
        <f t="shared" si="41"/>
        <v xml:space="preserve"> - 0</v>
      </c>
      <c r="I12034">
        <f t="shared" si="42"/>
        <v>0</v>
      </c>
      <c r="J12034">
        <f t="shared" si="43"/>
        <v>0</v>
      </c>
    </row>
    <row r="12035" spans="6:10">
      <c r="F12035">
        <f t="shared" si="40"/>
        <v>0</v>
      </c>
      <c r="G12035">
        <f>COUNTIF($D$2:D12035,D12035)</f>
        <v>0</v>
      </c>
      <c r="H12035" t="str">
        <f t="shared" si="41"/>
        <v xml:space="preserve"> - 0</v>
      </c>
      <c r="I12035">
        <f t="shared" si="42"/>
        <v>0</v>
      </c>
      <c r="J12035">
        <f t="shared" si="43"/>
        <v>0</v>
      </c>
    </row>
    <row r="12036" spans="6:10">
      <c r="F12036">
        <f t="shared" si="40"/>
        <v>0</v>
      </c>
      <c r="G12036">
        <f>COUNTIF($D$2:D12036,D12036)</f>
        <v>0</v>
      </c>
      <c r="H12036" t="str">
        <f t="shared" si="41"/>
        <v xml:space="preserve"> - 0</v>
      </c>
      <c r="I12036">
        <f t="shared" si="42"/>
        <v>0</v>
      </c>
      <c r="J12036">
        <f t="shared" si="43"/>
        <v>0</v>
      </c>
    </row>
    <row r="12037" spans="6:10">
      <c r="F12037">
        <f t="shared" si="40"/>
        <v>0</v>
      </c>
      <c r="G12037">
        <f>COUNTIF($D$2:D12037,D12037)</f>
        <v>0</v>
      </c>
      <c r="H12037" t="str">
        <f t="shared" si="41"/>
        <v xml:space="preserve"> - 0</v>
      </c>
      <c r="I12037">
        <f t="shared" si="42"/>
        <v>0</v>
      </c>
      <c r="J12037">
        <f t="shared" si="43"/>
        <v>0</v>
      </c>
    </row>
    <row r="12038" spans="6:10">
      <c r="F12038">
        <f t="shared" si="40"/>
        <v>0</v>
      </c>
      <c r="G12038">
        <f>COUNTIF($D$2:D12038,D12038)</f>
        <v>0</v>
      </c>
      <c r="H12038" t="str">
        <f t="shared" si="41"/>
        <v xml:space="preserve"> - 0</v>
      </c>
      <c r="I12038">
        <f t="shared" si="42"/>
        <v>0</v>
      </c>
      <c r="J12038">
        <f t="shared" si="43"/>
        <v>0</v>
      </c>
    </row>
    <row r="12039" spans="6:10">
      <c r="F12039">
        <f t="shared" si="40"/>
        <v>0</v>
      </c>
      <c r="G12039">
        <f>COUNTIF($D$2:D12039,D12039)</f>
        <v>0</v>
      </c>
      <c r="H12039" t="str">
        <f t="shared" si="41"/>
        <v xml:space="preserve"> - 0</v>
      </c>
      <c r="I12039">
        <f t="shared" si="42"/>
        <v>0</v>
      </c>
      <c r="J12039">
        <f t="shared" si="43"/>
        <v>0</v>
      </c>
    </row>
    <row r="12040" spans="6:10">
      <c r="F12040">
        <f t="shared" si="40"/>
        <v>0</v>
      </c>
      <c r="G12040">
        <f>COUNTIF($D$2:D12040,D12040)</f>
        <v>0</v>
      </c>
      <c r="H12040" t="str">
        <f t="shared" si="41"/>
        <v xml:space="preserve"> - 0</v>
      </c>
      <c r="I12040">
        <f t="shared" si="42"/>
        <v>0</v>
      </c>
      <c r="J12040">
        <f t="shared" si="43"/>
        <v>0</v>
      </c>
    </row>
    <row r="12041" spans="6:10">
      <c r="F12041">
        <f t="shared" si="40"/>
        <v>0</v>
      </c>
      <c r="G12041">
        <f>COUNTIF($D$2:D12041,D12041)</f>
        <v>0</v>
      </c>
      <c r="H12041" t="str">
        <f t="shared" si="41"/>
        <v xml:space="preserve"> - 0</v>
      </c>
      <c r="I12041">
        <f t="shared" si="42"/>
        <v>0</v>
      </c>
      <c r="J12041">
        <f t="shared" si="43"/>
        <v>0</v>
      </c>
    </row>
    <row r="12042" spans="6:10">
      <c r="F12042">
        <f t="shared" si="40"/>
        <v>0</v>
      </c>
      <c r="G12042">
        <f>COUNTIF($D$2:D12042,D12042)</f>
        <v>0</v>
      </c>
      <c r="H12042" t="str">
        <f t="shared" si="41"/>
        <v xml:space="preserve"> - 0</v>
      </c>
      <c r="I12042">
        <f t="shared" si="42"/>
        <v>0</v>
      </c>
      <c r="J12042">
        <f t="shared" si="43"/>
        <v>0</v>
      </c>
    </row>
    <row r="12043" spans="6:10">
      <c r="F12043">
        <f t="shared" si="40"/>
        <v>0</v>
      </c>
      <c r="G12043">
        <f>COUNTIF($D$2:D12043,D12043)</f>
        <v>0</v>
      </c>
      <c r="H12043" t="str">
        <f t="shared" si="41"/>
        <v xml:space="preserve"> - 0</v>
      </c>
      <c r="I12043">
        <f t="shared" si="42"/>
        <v>0</v>
      </c>
      <c r="J12043">
        <f t="shared" si="43"/>
        <v>0</v>
      </c>
    </row>
    <row r="12044" spans="6:10">
      <c r="F12044">
        <f t="shared" si="40"/>
        <v>0</v>
      </c>
      <c r="G12044">
        <f>COUNTIF($D$2:D12044,D12044)</f>
        <v>0</v>
      </c>
      <c r="H12044" t="str">
        <f t="shared" si="41"/>
        <v xml:space="preserve"> - 0</v>
      </c>
      <c r="I12044">
        <f t="shared" si="42"/>
        <v>0</v>
      </c>
      <c r="J12044">
        <f t="shared" si="43"/>
        <v>0</v>
      </c>
    </row>
    <row r="12045" spans="6:10">
      <c r="F12045">
        <f t="shared" si="40"/>
        <v>0</v>
      </c>
      <c r="G12045">
        <f>COUNTIF($D$2:D12045,D12045)</f>
        <v>0</v>
      </c>
      <c r="H12045" t="str">
        <f t="shared" si="41"/>
        <v xml:space="preserve"> - 0</v>
      </c>
      <c r="I12045">
        <f t="shared" si="42"/>
        <v>0</v>
      </c>
      <c r="J12045">
        <f t="shared" si="43"/>
        <v>0</v>
      </c>
    </row>
    <row r="12046" spans="6:10">
      <c r="F12046">
        <f t="shared" si="40"/>
        <v>0</v>
      </c>
      <c r="G12046">
        <f>COUNTIF($D$2:D12046,D12046)</f>
        <v>0</v>
      </c>
      <c r="H12046" t="str">
        <f t="shared" si="41"/>
        <v xml:space="preserve"> - 0</v>
      </c>
      <c r="I12046">
        <f t="shared" si="42"/>
        <v>0</v>
      </c>
      <c r="J12046">
        <f t="shared" si="43"/>
        <v>0</v>
      </c>
    </row>
    <row r="12047" spans="6:10">
      <c r="F12047">
        <f t="shared" si="40"/>
        <v>0</v>
      </c>
      <c r="G12047">
        <f>COUNTIF($D$2:D12047,D12047)</f>
        <v>0</v>
      </c>
      <c r="H12047" t="str">
        <f t="shared" si="41"/>
        <v xml:space="preserve"> - 0</v>
      </c>
      <c r="I12047">
        <f t="shared" si="42"/>
        <v>0</v>
      </c>
      <c r="J12047">
        <f t="shared" si="43"/>
        <v>0</v>
      </c>
    </row>
    <row r="12048" spans="6:10">
      <c r="F12048">
        <f t="shared" si="40"/>
        <v>0</v>
      </c>
      <c r="G12048">
        <f>COUNTIF($D$2:D12048,D12048)</f>
        <v>0</v>
      </c>
      <c r="H12048" t="str">
        <f t="shared" si="41"/>
        <v xml:space="preserve"> - 0</v>
      </c>
      <c r="I12048">
        <f t="shared" si="42"/>
        <v>0</v>
      </c>
      <c r="J12048">
        <f t="shared" si="43"/>
        <v>0</v>
      </c>
    </row>
    <row r="12049" spans="6:10">
      <c r="F12049">
        <f t="shared" si="40"/>
        <v>0</v>
      </c>
      <c r="G12049">
        <f>COUNTIF($D$2:D12049,D12049)</f>
        <v>0</v>
      </c>
      <c r="H12049" t="str">
        <f t="shared" si="41"/>
        <v xml:space="preserve"> - 0</v>
      </c>
      <c r="I12049">
        <f t="shared" si="42"/>
        <v>0</v>
      </c>
      <c r="J12049">
        <f t="shared" si="43"/>
        <v>0</v>
      </c>
    </row>
    <row r="12050" spans="6:10">
      <c r="F12050">
        <f t="shared" si="40"/>
        <v>0</v>
      </c>
      <c r="G12050">
        <f>COUNTIF($D$2:D12050,D12050)</f>
        <v>0</v>
      </c>
      <c r="H12050" t="str">
        <f t="shared" si="41"/>
        <v xml:space="preserve"> - 0</v>
      </c>
      <c r="I12050">
        <f t="shared" si="42"/>
        <v>0</v>
      </c>
      <c r="J12050">
        <f t="shared" si="43"/>
        <v>0</v>
      </c>
    </row>
    <row r="12051" spans="6:10">
      <c r="F12051">
        <f t="shared" si="40"/>
        <v>0</v>
      </c>
      <c r="G12051">
        <f>COUNTIF($D$2:D12051,D12051)</f>
        <v>0</v>
      </c>
      <c r="H12051" t="str">
        <f t="shared" si="41"/>
        <v xml:space="preserve"> - 0</v>
      </c>
      <c r="I12051">
        <f t="shared" si="42"/>
        <v>0</v>
      </c>
      <c r="J12051">
        <f t="shared" si="43"/>
        <v>0</v>
      </c>
    </row>
    <row r="12052" spans="6:10">
      <c r="F12052">
        <f t="shared" si="40"/>
        <v>0</v>
      </c>
      <c r="G12052">
        <f>COUNTIF($D$2:D12052,D12052)</f>
        <v>0</v>
      </c>
      <c r="H12052" t="str">
        <f t="shared" si="41"/>
        <v xml:space="preserve"> - 0</v>
      </c>
      <c r="I12052">
        <f t="shared" si="42"/>
        <v>0</v>
      </c>
      <c r="J12052">
        <f t="shared" si="43"/>
        <v>0</v>
      </c>
    </row>
    <row r="12053" spans="6:10">
      <c r="F12053">
        <f t="shared" si="40"/>
        <v>0</v>
      </c>
      <c r="G12053">
        <f>COUNTIF($D$2:D12053,D12053)</f>
        <v>0</v>
      </c>
      <c r="H12053" t="str">
        <f t="shared" si="41"/>
        <v xml:space="preserve"> - 0</v>
      </c>
      <c r="I12053">
        <f t="shared" si="42"/>
        <v>0</v>
      </c>
      <c r="J12053">
        <f t="shared" si="43"/>
        <v>0</v>
      </c>
    </row>
    <row r="12054" spans="6:10">
      <c r="F12054">
        <f t="shared" si="40"/>
        <v>0</v>
      </c>
      <c r="G12054">
        <f>COUNTIF($D$2:D12054,D12054)</f>
        <v>0</v>
      </c>
      <c r="H12054" t="str">
        <f t="shared" si="41"/>
        <v xml:space="preserve"> - 0</v>
      </c>
      <c r="I12054">
        <f t="shared" si="42"/>
        <v>0</v>
      </c>
      <c r="J12054">
        <f t="shared" si="43"/>
        <v>0</v>
      </c>
    </row>
    <row r="12055" spans="6:10">
      <c r="F12055">
        <f t="shared" si="40"/>
        <v>0</v>
      </c>
      <c r="G12055">
        <f>COUNTIF($D$2:D12055,D12055)</f>
        <v>0</v>
      </c>
      <c r="H12055" t="str">
        <f t="shared" si="41"/>
        <v xml:space="preserve"> - 0</v>
      </c>
      <c r="I12055">
        <f t="shared" si="42"/>
        <v>0</v>
      </c>
      <c r="J12055">
        <f t="shared" si="43"/>
        <v>0</v>
      </c>
    </row>
    <row r="12056" spans="6:10">
      <c r="F12056">
        <f t="shared" si="40"/>
        <v>0</v>
      </c>
      <c r="G12056">
        <f>COUNTIF($D$2:D12056,D12056)</f>
        <v>0</v>
      </c>
      <c r="H12056" t="str">
        <f t="shared" si="41"/>
        <v xml:space="preserve"> - 0</v>
      </c>
      <c r="I12056">
        <f t="shared" si="42"/>
        <v>0</v>
      </c>
      <c r="J12056">
        <f t="shared" si="43"/>
        <v>0</v>
      </c>
    </row>
    <row r="12057" spans="6:10">
      <c r="F12057">
        <f t="shared" si="40"/>
        <v>0</v>
      </c>
      <c r="G12057">
        <f>COUNTIF($D$2:D12057,D12057)</f>
        <v>0</v>
      </c>
      <c r="H12057" t="str">
        <f t="shared" si="41"/>
        <v xml:space="preserve"> - 0</v>
      </c>
      <c r="I12057">
        <f t="shared" si="42"/>
        <v>0</v>
      </c>
      <c r="J12057">
        <f t="shared" si="43"/>
        <v>0</v>
      </c>
    </row>
    <row r="12058" spans="6:10">
      <c r="F12058">
        <f t="shared" si="40"/>
        <v>0</v>
      </c>
      <c r="G12058">
        <f>COUNTIF($D$2:D12058,D12058)</f>
        <v>0</v>
      </c>
      <c r="H12058" t="str">
        <f t="shared" si="41"/>
        <v xml:space="preserve"> - 0</v>
      </c>
      <c r="I12058">
        <f t="shared" si="42"/>
        <v>0</v>
      </c>
      <c r="J12058">
        <f t="shared" si="43"/>
        <v>0</v>
      </c>
    </row>
    <row r="12059" spans="6:10">
      <c r="F12059">
        <f t="shared" si="40"/>
        <v>0</v>
      </c>
      <c r="G12059">
        <f>COUNTIF($D$2:D12059,D12059)</f>
        <v>0</v>
      </c>
      <c r="H12059" t="str">
        <f t="shared" si="41"/>
        <v xml:space="preserve"> - 0</v>
      </c>
      <c r="I12059">
        <f t="shared" si="42"/>
        <v>0</v>
      </c>
      <c r="J12059">
        <f t="shared" si="43"/>
        <v>0</v>
      </c>
    </row>
    <row r="12060" spans="6:10">
      <c r="F12060">
        <f t="shared" si="40"/>
        <v>0</v>
      </c>
      <c r="G12060">
        <f>COUNTIF($D$2:D12060,D12060)</f>
        <v>0</v>
      </c>
      <c r="H12060" t="str">
        <f t="shared" si="41"/>
        <v xml:space="preserve"> - 0</v>
      </c>
      <c r="I12060">
        <f t="shared" si="42"/>
        <v>0</v>
      </c>
      <c r="J12060">
        <f t="shared" si="43"/>
        <v>0</v>
      </c>
    </row>
    <row r="12061" spans="6:10">
      <c r="F12061">
        <f t="shared" si="40"/>
        <v>0</v>
      </c>
      <c r="G12061">
        <f>COUNTIF($D$2:D12061,D12061)</f>
        <v>0</v>
      </c>
      <c r="H12061" t="str">
        <f t="shared" si="41"/>
        <v xml:space="preserve"> - 0</v>
      </c>
      <c r="I12061">
        <f t="shared" si="42"/>
        <v>0</v>
      </c>
      <c r="J12061">
        <f t="shared" si="43"/>
        <v>0</v>
      </c>
    </row>
    <row r="12062" spans="6:10">
      <c r="F12062">
        <f t="shared" si="40"/>
        <v>0</v>
      </c>
      <c r="G12062">
        <f>COUNTIF($D$2:D12062,D12062)</f>
        <v>0</v>
      </c>
      <c r="H12062" t="str">
        <f t="shared" si="41"/>
        <v xml:space="preserve"> - 0</v>
      </c>
      <c r="I12062">
        <f t="shared" si="42"/>
        <v>0</v>
      </c>
      <c r="J12062">
        <f t="shared" si="43"/>
        <v>0</v>
      </c>
    </row>
    <row r="12063" spans="6:10">
      <c r="F12063">
        <f t="shared" si="40"/>
        <v>0</v>
      </c>
      <c r="G12063">
        <f>COUNTIF($D$2:D12063,D12063)</f>
        <v>0</v>
      </c>
      <c r="H12063" t="str">
        <f t="shared" si="41"/>
        <v xml:space="preserve"> - 0</v>
      </c>
      <c r="I12063">
        <f t="shared" si="42"/>
        <v>0</v>
      </c>
      <c r="J12063">
        <f t="shared" si="43"/>
        <v>0</v>
      </c>
    </row>
    <row r="12064" spans="6:10">
      <c r="F12064">
        <f t="shared" si="40"/>
        <v>0</v>
      </c>
      <c r="G12064">
        <f>COUNTIF($D$2:D12064,D12064)</f>
        <v>0</v>
      </c>
      <c r="H12064" t="str">
        <f t="shared" si="41"/>
        <v xml:space="preserve"> - 0</v>
      </c>
      <c r="I12064">
        <f t="shared" si="42"/>
        <v>0</v>
      </c>
      <c r="J12064">
        <f t="shared" si="43"/>
        <v>0</v>
      </c>
    </row>
    <row r="12065" spans="6:10">
      <c r="F12065">
        <f t="shared" si="40"/>
        <v>0</v>
      </c>
      <c r="G12065">
        <f>COUNTIF($D$2:D12065,D12065)</f>
        <v>0</v>
      </c>
      <c r="H12065" t="str">
        <f t="shared" si="41"/>
        <v xml:space="preserve"> - 0</v>
      </c>
      <c r="I12065">
        <f t="shared" si="42"/>
        <v>0</v>
      </c>
      <c r="J12065">
        <f t="shared" si="43"/>
        <v>0</v>
      </c>
    </row>
    <row r="12066" spans="6:10">
      <c r="F12066">
        <f t="shared" si="40"/>
        <v>0</v>
      </c>
      <c r="G12066">
        <f>COUNTIF($D$2:D12066,D12066)</f>
        <v>0</v>
      </c>
      <c r="H12066" t="str">
        <f t="shared" si="41"/>
        <v xml:space="preserve"> - 0</v>
      </c>
      <c r="I12066">
        <f t="shared" si="42"/>
        <v>0</v>
      </c>
      <c r="J12066">
        <f t="shared" si="43"/>
        <v>0</v>
      </c>
    </row>
    <row r="12067" spans="6:10">
      <c r="F12067">
        <f t="shared" si="40"/>
        <v>0</v>
      </c>
      <c r="G12067">
        <f>COUNTIF($D$2:D12067,D12067)</f>
        <v>0</v>
      </c>
      <c r="H12067" t="str">
        <f t="shared" si="41"/>
        <v xml:space="preserve"> - 0</v>
      </c>
      <c r="I12067">
        <f t="shared" si="42"/>
        <v>0</v>
      </c>
      <c r="J12067">
        <f t="shared" si="43"/>
        <v>0</v>
      </c>
    </row>
    <row r="12068" spans="6:10">
      <c r="F12068">
        <f t="shared" si="40"/>
        <v>0</v>
      </c>
      <c r="G12068">
        <f>COUNTIF($D$2:D12068,D12068)</f>
        <v>0</v>
      </c>
      <c r="H12068" t="str">
        <f t="shared" si="41"/>
        <v xml:space="preserve"> - 0</v>
      </c>
      <c r="I12068">
        <f t="shared" si="42"/>
        <v>0</v>
      </c>
      <c r="J12068">
        <f t="shared" si="43"/>
        <v>0</v>
      </c>
    </row>
    <row r="12069" spans="6:10">
      <c r="F12069">
        <f t="shared" si="40"/>
        <v>0</v>
      </c>
      <c r="G12069">
        <f>COUNTIF($D$2:D12069,D12069)</f>
        <v>0</v>
      </c>
      <c r="H12069" t="str">
        <f t="shared" si="41"/>
        <v xml:space="preserve"> - 0</v>
      </c>
      <c r="I12069">
        <f t="shared" si="42"/>
        <v>0</v>
      </c>
      <c r="J12069">
        <f t="shared" si="43"/>
        <v>0</v>
      </c>
    </row>
    <row r="12070" spans="6:10">
      <c r="F12070">
        <f t="shared" si="40"/>
        <v>0</v>
      </c>
      <c r="G12070">
        <f>COUNTIF($D$2:D12070,D12070)</f>
        <v>0</v>
      </c>
      <c r="H12070" t="str">
        <f t="shared" si="41"/>
        <v xml:space="preserve"> - 0</v>
      </c>
      <c r="I12070">
        <f t="shared" si="42"/>
        <v>0</v>
      </c>
      <c r="J12070">
        <f t="shared" si="43"/>
        <v>0</v>
      </c>
    </row>
    <row r="12071" spans="6:10">
      <c r="F12071">
        <f t="shared" si="40"/>
        <v>0</v>
      </c>
      <c r="G12071">
        <f>COUNTIF($D$2:D12071,D12071)</f>
        <v>0</v>
      </c>
      <c r="H12071" t="str">
        <f t="shared" si="41"/>
        <v xml:space="preserve"> - 0</v>
      </c>
      <c r="I12071">
        <f t="shared" si="42"/>
        <v>0</v>
      </c>
      <c r="J12071">
        <f t="shared" si="43"/>
        <v>0</v>
      </c>
    </row>
    <row r="12072" spans="6:10">
      <c r="F12072">
        <f t="shared" si="40"/>
        <v>0</v>
      </c>
      <c r="G12072">
        <f>COUNTIF($D$2:D12072,D12072)</f>
        <v>0</v>
      </c>
      <c r="H12072" t="str">
        <f t="shared" si="41"/>
        <v xml:space="preserve"> - 0</v>
      </c>
      <c r="I12072">
        <f t="shared" si="42"/>
        <v>0</v>
      </c>
      <c r="J12072">
        <f t="shared" si="43"/>
        <v>0</v>
      </c>
    </row>
    <row r="12073" spans="6:10">
      <c r="F12073">
        <f t="shared" ref="F12073:F12136" si="44">COUNTIF($D$2:$D$35910,D12073)</f>
        <v>0</v>
      </c>
      <c r="G12073">
        <f>COUNTIF($D$2:D12073,D12073)</f>
        <v>0</v>
      </c>
      <c r="H12073" t="str">
        <f t="shared" ref="H12073:H12136" si="45">D12073&amp;" - "&amp;G12073&amp;AH12073</f>
        <v xml:space="preserve"> - 0</v>
      </c>
      <c r="I12073">
        <f t="shared" ref="I12073:I12136" si="46">A12073</f>
        <v>0</v>
      </c>
      <c r="J12073">
        <f t="shared" ref="J12073:J12136" si="47">B12073</f>
        <v>0</v>
      </c>
    </row>
    <row r="12074" spans="6:10">
      <c r="F12074">
        <f t="shared" si="44"/>
        <v>0</v>
      </c>
      <c r="G12074">
        <f>COUNTIF($D$2:D12074,D12074)</f>
        <v>0</v>
      </c>
      <c r="H12074" t="str">
        <f t="shared" si="45"/>
        <v xml:space="preserve"> - 0</v>
      </c>
      <c r="I12074">
        <f t="shared" si="46"/>
        <v>0</v>
      </c>
      <c r="J12074">
        <f t="shared" si="47"/>
        <v>0</v>
      </c>
    </row>
    <row r="12075" spans="6:10">
      <c r="F12075">
        <f t="shared" si="44"/>
        <v>0</v>
      </c>
      <c r="G12075">
        <f>COUNTIF($D$2:D12075,D12075)</f>
        <v>0</v>
      </c>
      <c r="H12075" t="str">
        <f t="shared" si="45"/>
        <v xml:space="preserve"> - 0</v>
      </c>
      <c r="I12075">
        <f t="shared" si="46"/>
        <v>0</v>
      </c>
      <c r="J12075">
        <f t="shared" si="47"/>
        <v>0</v>
      </c>
    </row>
    <row r="12076" spans="6:10">
      <c r="F12076">
        <f t="shared" si="44"/>
        <v>0</v>
      </c>
      <c r="G12076">
        <f>COUNTIF($D$2:D12076,D12076)</f>
        <v>0</v>
      </c>
      <c r="H12076" t="str">
        <f t="shared" si="45"/>
        <v xml:space="preserve"> - 0</v>
      </c>
      <c r="I12076">
        <f t="shared" si="46"/>
        <v>0</v>
      </c>
      <c r="J12076">
        <f t="shared" si="47"/>
        <v>0</v>
      </c>
    </row>
    <row r="12077" spans="6:10">
      <c r="F12077">
        <f t="shared" si="44"/>
        <v>0</v>
      </c>
      <c r="G12077">
        <f>COUNTIF($D$2:D12077,D12077)</f>
        <v>0</v>
      </c>
      <c r="H12077" t="str">
        <f t="shared" si="45"/>
        <v xml:space="preserve"> - 0</v>
      </c>
      <c r="I12077">
        <f t="shared" si="46"/>
        <v>0</v>
      </c>
      <c r="J12077">
        <f t="shared" si="47"/>
        <v>0</v>
      </c>
    </row>
    <row r="12078" spans="6:10">
      <c r="F12078">
        <f t="shared" si="44"/>
        <v>0</v>
      </c>
      <c r="G12078">
        <f>COUNTIF($D$2:D12078,D12078)</f>
        <v>0</v>
      </c>
      <c r="H12078" t="str">
        <f t="shared" si="45"/>
        <v xml:space="preserve"> - 0</v>
      </c>
      <c r="I12078">
        <f t="shared" si="46"/>
        <v>0</v>
      </c>
      <c r="J12078">
        <f t="shared" si="47"/>
        <v>0</v>
      </c>
    </row>
    <row r="12079" spans="6:10">
      <c r="F12079">
        <f t="shared" si="44"/>
        <v>0</v>
      </c>
      <c r="G12079">
        <f>COUNTIF($D$2:D12079,D12079)</f>
        <v>0</v>
      </c>
      <c r="H12079" t="str">
        <f t="shared" si="45"/>
        <v xml:space="preserve"> - 0</v>
      </c>
      <c r="I12079">
        <f t="shared" si="46"/>
        <v>0</v>
      </c>
      <c r="J12079">
        <f t="shared" si="47"/>
        <v>0</v>
      </c>
    </row>
    <row r="12080" spans="6:10">
      <c r="F12080">
        <f t="shared" si="44"/>
        <v>0</v>
      </c>
      <c r="G12080">
        <f>COUNTIF($D$2:D12080,D12080)</f>
        <v>0</v>
      </c>
      <c r="H12080" t="str">
        <f t="shared" si="45"/>
        <v xml:space="preserve"> - 0</v>
      </c>
      <c r="I12080">
        <f t="shared" si="46"/>
        <v>0</v>
      </c>
      <c r="J12080">
        <f t="shared" si="47"/>
        <v>0</v>
      </c>
    </row>
    <row r="12081" spans="6:10">
      <c r="F12081">
        <f t="shared" si="44"/>
        <v>0</v>
      </c>
      <c r="G12081">
        <f>COUNTIF($D$2:D12081,D12081)</f>
        <v>0</v>
      </c>
      <c r="H12081" t="str">
        <f t="shared" si="45"/>
        <v xml:space="preserve"> - 0</v>
      </c>
      <c r="I12081">
        <f t="shared" si="46"/>
        <v>0</v>
      </c>
      <c r="J12081">
        <f t="shared" si="47"/>
        <v>0</v>
      </c>
    </row>
    <row r="12082" spans="6:10">
      <c r="F12082">
        <f t="shared" si="44"/>
        <v>0</v>
      </c>
      <c r="G12082">
        <f>COUNTIF($D$2:D12082,D12082)</f>
        <v>0</v>
      </c>
      <c r="H12082" t="str">
        <f t="shared" si="45"/>
        <v xml:space="preserve"> - 0</v>
      </c>
      <c r="I12082">
        <f t="shared" si="46"/>
        <v>0</v>
      </c>
      <c r="J12082">
        <f t="shared" si="47"/>
        <v>0</v>
      </c>
    </row>
    <row r="12083" spans="6:10">
      <c r="F12083">
        <f t="shared" si="44"/>
        <v>0</v>
      </c>
      <c r="G12083">
        <f>COUNTIF($D$2:D12083,D12083)</f>
        <v>0</v>
      </c>
      <c r="H12083" t="str">
        <f t="shared" si="45"/>
        <v xml:space="preserve"> - 0</v>
      </c>
      <c r="I12083">
        <f t="shared" si="46"/>
        <v>0</v>
      </c>
      <c r="J12083">
        <f t="shared" si="47"/>
        <v>0</v>
      </c>
    </row>
    <row r="12084" spans="6:10">
      <c r="F12084">
        <f t="shared" si="44"/>
        <v>0</v>
      </c>
      <c r="G12084">
        <f>COUNTIF($D$2:D12084,D12084)</f>
        <v>0</v>
      </c>
      <c r="H12084" t="str">
        <f t="shared" si="45"/>
        <v xml:space="preserve"> - 0</v>
      </c>
      <c r="I12084">
        <f t="shared" si="46"/>
        <v>0</v>
      </c>
      <c r="J12084">
        <f t="shared" si="47"/>
        <v>0</v>
      </c>
    </row>
    <row r="12085" spans="6:10">
      <c r="F12085">
        <f t="shared" si="44"/>
        <v>0</v>
      </c>
      <c r="G12085">
        <f>COUNTIF($D$2:D12085,D12085)</f>
        <v>0</v>
      </c>
      <c r="H12085" t="str">
        <f t="shared" si="45"/>
        <v xml:space="preserve"> - 0</v>
      </c>
      <c r="I12085">
        <f t="shared" si="46"/>
        <v>0</v>
      </c>
      <c r="J12085">
        <f t="shared" si="47"/>
        <v>0</v>
      </c>
    </row>
    <row r="12086" spans="6:10">
      <c r="F12086">
        <f t="shared" si="44"/>
        <v>0</v>
      </c>
      <c r="G12086">
        <f>COUNTIF($D$2:D12086,D12086)</f>
        <v>0</v>
      </c>
      <c r="H12086" t="str">
        <f t="shared" si="45"/>
        <v xml:space="preserve"> - 0</v>
      </c>
      <c r="I12086">
        <f t="shared" si="46"/>
        <v>0</v>
      </c>
      <c r="J12086">
        <f t="shared" si="47"/>
        <v>0</v>
      </c>
    </row>
    <row r="12087" spans="6:10">
      <c r="F12087">
        <f t="shared" si="44"/>
        <v>0</v>
      </c>
      <c r="G12087">
        <f>COUNTIF($D$2:D12087,D12087)</f>
        <v>0</v>
      </c>
      <c r="H12087" t="str">
        <f t="shared" si="45"/>
        <v xml:space="preserve"> - 0</v>
      </c>
      <c r="I12087">
        <f t="shared" si="46"/>
        <v>0</v>
      </c>
      <c r="J12087">
        <f t="shared" si="47"/>
        <v>0</v>
      </c>
    </row>
    <row r="12088" spans="6:10">
      <c r="F12088">
        <f t="shared" si="44"/>
        <v>0</v>
      </c>
      <c r="G12088">
        <f>COUNTIF($D$2:D12088,D12088)</f>
        <v>0</v>
      </c>
      <c r="H12088" t="str">
        <f t="shared" si="45"/>
        <v xml:space="preserve"> - 0</v>
      </c>
      <c r="I12088">
        <f t="shared" si="46"/>
        <v>0</v>
      </c>
      <c r="J12088">
        <f t="shared" si="47"/>
        <v>0</v>
      </c>
    </row>
    <row r="12089" spans="6:10">
      <c r="F12089">
        <f t="shared" si="44"/>
        <v>0</v>
      </c>
      <c r="G12089">
        <f>COUNTIF($D$2:D12089,D12089)</f>
        <v>0</v>
      </c>
      <c r="H12089" t="str">
        <f t="shared" si="45"/>
        <v xml:space="preserve"> - 0</v>
      </c>
      <c r="I12089">
        <f t="shared" si="46"/>
        <v>0</v>
      </c>
      <c r="J12089">
        <f t="shared" si="47"/>
        <v>0</v>
      </c>
    </row>
    <row r="12090" spans="6:10">
      <c r="F12090">
        <f t="shared" si="44"/>
        <v>0</v>
      </c>
      <c r="G12090">
        <f>COUNTIF($D$2:D12090,D12090)</f>
        <v>0</v>
      </c>
      <c r="H12090" t="str">
        <f t="shared" si="45"/>
        <v xml:space="preserve"> - 0</v>
      </c>
      <c r="I12090">
        <f t="shared" si="46"/>
        <v>0</v>
      </c>
      <c r="J12090">
        <f t="shared" si="47"/>
        <v>0</v>
      </c>
    </row>
    <row r="12091" spans="6:10">
      <c r="F12091">
        <f t="shared" si="44"/>
        <v>0</v>
      </c>
      <c r="G12091">
        <f>COUNTIF($D$2:D12091,D12091)</f>
        <v>0</v>
      </c>
      <c r="H12091" t="str">
        <f t="shared" si="45"/>
        <v xml:space="preserve"> - 0</v>
      </c>
      <c r="I12091">
        <f t="shared" si="46"/>
        <v>0</v>
      </c>
      <c r="J12091">
        <f t="shared" si="47"/>
        <v>0</v>
      </c>
    </row>
    <row r="12092" spans="6:10">
      <c r="F12092">
        <f t="shared" si="44"/>
        <v>0</v>
      </c>
      <c r="G12092">
        <f>COUNTIF($D$2:D12092,D12092)</f>
        <v>0</v>
      </c>
      <c r="H12092" t="str">
        <f t="shared" si="45"/>
        <v xml:space="preserve"> - 0</v>
      </c>
      <c r="I12092">
        <f t="shared" si="46"/>
        <v>0</v>
      </c>
      <c r="J12092">
        <f t="shared" si="47"/>
        <v>0</v>
      </c>
    </row>
    <row r="12093" spans="6:10">
      <c r="F12093">
        <f t="shared" si="44"/>
        <v>0</v>
      </c>
      <c r="G12093">
        <f>COUNTIF($D$2:D12093,D12093)</f>
        <v>0</v>
      </c>
      <c r="H12093" t="str">
        <f t="shared" si="45"/>
        <v xml:space="preserve"> - 0</v>
      </c>
      <c r="I12093">
        <f t="shared" si="46"/>
        <v>0</v>
      </c>
      <c r="J12093">
        <f t="shared" si="47"/>
        <v>0</v>
      </c>
    </row>
    <row r="12094" spans="6:10">
      <c r="F12094">
        <f t="shared" si="44"/>
        <v>0</v>
      </c>
      <c r="G12094">
        <f>COUNTIF($D$2:D12094,D12094)</f>
        <v>0</v>
      </c>
      <c r="H12094" t="str">
        <f t="shared" si="45"/>
        <v xml:space="preserve"> - 0</v>
      </c>
      <c r="I12094">
        <f t="shared" si="46"/>
        <v>0</v>
      </c>
      <c r="J12094">
        <f t="shared" si="47"/>
        <v>0</v>
      </c>
    </row>
    <row r="12095" spans="6:10">
      <c r="F12095">
        <f t="shared" si="44"/>
        <v>0</v>
      </c>
      <c r="G12095">
        <f>COUNTIF($D$2:D12095,D12095)</f>
        <v>0</v>
      </c>
      <c r="H12095" t="str">
        <f t="shared" si="45"/>
        <v xml:space="preserve"> - 0</v>
      </c>
      <c r="I12095">
        <f t="shared" si="46"/>
        <v>0</v>
      </c>
      <c r="J12095">
        <f t="shared" si="47"/>
        <v>0</v>
      </c>
    </row>
    <row r="12096" spans="6:10">
      <c r="F12096">
        <f t="shared" si="44"/>
        <v>0</v>
      </c>
      <c r="G12096">
        <f>COUNTIF($D$2:D12096,D12096)</f>
        <v>0</v>
      </c>
      <c r="H12096" t="str">
        <f t="shared" si="45"/>
        <v xml:space="preserve"> - 0</v>
      </c>
      <c r="I12096">
        <f t="shared" si="46"/>
        <v>0</v>
      </c>
      <c r="J12096">
        <f t="shared" si="47"/>
        <v>0</v>
      </c>
    </row>
    <row r="12097" spans="6:10">
      <c r="F12097">
        <f t="shared" si="44"/>
        <v>0</v>
      </c>
      <c r="G12097">
        <f>COUNTIF($D$2:D12097,D12097)</f>
        <v>0</v>
      </c>
      <c r="H12097" t="str">
        <f t="shared" si="45"/>
        <v xml:space="preserve"> - 0</v>
      </c>
      <c r="I12097">
        <f t="shared" si="46"/>
        <v>0</v>
      </c>
      <c r="J12097">
        <f t="shared" si="47"/>
        <v>0</v>
      </c>
    </row>
    <row r="12098" spans="6:10">
      <c r="F12098">
        <f t="shared" si="44"/>
        <v>0</v>
      </c>
      <c r="G12098">
        <f>COUNTIF($D$2:D12098,D12098)</f>
        <v>0</v>
      </c>
      <c r="H12098" t="str">
        <f t="shared" si="45"/>
        <v xml:space="preserve"> - 0</v>
      </c>
      <c r="I12098">
        <f t="shared" si="46"/>
        <v>0</v>
      </c>
      <c r="J12098">
        <f t="shared" si="47"/>
        <v>0</v>
      </c>
    </row>
    <row r="12099" spans="6:10">
      <c r="F12099">
        <f t="shared" si="44"/>
        <v>0</v>
      </c>
      <c r="G12099">
        <f>COUNTIF($D$2:D12099,D12099)</f>
        <v>0</v>
      </c>
      <c r="H12099" t="str">
        <f t="shared" si="45"/>
        <v xml:space="preserve"> - 0</v>
      </c>
      <c r="I12099">
        <f t="shared" si="46"/>
        <v>0</v>
      </c>
      <c r="J12099">
        <f t="shared" si="47"/>
        <v>0</v>
      </c>
    </row>
    <row r="12100" spans="6:10">
      <c r="F12100">
        <f t="shared" si="44"/>
        <v>0</v>
      </c>
      <c r="G12100">
        <f>COUNTIF($D$2:D12100,D12100)</f>
        <v>0</v>
      </c>
      <c r="H12100" t="str">
        <f t="shared" si="45"/>
        <v xml:space="preserve"> - 0</v>
      </c>
      <c r="I12100">
        <f t="shared" si="46"/>
        <v>0</v>
      </c>
      <c r="J12100">
        <f t="shared" si="47"/>
        <v>0</v>
      </c>
    </row>
    <row r="12101" spans="6:10">
      <c r="F12101">
        <f t="shared" si="44"/>
        <v>0</v>
      </c>
      <c r="G12101">
        <f>COUNTIF($D$2:D12101,D12101)</f>
        <v>0</v>
      </c>
      <c r="H12101" t="str">
        <f t="shared" si="45"/>
        <v xml:space="preserve"> - 0</v>
      </c>
      <c r="I12101">
        <f t="shared" si="46"/>
        <v>0</v>
      </c>
      <c r="J12101">
        <f t="shared" si="47"/>
        <v>0</v>
      </c>
    </row>
    <row r="12102" spans="6:10">
      <c r="F12102">
        <f t="shared" si="44"/>
        <v>0</v>
      </c>
      <c r="G12102">
        <f>COUNTIF($D$2:D12102,D12102)</f>
        <v>0</v>
      </c>
      <c r="H12102" t="str">
        <f t="shared" si="45"/>
        <v xml:space="preserve"> - 0</v>
      </c>
      <c r="I12102">
        <f t="shared" si="46"/>
        <v>0</v>
      </c>
      <c r="J12102">
        <f t="shared" si="47"/>
        <v>0</v>
      </c>
    </row>
    <row r="12103" spans="6:10">
      <c r="F12103">
        <f t="shared" si="44"/>
        <v>0</v>
      </c>
      <c r="G12103">
        <f>COUNTIF($D$2:D12103,D12103)</f>
        <v>0</v>
      </c>
      <c r="H12103" t="str">
        <f t="shared" si="45"/>
        <v xml:space="preserve"> - 0</v>
      </c>
      <c r="I12103">
        <f t="shared" si="46"/>
        <v>0</v>
      </c>
      <c r="J12103">
        <f t="shared" si="47"/>
        <v>0</v>
      </c>
    </row>
    <row r="12104" spans="6:10">
      <c r="F12104">
        <f t="shared" si="44"/>
        <v>0</v>
      </c>
      <c r="G12104">
        <f>COUNTIF($D$2:D12104,D12104)</f>
        <v>0</v>
      </c>
      <c r="H12104" t="str">
        <f t="shared" si="45"/>
        <v xml:space="preserve"> - 0</v>
      </c>
      <c r="I12104">
        <f t="shared" si="46"/>
        <v>0</v>
      </c>
      <c r="J12104">
        <f t="shared" si="47"/>
        <v>0</v>
      </c>
    </row>
    <row r="12105" spans="6:10">
      <c r="F12105">
        <f t="shared" si="44"/>
        <v>0</v>
      </c>
      <c r="G12105">
        <f>COUNTIF($D$2:D12105,D12105)</f>
        <v>0</v>
      </c>
      <c r="H12105" t="str">
        <f t="shared" si="45"/>
        <v xml:space="preserve"> - 0</v>
      </c>
      <c r="I12105">
        <f t="shared" si="46"/>
        <v>0</v>
      </c>
      <c r="J12105">
        <f t="shared" si="47"/>
        <v>0</v>
      </c>
    </row>
    <row r="12106" spans="6:10">
      <c r="F12106">
        <f t="shared" si="44"/>
        <v>0</v>
      </c>
      <c r="G12106">
        <f>COUNTIF($D$2:D12106,D12106)</f>
        <v>0</v>
      </c>
      <c r="H12106" t="str">
        <f t="shared" si="45"/>
        <v xml:space="preserve"> - 0</v>
      </c>
      <c r="I12106">
        <f t="shared" si="46"/>
        <v>0</v>
      </c>
      <c r="J12106">
        <f t="shared" si="47"/>
        <v>0</v>
      </c>
    </row>
    <row r="12107" spans="6:10">
      <c r="F12107">
        <f t="shared" si="44"/>
        <v>0</v>
      </c>
      <c r="G12107">
        <f>COUNTIF($D$2:D12107,D12107)</f>
        <v>0</v>
      </c>
      <c r="H12107" t="str">
        <f t="shared" si="45"/>
        <v xml:space="preserve"> - 0</v>
      </c>
      <c r="I12107">
        <f t="shared" si="46"/>
        <v>0</v>
      </c>
      <c r="J12107">
        <f t="shared" si="47"/>
        <v>0</v>
      </c>
    </row>
    <row r="12108" spans="6:10">
      <c r="F12108">
        <f t="shared" si="44"/>
        <v>0</v>
      </c>
      <c r="G12108">
        <f>COUNTIF($D$2:D12108,D12108)</f>
        <v>0</v>
      </c>
      <c r="H12108" t="str">
        <f t="shared" si="45"/>
        <v xml:space="preserve"> - 0</v>
      </c>
      <c r="I12108">
        <f t="shared" si="46"/>
        <v>0</v>
      </c>
      <c r="J12108">
        <f t="shared" si="47"/>
        <v>0</v>
      </c>
    </row>
    <row r="12109" spans="6:10">
      <c r="F12109">
        <f t="shared" si="44"/>
        <v>0</v>
      </c>
      <c r="G12109">
        <f>COUNTIF($D$2:D12109,D12109)</f>
        <v>0</v>
      </c>
      <c r="H12109" t="str">
        <f t="shared" si="45"/>
        <v xml:space="preserve"> - 0</v>
      </c>
      <c r="I12109">
        <f t="shared" si="46"/>
        <v>0</v>
      </c>
      <c r="J12109">
        <f t="shared" si="47"/>
        <v>0</v>
      </c>
    </row>
    <row r="12110" spans="6:10">
      <c r="F12110">
        <f t="shared" si="44"/>
        <v>0</v>
      </c>
      <c r="G12110">
        <f>COUNTIF($D$2:D12110,D12110)</f>
        <v>0</v>
      </c>
      <c r="H12110" t="str">
        <f t="shared" si="45"/>
        <v xml:space="preserve"> - 0</v>
      </c>
      <c r="I12110">
        <f t="shared" si="46"/>
        <v>0</v>
      </c>
      <c r="J12110">
        <f t="shared" si="47"/>
        <v>0</v>
      </c>
    </row>
    <row r="12111" spans="6:10">
      <c r="F12111">
        <f t="shared" si="44"/>
        <v>0</v>
      </c>
      <c r="G12111">
        <f>COUNTIF($D$2:D12111,D12111)</f>
        <v>0</v>
      </c>
      <c r="H12111" t="str">
        <f t="shared" si="45"/>
        <v xml:space="preserve"> - 0</v>
      </c>
      <c r="I12111">
        <f t="shared" si="46"/>
        <v>0</v>
      </c>
      <c r="J12111">
        <f t="shared" si="47"/>
        <v>0</v>
      </c>
    </row>
    <row r="12112" spans="6:10">
      <c r="F12112">
        <f t="shared" si="44"/>
        <v>0</v>
      </c>
      <c r="G12112">
        <f>COUNTIF($D$2:D12112,D12112)</f>
        <v>0</v>
      </c>
      <c r="H12112" t="str">
        <f t="shared" si="45"/>
        <v xml:space="preserve"> - 0</v>
      </c>
      <c r="I12112">
        <f t="shared" si="46"/>
        <v>0</v>
      </c>
      <c r="J12112">
        <f t="shared" si="47"/>
        <v>0</v>
      </c>
    </row>
    <row r="12113" spans="6:10">
      <c r="F12113">
        <f t="shared" si="44"/>
        <v>0</v>
      </c>
      <c r="G12113">
        <f>COUNTIF($D$2:D12113,D12113)</f>
        <v>0</v>
      </c>
      <c r="H12113" t="str">
        <f t="shared" si="45"/>
        <v xml:space="preserve"> - 0</v>
      </c>
      <c r="I12113">
        <f t="shared" si="46"/>
        <v>0</v>
      </c>
      <c r="J12113">
        <f t="shared" si="47"/>
        <v>0</v>
      </c>
    </row>
    <row r="12114" spans="6:10">
      <c r="F12114">
        <f t="shared" si="44"/>
        <v>0</v>
      </c>
      <c r="G12114">
        <f>COUNTIF($D$2:D12114,D12114)</f>
        <v>0</v>
      </c>
      <c r="H12114" t="str">
        <f t="shared" si="45"/>
        <v xml:space="preserve"> - 0</v>
      </c>
      <c r="I12114">
        <f t="shared" si="46"/>
        <v>0</v>
      </c>
      <c r="J12114">
        <f t="shared" si="47"/>
        <v>0</v>
      </c>
    </row>
    <row r="12115" spans="6:10">
      <c r="F12115">
        <f t="shared" si="44"/>
        <v>0</v>
      </c>
      <c r="G12115">
        <f>COUNTIF($D$2:D12115,D12115)</f>
        <v>0</v>
      </c>
      <c r="H12115" t="str">
        <f t="shared" si="45"/>
        <v xml:space="preserve"> - 0</v>
      </c>
      <c r="I12115">
        <f t="shared" si="46"/>
        <v>0</v>
      </c>
      <c r="J12115">
        <f t="shared" si="47"/>
        <v>0</v>
      </c>
    </row>
    <row r="12116" spans="6:10">
      <c r="F12116">
        <f t="shared" si="44"/>
        <v>0</v>
      </c>
      <c r="G12116">
        <f>COUNTIF($D$2:D12116,D12116)</f>
        <v>0</v>
      </c>
      <c r="H12116" t="str">
        <f t="shared" si="45"/>
        <v xml:space="preserve"> - 0</v>
      </c>
      <c r="I12116">
        <f t="shared" si="46"/>
        <v>0</v>
      </c>
      <c r="J12116">
        <f t="shared" si="47"/>
        <v>0</v>
      </c>
    </row>
    <row r="12117" spans="6:10">
      <c r="F12117">
        <f t="shared" si="44"/>
        <v>0</v>
      </c>
      <c r="G12117">
        <f>COUNTIF($D$2:D12117,D12117)</f>
        <v>0</v>
      </c>
      <c r="H12117" t="str">
        <f t="shared" si="45"/>
        <v xml:space="preserve"> - 0</v>
      </c>
      <c r="I12117">
        <f t="shared" si="46"/>
        <v>0</v>
      </c>
      <c r="J12117">
        <f t="shared" si="47"/>
        <v>0</v>
      </c>
    </row>
    <row r="12118" spans="6:10">
      <c r="F12118">
        <f t="shared" si="44"/>
        <v>0</v>
      </c>
      <c r="G12118">
        <f>COUNTIF($D$2:D12118,D12118)</f>
        <v>0</v>
      </c>
      <c r="H12118" t="str">
        <f t="shared" si="45"/>
        <v xml:space="preserve"> - 0</v>
      </c>
      <c r="I12118">
        <f t="shared" si="46"/>
        <v>0</v>
      </c>
      <c r="J12118">
        <f t="shared" si="47"/>
        <v>0</v>
      </c>
    </row>
    <row r="12119" spans="6:10">
      <c r="F12119">
        <f t="shared" si="44"/>
        <v>0</v>
      </c>
      <c r="G12119">
        <f>COUNTIF($D$2:D12119,D12119)</f>
        <v>0</v>
      </c>
      <c r="H12119" t="str">
        <f t="shared" si="45"/>
        <v xml:space="preserve"> - 0</v>
      </c>
      <c r="I12119">
        <f t="shared" si="46"/>
        <v>0</v>
      </c>
      <c r="J12119">
        <f t="shared" si="47"/>
        <v>0</v>
      </c>
    </row>
    <row r="12120" spans="6:10">
      <c r="F12120">
        <f t="shared" si="44"/>
        <v>0</v>
      </c>
      <c r="G12120">
        <f>COUNTIF($D$2:D12120,D12120)</f>
        <v>0</v>
      </c>
      <c r="H12120" t="str">
        <f t="shared" si="45"/>
        <v xml:space="preserve"> - 0</v>
      </c>
      <c r="I12120">
        <f t="shared" si="46"/>
        <v>0</v>
      </c>
      <c r="J12120">
        <f t="shared" si="47"/>
        <v>0</v>
      </c>
    </row>
    <row r="12121" spans="6:10">
      <c r="F12121">
        <f t="shared" si="44"/>
        <v>0</v>
      </c>
      <c r="G12121">
        <f>COUNTIF($D$2:D12121,D12121)</f>
        <v>0</v>
      </c>
      <c r="H12121" t="str">
        <f t="shared" si="45"/>
        <v xml:space="preserve"> - 0</v>
      </c>
      <c r="I12121">
        <f t="shared" si="46"/>
        <v>0</v>
      </c>
      <c r="J12121">
        <f t="shared" si="47"/>
        <v>0</v>
      </c>
    </row>
    <row r="12122" spans="6:10">
      <c r="F12122">
        <f t="shared" si="44"/>
        <v>0</v>
      </c>
      <c r="G12122">
        <f>COUNTIF($D$2:D12122,D12122)</f>
        <v>0</v>
      </c>
      <c r="H12122" t="str">
        <f t="shared" si="45"/>
        <v xml:space="preserve"> - 0</v>
      </c>
      <c r="I12122">
        <f t="shared" si="46"/>
        <v>0</v>
      </c>
      <c r="J12122">
        <f t="shared" si="47"/>
        <v>0</v>
      </c>
    </row>
    <row r="12123" spans="6:10">
      <c r="F12123">
        <f t="shared" si="44"/>
        <v>0</v>
      </c>
      <c r="G12123">
        <f>COUNTIF($D$2:D12123,D12123)</f>
        <v>0</v>
      </c>
      <c r="H12123" t="str">
        <f t="shared" si="45"/>
        <v xml:space="preserve"> - 0</v>
      </c>
      <c r="I12123">
        <f t="shared" si="46"/>
        <v>0</v>
      </c>
      <c r="J12123">
        <f t="shared" si="47"/>
        <v>0</v>
      </c>
    </row>
    <row r="12124" spans="6:10">
      <c r="F12124">
        <f t="shared" si="44"/>
        <v>0</v>
      </c>
      <c r="G12124">
        <f>COUNTIF($D$2:D12124,D12124)</f>
        <v>0</v>
      </c>
      <c r="H12124" t="str">
        <f t="shared" si="45"/>
        <v xml:space="preserve"> - 0</v>
      </c>
      <c r="I12124">
        <f t="shared" si="46"/>
        <v>0</v>
      </c>
      <c r="J12124">
        <f t="shared" si="47"/>
        <v>0</v>
      </c>
    </row>
    <row r="12125" spans="6:10">
      <c r="F12125">
        <f t="shared" si="44"/>
        <v>0</v>
      </c>
      <c r="G12125">
        <f>COUNTIF($D$2:D12125,D12125)</f>
        <v>0</v>
      </c>
      <c r="H12125" t="str">
        <f t="shared" si="45"/>
        <v xml:space="preserve"> - 0</v>
      </c>
      <c r="I12125">
        <f t="shared" si="46"/>
        <v>0</v>
      </c>
      <c r="J12125">
        <f t="shared" si="47"/>
        <v>0</v>
      </c>
    </row>
    <row r="12126" spans="6:10">
      <c r="F12126">
        <f t="shared" si="44"/>
        <v>0</v>
      </c>
      <c r="G12126">
        <f>COUNTIF($D$2:D12126,D12126)</f>
        <v>0</v>
      </c>
      <c r="H12126" t="str">
        <f t="shared" si="45"/>
        <v xml:space="preserve"> - 0</v>
      </c>
      <c r="I12126">
        <f t="shared" si="46"/>
        <v>0</v>
      </c>
      <c r="J12126">
        <f t="shared" si="47"/>
        <v>0</v>
      </c>
    </row>
    <row r="12127" spans="6:10">
      <c r="F12127">
        <f t="shared" si="44"/>
        <v>0</v>
      </c>
      <c r="G12127">
        <f>COUNTIF($D$2:D12127,D12127)</f>
        <v>0</v>
      </c>
      <c r="H12127" t="str">
        <f t="shared" si="45"/>
        <v xml:space="preserve"> - 0</v>
      </c>
      <c r="I12127">
        <f t="shared" si="46"/>
        <v>0</v>
      </c>
      <c r="J12127">
        <f t="shared" si="47"/>
        <v>0</v>
      </c>
    </row>
    <row r="12128" spans="6:10">
      <c r="F12128">
        <f t="shared" si="44"/>
        <v>0</v>
      </c>
      <c r="G12128">
        <f>COUNTIF($D$2:D12128,D12128)</f>
        <v>0</v>
      </c>
      <c r="H12128" t="str">
        <f t="shared" si="45"/>
        <v xml:space="preserve"> - 0</v>
      </c>
      <c r="I12128">
        <f t="shared" si="46"/>
        <v>0</v>
      </c>
      <c r="J12128">
        <f t="shared" si="47"/>
        <v>0</v>
      </c>
    </row>
    <row r="12129" spans="6:10">
      <c r="F12129">
        <f t="shared" si="44"/>
        <v>0</v>
      </c>
      <c r="G12129">
        <f>COUNTIF($D$2:D12129,D12129)</f>
        <v>0</v>
      </c>
      <c r="H12129" t="str">
        <f t="shared" si="45"/>
        <v xml:space="preserve"> - 0</v>
      </c>
      <c r="I12129">
        <f t="shared" si="46"/>
        <v>0</v>
      </c>
      <c r="J12129">
        <f t="shared" si="47"/>
        <v>0</v>
      </c>
    </row>
    <row r="12130" spans="6:10">
      <c r="F12130">
        <f t="shared" si="44"/>
        <v>0</v>
      </c>
      <c r="G12130">
        <f>COUNTIF($D$2:D12130,D12130)</f>
        <v>0</v>
      </c>
      <c r="H12130" t="str">
        <f t="shared" si="45"/>
        <v xml:space="preserve"> - 0</v>
      </c>
      <c r="I12130">
        <f t="shared" si="46"/>
        <v>0</v>
      </c>
      <c r="J12130">
        <f t="shared" si="47"/>
        <v>0</v>
      </c>
    </row>
    <row r="12131" spans="6:10">
      <c r="F12131">
        <f t="shared" si="44"/>
        <v>0</v>
      </c>
      <c r="G12131">
        <f>COUNTIF($D$2:D12131,D12131)</f>
        <v>0</v>
      </c>
      <c r="H12131" t="str">
        <f t="shared" si="45"/>
        <v xml:space="preserve"> - 0</v>
      </c>
      <c r="I12131">
        <f t="shared" si="46"/>
        <v>0</v>
      </c>
      <c r="J12131">
        <f t="shared" si="47"/>
        <v>0</v>
      </c>
    </row>
    <row r="12132" spans="6:10">
      <c r="F12132">
        <f t="shared" si="44"/>
        <v>0</v>
      </c>
      <c r="G12132">
        <f>COUNTIF($D$2:D12132,D12132)</f>
        <v>0</v>
      </c>
      <c r="H12132" t="str">
        <f t="shared" si="45"/>
        <v xml:space="preserve"> - 0</v>
      </c>
      <c r="I12132">
        <f t="shared" si="46"/>
        <v>0</v>
      </c>
      <c r="J12132">
        <f t="shared" si="47"/>
        <v>0</v>
      </c>
    </row>
    <row r="12133" spans="6:10">
      <c r="F12133">
        <f t="shared" si="44"/>
        <v>0</v>
      </c>
      <c r="G12133">
        <f>COUNTIF($D$2:D12133,D12133)</f>
        <v>0</v>
      </c>
      <c r="H12133" t="str">
        <f t="shared" si="45"/>
        <v xml:space="preserve"> - 0</v>
      </c>
      <c r="I12133">
        <f t="shared" si="46"/>
        <v>0</v>
      </c>
      <c r="J12133">
        <f t="shared" si="47"/>
        <v>0</v>
      </c>
    </row>
    <row r="12134" spans="6:10">
      <c r="F12134">
        <f t="shared" si="44"/>
        <v>0</v>
      </c>
      <c r="G12134">
        <f>COUNTIF($D$2:D12134,D12134)</f>
        <v>0</v>
      </c>
      <c r="H12134" t="str">
        <f t="shared" si="45"/>
        <v xml:space="preserve"> - 0</v>
      </c>
      <c r="I12134">
        <f t="shared" si="46"/>
        <v>0</v>
      </c>
      <c r="J12134">
        <f t="shared" si="47"/>
        <v>0</v>
      </c>
    </row>
    <row r="12135" spans="6:10">
      <c r="F12135">
        <f t="shared" si="44"/>
        <v>0</v>
      </c>
      <c r="G12135">
        <f>COUNTIF($D$2:D12135,D12135)</f>
        <v>0</v>
      </c>
      <c r="H12135" t="str">
        <f t="shared" si="45"/>
        <v xml:space="preserve"> - 0</v>
      </c>
      <c r="I12135">
        <f t="shared" si="46"/>
        <v>0</v>
      </c>
      <c r="J12135">
        <f t="shared" si="47"/>
        <v>0</v>
      </c>
    </row>
    <row r="12136" spans="6:10">
      <c r="F12136">
        <f t="shared" si="44"/>
        <v>0</v>
      </c>
      <c r="G12136">
        <f>COUNTIF($D$2:D12136,D12136)</f>
        <v>0</v>
      </c>
      <c r="H12136" t="str">
        <f t="shared" si="45"/>
        <v xml:space="preserve"> - 0</v>
      </c>
      <c r="I12136">
        <f t="shared" si="46"/>
        <v>0</v>
      </c>
      <c r="J12136">
        <f t="shared" si="47"/>
        <v>0</v>
      </c>
    </row>
    <row r="12137" spans="6:10">
      <c r="F12137">
        <f t="shared" ref="F12137:F12200" si="48">COUNTIF($D$2:$D$35910,D12137)</f>
        <v>0</v>
      </c>
      <c r="G12137">
        <f>COUNTIF($D$2:D12137,D12137)</f>
        <v>0</v>
      </c>
      <c r="H12137" t="str">
        <f t="shared" ref="H12137:H12200" si="49">D12137&amp;" - "&amp;G12137&amp;AH12137</f>
        <v xml:space="preserve"> - 0</v>
      </c>
      <c r="I12137">
        <f t="shared" ref="I12137:I12200" si="50">A12137</f>
        <v>0</v>
      </c>
      <c r="J12137">
        <f t="shared" ref="J12137:J12200" si="51">B12137</f>
        <v>0</v>
      </c>
    </row>
    <row r="12138" spans="6:10">
      <c r="F12138">
        <f t="shared" si="48"/>
        <v>0</v>
      </c>
      <c r="G12138">
        <f>COUNTIF($D$2:D12138,D12138)</f>
        <v>0</v>
      </c>
      <c r="H12138" t="str">
        <f t="shared" si="49"/>
        <v xml:space="preserve"> - 0</v>
      </c>
      <c r="I12138">
        <f t="shared" si="50"/>
        <v>0</v>
      </c>
      <c r="J12138">
        <f t="shared" si="51"/>
        <v>0</v>
      </c>
    </row>
    <row r="12139" spans="6:10">
      <c r="F12139">
        <f t="shared" si="48"/>
        <v>0</v>
      </c>
      <c r="G12139">
        <f>COUNTIF($D$2:D12139,D12139)</f>
        <v>0</v>
      </c>
      <c r="H12139" t="str">
        <f t="shared" si="49"/>
        <v xml:space="preserve"> - 0</v>
      </c>
      <c r="I12139">
        <f t="shared" si="50"/>
        <v>0</v>
      </c>
      <c r="J12139">
        <f t="shared" si="51"/>
        <v>0</v>
      </c>
    </row>
    <row r="12140" spans="6:10">
      <c r="F12140">
        <f t="shared" si="48"/>
        <v>0</v>
      </c>
      <c r="G12140">
        <f>COUNTIF($D$2:D12140,D12140)</f>
        <v>0</v>
      </c>
      <c r="H12140" t="str">
        <f t="shared" si="49"/>
        <v xml:space="preserve"> - 0</v>
      </c>
      <c r="I12140">
        <f t="shared" si="50"/>
        <v>0</v>
      </c>
      <c r="J12140">
        <f t="shared" si="51"/>
        <v>0</v>
      </c>
    </row>
    <row r="12141" spans="6:10">
      <c r="F12141">
        <f t="shared" si="48"/>
        <v>0</v>
      </c>
      <c r="G12141">
        <f>COUNTIF($D$2:D12141,D12141)</f>
        <v>0</v>
      </c>
      <c r="H12141" t="str">
        <f t="shared" si="49"/>
        <v xml:space="preserve"> - 0</v>
      </c>
      <c r="I12141">
        <f t="shared" si="50"/>
        <v>0</v>
      </c>
      <c r="J12141">
        <f t="shared" si="51"/>
        <v>0</v>
      </c>
    </row>
    <row r="12142" spans="6:10">
      <c r="F12142">
        <f t="shared" si="48"/>
        <v>0</v>
      </c>
      <c r="G12142">
        <f>COUNTIF($D$2:D12142,D12142)</f>
        <v>0</v>
      </c>
      <c r="H12142" t="str">
        <f t="shared" si="49"/>
        <v xml:space="preserve"> - 0</v>
      </c>
      <c r="I12142">
        <f t="shared" si="50"/>
        <v>0</v>
      </c>
      <c r="J12142">
        <f t="shared" si="51"/>
        <v>0</v>
      </c>
    </row>
    <row r="12143" spans="6:10">
      <c r="F12143">
        <f t="shared" si="48"/>
        <v>0</v>
      </c>
      <c r="G12143">
        <f>COUNTIF($D$2:D12143,D12143)</f>
        <v>0</v>
      </c>
      <c r="H12143" t="str">
        <f t="shared" si="49"/>
        <v xml:space="preserve"> - 0</v>
      </c>
      <c r="I12143">
        <f t="shared" si="50"/>
        <v>0</v>
      </c>
      <c r="J12143">
        <f t="shared" si="51"/>
        <v>0</v>
      </c>
    </row>
    <row r="12144" spans="6:10">
      <c r="F12144">
        <f t="shared" si="48"/>
        <v>0</v>
      </c>
      <c r="G12144">
        <f>COUNTIF($D$2:D12144,D12144)</f>
        <v>0</v>
      </c>
      <c r="H12144" t="str">
        <f t="shared" si="49"/>
        <v xml:space="preserve"> - 0</v>
      </c>
      <c r="I12144">
        <f t="shared" si="50"/>
        <v>0</v>
      </c>
      <c r="J12144">
        <f t="shared" si="51"/>
        <v>0</v>
      </c>
    </row>
    <row r="12145" spans="6:10">
      <c r="F12145">
        <f t="shared" si="48"/>
        <v>0</v>
      </c>
      <c r="G12145">
        <f>COUNTIF($D$2:D12145,D12145)</f>
        <v>0</v>
      </c>
      <c r="H12145" t="str">
        <f t="shared" si="49"/>
        <v xml:space="preserve"> - 0</v>
      </c>
      <c r="I12145">
        <f t="shared" si="50"/>
        <v>0</v>
      </c>
      <c r="J12145">
        <f t="shared" si="51"/>
        <v>0</v>
      </c>
    </row>
    <row r="12146" spans="6:10">
      <c r="F12146">
        <f t="shared" si="48"/>
        <v>0</v>
      </c>
      <c r="G12146">
        <f>COUNTIF($D$2:D12146,D12146)</f>
        <v>0</v>
      </c>
      <c r="H12146" t="str">
        <f t="shared" si="49"/>
        <v xml:space="preserve"> - 0</v>
      </c>
      <c r="I12146">
        <f t="shared" si="50"/>
        <v>0</v>
      </c>
      <c r="J12146">
        <f t="shared" si="51"/>
        <v>0</v>
      </c>
    </row>
    <row r="12147" spans="6:10">
      <c r="F12147">
        <f t="shared" si="48"/>
        <v>0</v>
      </c>
      <c r="G12147">
        <f>COUNTIF($D$2:D12147,D12147)</f>
        <v>0</v>
      </c>
      <c r="H12147" t="str">
        <f t="shared" si="49"/>
        <v xml:space="preserve"> - 0</v>
      </c>
      <c r="I12147">
        <f t="shared" si="50"/>
        <v>0</v>
      </c>
      <c r="J12147">
        <f t="shared" si="51"/>
        <v>0</v>
      </c>
    </row>
    <row r="12148" spans="6:10">
      <c r="F12148">
        <f t="shared" si="48"/>
        <v>0</v>
      </c>
      <c r="G12148">
        <f>COUNTIF($D$2:D12148,D12148)</f>
        <v>0</v>
      </c>
      <c r="H12148" t="str">
        <f t="shared" si="49"/>
        <v xml:space="preserve"> - 0</v>
      </c>
      <c r="I12148">
        <f t="shared" si="50"/>
        <v>0</v>
      </c>
      <c r="J12148">
        <f t="shared" si="51"/>
        <v>0</v>
      </c>
    </row>
    <row r="12149" spans="6:10">
      <c r="F12149">
        <f t="shared" si="48"/>
        <v>0</v>
      </c>
      <c r="G12149">
        <f>COUNTIF($D$2:D12149,D12149)</f>
        <v>0</v>
      </c>
      <c r="H12149" t="str">
        <f t="shared" si="49"/>
        <v xml:space="preserve"> - 0</v>
      </c>
      <c r="I12149">
        <f t="shared" si="50"/>
        <v>0</v>
      </c>
      <c r="J12149">
        <f t="shared" si="51"/>
        <v>0</v>
      </c>
    </row>
    <row r="12150" spans="6:10">
      <c r="F12150">
        <f t="shared" si="48"/>
        <v>0</v>
      </c>
      <c r="G12150">
        <f>COUNTIF($D$2:D12150,D12150)</f>
        <v>0</v>
      </c>
      <c r="H12150" t="str">
        <f t="shared" si="49"/>
        <v xml:space="preserve"> - 0</v>
      </c>
      <c r="I12150">
        <f t="shared" si="50"/>
        <v>0</v>
      </c>
      <c r="J12150">
        <f t="shared" si="51"/>
        <v>0</v>
      </c>
    </row>
    <row r="12151" spans="6:10">
      <c r="F12151">
        <f t="shared" si="48"/>
        <v>0</v>
      </c>
      <c r="G12151">
        <f>COUNTIF($D$2:D12151,D12151)</f>
        <v>0</v>
      </c>
      <c r="H12151" t="str">
        <f t="shared" si="49"/>
        <v xml:space="preserve"> - 0</v>
      </c>
      <c r="I12151">
        <f t="shared" si="50"/>
        <v>0</v>
      </c>
      <c r="J12151">
        <f t="shared" si="51"/>
        <v>0</v>
      </c>
    </row>
    <row r="12152" spans="6:10">
      <c r="F12152">
        <f t="shared" si="48"/>
        <v>0</v>
      </c>
      <c r="G12152">
        <f>COUNTIF($D$2:D12152,D12152)</f>
        <v>0</v>
      </c>
      <c r="H12152" t="str">
        <f t="shared" si="49"/>
        <v xml:space="preserve"> - 0</v>
      </c>
      <c r="I12152">
        <f t="shared" si="50"/>
        <v>0</v>
      </c>
      <c r="J12152">
        <f t="shared" si="51"/>
        <v>0</v>
      </c>
    </row>
    <row r="12153" spans="6:10">
      <c r="F12153">
        <f t="shared" si="48"/>
        <v>0</v>
      </c>
      <c r="G12153">
        <f>COUNTIF($D$2:D12153,D12153)</f>
        <v>0</v>
      </c>
      <c r="H12153" t="str">
        <f t="shared" si="49"/>
        <v xml:space="preserve"> - 0</v>
      </c>
      <c r="I12153">
        <f t="shared" si="50"/>
        <v>0</v>
      </c>
      <c r="J12153">
        <f t="shared" si="51"/>
        <v>0</v>
      </c>
    </row>
    <row r="12154" spans="6:10">
      <c r="F12154">
        <f t="shared" si="48"/>
        <v>0</v>
      </c>
      <c r="G12154">
        <f>COUNTIF($D$2:D12154,D12154)</f>
        <v>0</v>
      </c>
      <c r="H12154" t="str">
        <f t="shared" si="49"/>
        <v xml:space="preserve"> - 0</v>
      </c>
      <c r="I12154">
        <f t="shared" si="50"/>
        <v>0</v>
      </c>
      <c r="J12154">
        <f t="shared" si="51"/>
        <v>0</v>
      </c>
    </row>
    <row r="12155" spans="6:10">
      <c r="F12155">
        <f t="shared" si="48"/>
        <v>0</v>
      </c>
      <c r="G12155">
        <f>COUNTIF($D$2:D12155,D12155)</f>
        <v>0</v>
      </c>
      <c r="H12155" t="str">
        <f t="shared" si="49"/>
        <v xml:space="preserve"> - 0</v>
      </c>
      <c r="I12155">
        <f t="shared" si="50"/>
        <v>0</v>
      </c>
      <c r="J12155">
        <f t="shared" si="51"/>
        <v>0</v>
      </c>
    </row>
    <row r="12156" spans="6:10">
      <c r="F12156">
        <f t="shared" si="48"/>
        <v>0</v>
      </c>
      <c r="G12156">
        <f>COUNTIF($D$2:D12156,D12156)</f>
        <v>0</v>
      </c>
      <c r="H12156" t="str">
        <f t="shared" si="49"/>
        <v xml:space="preserve"> - 0</v>
      </c>
      <c r="I12156">
        <f t="shared" si="50"/>
        <v>0</v>
      </c>
      <c r="J12156">
        <f t="shared" si="51"/>
        <v>0</v>
      </c>
    </row>
    <row r="12157" spans="6:10">
      <c r="F12157">
        <f t="shared" si="48"/>
        <v>0</v>
      </c>
      <c r="G12157">
        <f>COUNTIF($D$2:D12157,D12157)</f>
        <v>0</v>
      </c>
      <c r="H12157" t="str">
        <f t="shared" si="49"/>
        <v xml:space="preserve"> - 0</v>
      </c>
      <c r="I12157">
        <f t="shared" si="50"/>
        <v>0</v>
      </c>
      <c r="J12157">
        <f t="shared" si="51"/>
        <v>0</v>
      </c>
    </row>
    <row r="12158" spans="6:10">
      <c r="F12158">
        <f t="shared" si="48"/>
        <v>0</v>
      </c>
      <c r="G12158">
        <f>COUNTIF($D$2:D12158,D12158)</f>
        <v>0</v>
      </c>
      <c r="H12158" t="str">
        <f t="shared" si="49"/>
        <v xml:space="preserve"> - 0</v>
      </c>
      <c r="I12158">
        <f t="shared" si="50"/>
        <v>0</v>
      </c>
      <c r="J12158">
        <f t="shared" si="51"/>
        <v>0</v>
      </c>
    </row>
    <row r="12159" spans="6:10">
      <c r="F12159">
        <f t="shared" si="48"/>
        <v>0</v>
      </c>
      <c r="G12159">
        <f>COUNTIF($D$2:D12159,D12159)</f>
        <v>0</v>
      </c>
      <c r="H12159" t="str">
        <f t="shared" si="49"/>
        <v xml:space="preserve"> - 0</v>
      </c>
      <c r="I12159">
        <f t="shared" si="50"/>
        <v>0</v>
      </c>
      <c r="J12159">
        <f t="shared" si="51"/>
        <v>0</v>
      </c>
    </row>
    <row r="12160" spans="6:10">
      <c r="F12160">
        <f t="shared" si="48"/>
        <v>0</v>
      </c>
      <c r="G12160">
        <f>COUNTIF($D$2:D12160,D12160)</f>
        <v>0</v>
      </c>
      <c r="H12160" t="str">
        <f t="shared" si="49"/>
        <v xml:space="preserve"> - 0</v>
      </c>
      <c r="I12160">
        <f t="shared" si="50"/>
        <v>0</v>
      </c>
      <c r="J12160">
        <f t="shared" si="51"/>
        <v>0</v>
      </c>
    </row>
    <row r="12161" spans="6:10">
      <c r="F12161">
        <f t="shared" si="48"/>
        <v>0</v>
      </c>
      <c r="G12161">
        <f>COUNTIF($D$2:D12161,D12161)</f>
        <v>0</v>
      </c>
      <c r="H12161" t="str">
        <f t="shared" si="49"/>
        <v xml:space="preserve"> - 0</v>
      </c>
      <c r="I12161">
        <f t="shared" si="50"/>
        <v>0</v>
      </c>
      <c r="J12161">
        <f t="shared" si="51"/>
        <v>0</v>
      </c>
    </row>
    <row r="12162" spans="6:10">
      <c r="F12162">
        <f t="shared" si="48"/>
        <v>0</v>
      </c>
      <c r="G12162">
        <f>COUNTIF($D$2:D12162,D12162)</f>
        <v>0</v>
      </c>
      <c r="H12162" t="str">
        <f t="shared" si="49"/>
        <v xml:space="preserve"> - 0</v>
      </c>
      <c r="I12162">
        <f t="shared" si="50"/>
        <v>0</v>
      </c>
      <c r="J12162">
        <f t="shared" si="51"/>
        <v>0</v>
      </c>
    </row>
    <row r="12163" spans="6:10">
      <c r="F12163">
        <f t="shared" si="48"/>
        <v>0</v>
      </c>
      <c r="G12163">
        <f>COUNTIF($D$2:D12163,D12163)</f>
        <v>0</v>
      </c>
      <c r="H12163" t="str">
        <f t="shared" si="49"/>
        <v xml:space="preserve"> - 0</v>
      </c>
      <c r="I12163">
        <f t="shared" si="50"/>
        <v>0</v>
      </c>
      <c r="J12163">
        <f t="shared" si="51"/>
        <v>0</v>
      </c>
    </row>
    <row r="12164" spans="6:10">
      <c r="F12164">
        <f t="shared" si="48"/>
        <v>0</v>
      </c>
      <c r="G12164">
        <f>COUNTIF($D$2:D12164,D12164)</f>
        <v>0</v>
      </c>
      <c r="H12164" t="str">
        <f t="shared" si="49"/>
        <v xml:space="preserve"> - 0</v>
      </c>
      <c r="I12164">
        <f t="shared" si="50"/>
        <v>0</v>
      </c>
      <c r="J12164">
        <f t="shared" si="51"/>
        <v>0</v>
      </c>
    </row>
    <row r="12165" spans="6:10">
      <c r="F12165">
        <f t="shared" si="48"/>
        <v>0</v>
      </c>
      <c r="G12165">
        <f>COUNTIF($D$2:D12165,D12165)</f>
        <v>0</v>
      </c>
      <c r="H12165" t="str">
        <f t="shared" si="49"/>
        <v xml:space="preserve"> - 0</v>
      </c>
      <c r="I12165">
        <f t="shared" si="50"/>
        <v>0</v>
      </c>
      <c r="J12165">
        <f t="shared" si="51"/>
        <v>0</v>
      </c>
    </row>
    <row r="12166" spans="6:10">
      <c r="F12166">
        <f t="shared" si="48"/>
        <v>0</v>
      </c>
      <c r="G12166">
        <f>COUNTIF($D$2:D12166,D12166)</f>
        <v>0</v>
      </c>
      <c r="H12166" t="str">
        <f t="shared" si="49"/>
        <v xml:space="preserve"> - 0</v>
      </c>
      <c r="I12166">
        <f t="shared" si="50"/>
        <v>0</v>
      </c>
      <c r="J12166">
        <f t="shared" si="51"/>
        <v>0</v>
      </c>
    </row>
    <row r="12167" spans="6:10">
      <c r="F12167">
        <f t="shared" si="48"/>
        <v>0</v>
      </c>
      <c r="G12167">
        <f>COUNTIF($D$2:D12167,D12167)</f>
        <v>0</v>
      </c>
      <c r="H12167" t="str">
        <f t="shared" si="49"/>
        <v xml:space="preserve"> - 0</v>
      </c>
      <c r="I12167">
        <f t="shared" si="50"/>
        <v>0</v>
      </c>
      <c r="J12167">
        <f t="shared" si="51"/>
        <v>0</v>
      </c>
    </row>
    <row r="12168" spans="6:10">
      <c r="F12168">
        <f t="shared" si="48"/>
        <v>0</v>
      </c>
      <c r="G12168">
        <f>COUNTIF($D$2:D12168,D12168)</f>
        <v>0</v>
      </c>
      <c r="H12168" t="str">
        <f t="shared" si="49"/>
        <v xml:space="preserve"> - 0</v>
      </c>
      <c r="I12168">
        <f t="shared" si="50"/>
        <v>0</v>
      </c>
      <c r="J12168">
        <f t="shared" si="51"/>
        <v>0</v>
      </c>
    </row>
    <row r="12169" spans="6:10">
      <c r="F12169">
        <f t="shared" si="48"/>
        <v>0</v>
      </c>
      <c r="G12169">
        <f>COUNTIF($D$2:D12169,D12169)</f>
        <v>0</v>
      </c>
      <c r="H12169" t="str">
        <f t="shared" si="49"/>
        <v xml:space="preserve"> - 0</v>
      </c>
      <c r="I12169">
        <f t="shared" si="50"/>
        <v>0</v>
      </c>
      <c r="J12169">
        <f t="shared" si="51"/>
        <v>0</v>
      </c>
    </row>
    <row r="12170" spans="6:10">
      <c r="F12170">
        <f t="shared" si="48"/>
        <v>0</v>
      </c>
      <c r="G12170">
        <f>COUNTIF($D$2:D12170,D12170)</f>
        <v>0</v>
      </c>
      <c r="H12170" t="str">
        <f t="shared" si="49"/>
        <v xml:space="preserve"> - 0</v>
      </c>
      <c r="I12170">
        <f t="shared" si="50"/>
        <v>0</v>
      </c>
      <c r="J12170">
        <f t="shared" si="51"/>
        <v>0</v>
      </c>
    </row>
    <row r="12171" spans="6:10">
      <c r="F12171">
        <f t="shared" si="48"/>
        <v>0</v>
      </c>
      <c r="G12171">
        <f>COUNTIF($D$2:D12171,D12171)</f>
        <v>0</v>
      </c>
      <c r="H12171" t="str">
        <f t="shared" si="49"/>
        <v xml:space="preserve"> - 0</v>
      </c>
      <c r="I12171">
        <f t="shared" si="50"/>
        <v>0</v>
      </c>
      <c r="J12171">
        <f t="shared" si="51"/>
        <v>0</v>
      </c>
    </row>
    <row r="12172" spans="6:10">
      <c r="F12172">
        <f t="shared" si="48"/>
        <v>0</v>
      </c>
      <c r="G12172">
        <f>COUNTIF($D$2:D12172,D12172)</f>
        <v>0</v>
      </c>
      <c r="H12172" t="str">
        <f t="shared" si="49"/>
        <v xml:space="preserve"> - 0</v>
      </c>
      <c r="I12172">
        <f t="shared" si="50"/>
        <v>0</v>
      </c>
      <c r="J12172">
        <f t="shared" si="51"/>
        <v>0</v>
      </c>
    </row>
    <row r="12173" spans="6:10">
      <c r="F12173">
        <f t="shared" si="48"/>
        <v>0</v>
      </c>
      <c r="G12173">
        <f>COUNTIF($D$2:D12173,D12173)</f>
        <v>0</v>
      </c>
      <c r="H12173" t="str">
        <f t="shared" si="49"/>
        <v xml:space="preserve"> - 0</v>
      </c>
      <c r="I12173">
        <f t="shared" si="50"/>
        <v>0</v>
      </c>
      <c r="J12173">
        <f t="shared" si="51"/>
        <v>0</v>
      </c>
    </row>
    <row r="12174" spans="6:10">
      <c r="F12174">
        <f t="shared" si="48"/>
        <v>0</v>
      </c>
      <c r="G12174">
        <f>COUNTIF($D$2:D12174,D12174)</f>
        <v>0</v>
      </c>
      <c r="H12174" t="str">
        <f t="shared" si="49"/>
        <v xml:space="preserve"> - 0</v>
      </c>
      <c r="I12174">
        <f t="shared" si="50"/>
        <v>0</v>
      </c>
      <c r="J12174">
        <f t="shared" si="51"/>
        <v>0</v>
      </c>
    </row>
    <row r="12175" spans="6:10">
      <c r="F12175">
        <f t="shared" si="48"/>
        <v>0</v>
      </c>
      <c r="G12175">
        <f>COUNTIF($D$2:D12175,D12175)</f>
        <v>0</v>
      </c>
      <c r="H12175" t="str">
        <f t="shared" si="49"/>
        <v xml:space="preserve"> - 0</v>
      </c>
      <c r="I12175">
        <f t="shared" si="50"/>
        <v>0</v>
      </c>
      <c r="J12175">
        <f t="shared" si="51"/>
        <v>0</v>
      </c>
    </row>
    <row r="12176" spans="6:10">
      <c r="F12176">
        <f t="shared" si="48"/>
        <v>0</v>
      </c>
      <c r="G12176">
        <f>COUNTIF($D$2:D12176,D12176)</f>
        <v>0</v>
      </c>
      <c r="H12176" t="str">
        <f t="shared" si="49"/>
        <v xml:space="preserve"> - 0</v>
      </c>
      <c r="I12176">
        <f t="shared" si="50"/>
        <v>0</v>
      </c>
      <c r="J12176">
        <f t="shared" si="51"/>
        <v>0</v>
      </c>
    </row>
    <row r="12177" spans="6:10">
      <c r="F12177">
        <f t="shared" si="48"/>
        <v>0</v>
      </c>
      <c r="G12177">
        <f>COUNTIF($D$2:D12177,D12177)</f>
        <v>0</v>
      </c>
      <c r="H12177" t="str">
        <f t="shared" si="49"/>
        <v xml:space="preserve"> - 0</v>
      </c>
      <c r="I12177">
        <f t="shared" si="50"/>
        <v>0</v>
      </c>
      <c r="J12177">
        <f t="shared" si="51"/>
        <v>0</v>
      </c>
    </row>
    <row r="12178" spans="6:10">
      <c r="F12178">
        <f t="shared" si="48"/>
        <v>0</v>
      </c>
      <c r="G12178">
        <f>COUNTIF($D$2:D12178,D12178)</f>
        <v>0</v>
      </c>
      <c r="H12178" t="str">
        <f t="shared" si="49"/>
        <v xml:space="preserve"> - 0</v>
      </c>
      <c r="I12178">
        <f t="shared" si="50"/>
        <v>0</v>
      </c>
      <c r="J12178">
        <f t="shared" si="51"/>
        <v>0</v>
      </c>
    </row>
    <row r="12179" spans="6:10">
      <c r="F12179">
        <f t="shared" si="48"/>
        <v>0</v>
      </c>
      <c r="G12179">
        <f>COUNTIF($D$2:D12179,D12179)</f>
        <v>0</v>
      </c>
      <c r="H12179" t="str">
        <f t="shared" si="49"/>
        <v xml:space="preserve"> - 0</v>
      </c>
      <c r="I12179">
        <f t="shared" si="50"/>
        <v>0</v>
      </c>
      <c r="J12179">
        <f t="shared" si="51"/>
        <v>0</v>
      </c>
    </row>
    <row r="12180" spans="6:10">
      <c r="F12180">
        <f t="shared" si="48"/>
        <v>0</v>
      </c>
      <c r="G12180">
        <f>COUNTIF($D$2:D12180,D12180)</f>
        <v>0</v>
      </c>
      <c r="H12180" t="str">
        <f t="shared" si="49"/>
        <v xml:space="preserve"> - 0</v>
      </c>
      <c r="I12180">
        <f t="shared" si="50"/>
        <v>0</v>
      </c>
      <c r="J12180">
        <f t="shared" si="51"/>
        <v>0</v>
      </c>
    </row>
    <row r="12181" spans="6:10">
      <c r="F12181">
        <f t="shared" si="48"/>
        <v>0</v>
      </c>
      <c r="G12181">
        <f>COUNTIF($D$2:D12181,D12181)</f>
        <v>0</v>
      </c>
      <c r="H12181" t="str">
        <f t="shared" si="49"/>
        <v xml:space="preserve"> - 0</v>
      </c>
      <c r="I12181">
        <f t="shared" si="50"/>
        <v>0</v>
      </c>
      <c r="J12181">
        <f t="shared" si="51"/>
        <v>0</v>
      </c>
    </row>
    <row r="12182" spans="6:10">
      <c r="F12182">
        <f t="shared" si="48"/>
        <v>0</v>
      </c>
      <c r="G12182">
        <f>COUNTIF($D$2:D12182,D12182)</f>
        <v>0</v>
      </c>
      <c r="H12182" t="str">
        <f t="shared" si="49"/>
        <v xml:space="preserve"> - 0</v>
      </c>
      <c r="I12182">
        <f t="shared" si="50"/>
        <v>0</v>
      </c>
      <c r="J12182">
        <f t="shared" si="51"/>
        <v>0</v>
      </c>
    </row>
    <row r="12183" spans="6:10">
      <c r="F12183">
        <f t="shared" si="48"/>
        <v>0</v>
      </c>
      <c r="G12183">
        <f>COUNTIF($D$2:D12183,D12183)</f>
        <v>0</v>
      </c>
      <c r="H12183" t="str">
        <f t="shared" si="49"/>
        <v xml:space="preserve"> - 0</v>
      </c>
      <c r="I12183">
        <f t="shared" si="50"/>
        <v>0</v>
      </c>
      <c r="J12183">
        <f t="shared" si="51"/>
        <v>0</v>
      </c>
    </row>
    <row r="12184" spans="6:10">
      <c r="F12184">
        <f t="shared" si="48"/>
        <v>0</v>
      </c>
      <c r="G12184">
        <f>COUNTIF($D$2:D12184,D12184)</f>
        <v>0</v>
      </c>
      <c r="H12184" t="str">
        <f t="shared" si="49"/>
        <v xml:space="preserve"> - 0</v>
      </c>
      <c r="I12184">
        <f t="shared" si="50"/>
        <v>0</v>
      </c>
      <c r="J12184">
        <f t="shared" si="51"/>
        <v>0</v>
      </c>
    </row>
    <row r="12185" spans="6:10">
      <c r="F12185">
        <f t="shared" si="48"/>
        <v>0</v>
      </c>
      <c r="G12185">
        <f>COUNTIF($D$2:D12185,D12185)</f>
        <v>0</v>
      </c>
      <c r="H12185" t="str">
        <f t="shared" si="49"/>
        <v xml:space="preserve"> - 0</v>
      </c>
      <c r="I12185">
        <f t="shared" si="50"/>
        <v>0</v>
      </c>
      <c r="J12185">
        <f t="shared" si="51"/>
        <v>0</v>
      </c>
    </row>
    <row r="12186" spans="6:10">
      <c r="F12186">
        <f t="shared" si="48"/>
        <v>0</v>
      </c>
      <c r="G12186">
        <f>COUNTIF($D$2:D12186,D12186)</f>
        <v>0</v>
      </c>
      <c r="H12186" t="str">
        <f t="shared" si="49"/>
        <v xml:space="preserve"> - 0</v>
      </c>
      <c r="I12186">
        <f t="shared" si="50"/>
        <v>0</v>
      </c>
      <c r="J12186">
        <f t="shared" si="51"/>
        <v>0</v>
      </c>
    </row>
    <row r="12187" spans="6:10">
      <c r="F12187">
        <f t="shared" si="48"/>
        <v>0</v>
      </c>
      <c r="G12187">
        <f>COUNTIF($D$2:D12187,D12187)</f>
        <v>0</v>
      </c>
      <c r="H12187" t="str">
        <f t="shared" si="49"/>
        <v xml:space="preserve"> - 0</v>
      </c>
      <c r="I12187">
        <f t="shared" si="50"/>
        <v>0</v>
      </c>
      <c r="J12187">
        <f t="shared" si="51"/>
        <v>0</v>
      </c>
    </row>
    <row r="12188" spans="6:10">
      <c r="F12188">
        <f t="shared" si="48"/>
        <v>0</v>
      </c>
      <c r="G12188">
        <f>COUNTIF($D$2:D12188,D12188)</f>
        <v>0</v>
      </c>
      <c r="H12188" t="str">
        <f t="shared" si="49"/>
        <v xml:space="preserve"> - 0</v>
      </c>
      <c r="I12188">
        <f t="shared" si="50"/>
        <v>0</v>
      </c>
      <c r="J12188">
        <f t="shared" si="51"/>
        <v>0</v>
      </c>
    </row>
    <row r="12189" spans="6:10">
      <c r="F12189">
        <f t="shared" si="48"/>
        <v>0</v>
      </c>
      <c r="G12189">
        <f>COUNTIF($D$2:D12189,D12189)</f>
        <v>0</v>
      </c>
      <c r="H12189" t="str">
        <f t="shared" si="49"/>
        <v xml:space="preserve"> - 0</v>
      </c>
      <c r="I12189">
        <f t="shared" si="50"/>
        <v>0</v>
      </c>
      <c r="J12189">
        <f t="shared" si="51"/>
        <v>0</v>
      </c>
    </row>
    <row r="12190" spans="6:10">
      <c r="F12190">
        <f t="shared" si="48"/>
        <v>0</v>
      </c>
      <c r="G12190">
        <f>COUNTIF($D$2:D12190,D12190)</f>
        <v>0</v>
      </c>
      <c r="H12190" t="str">
        <f t="shared" si="49"/>
        <v xml:space="preserve"> - 0</v>
      </c>
      <c r="I12190">
        <f t="shared" si="50"/>
        <v>0</v>
      </c>
      <c r="J12190">
        <f t="shared" si="51"/>
        <v>0</v>
      </c>
    </row>
    <row r="12191" spans="6:10">
      <c r="F12191">
        <f t="shared" si="48"/>
        <v>0</v>
      </c>
      <c r="G12191">
        <f>COUNTIF($D$2:D12191,D12191)</f>
        <v>0</v>
      </c>
      <c r="H12191" t="str">
        <f t="shared" si="49"/>
        <v xml:space="preserve"> - 0</v>
      </c>
      <c r="I12191">
        <f t="shared" si="50"/>
        <v>0</v>
      </c>
      <c r="J12191">
        <f t="shared" si="51"/>
        <v>0</v>
      </c>
    </row>
    <row r="12192" spans="6:10">
      <c r="F12192">
        <f t="shared" si="48"/>
        <v>0</v>
      </c>
      <c r="G12192">
        <f>COUNTIF($D$2:D12192,D12192)</f>
        <v>0</v>
      </c>
      <c r="H12192" t="str">
        <f t="shared" si="49"/>
        <v xml:space="preserve"> - 0</v>
      </c>
      <c r="I12192">
        <f t="shared" si="50"/>
        <v>0</v>
      </c>
      <c r="J12192">
        <f t="shared" si="51"/>
        <v>0</v>
      </c>
    </row>
    <row r="12193" spans="6:10">
      <c r="F12193">
        <f t="shared" si="48"/>
        <v>0</v>
      </c>
      <c r="G12193">
        <f>COUNTIF($D$2:D12193,D12193)</f>
        <v>0</v>
      </c>
      <c r="H12193" t="str">
        <f t="shared" si="49"/>
        <v xml:space="preserve"> - 0</v>
      </c>
      <c r="I12193">
        <f t="shared" si="50"/>
        <v>0</v>
      </c>
      <c r="J12193">
        <f t="shared" si="51"/>
        <v>0</v>
      </c>
    </row>
    <row r="12194" spans="6:10">
      <c r="F12194">
        <f t="shared" si="48"/>
        <v>0</v>
      </c>
      <c r="G12194">
        <f>COUNTIF($D$2:D12194,D12194)</f>
        <v>0</v>
      </c>
      <c r="H12194" t="str">
        <f t="shared" si="49"/>
        <v xml:space="preserve"> - 0</v>
      </c>
      <c r="I12194">
        <f t="shared" si="50"/>
        <v>0</v>
      </c>
      <c r="J12194">
        <f t="shared" si="51"/>
        <v>0</v>
      </c>
    </row>
    <row r="12195" spans="6:10">
      <c r="F12195">
        <f t="shared" si="48"/>
        <v>0</v>
      </c>
      <c r="G12195">
        <f>COUNTIF($D$2:D12195,D12195)</f>
        <v>0</v>
      </c>
      <c r="H12195" t="str">
        <f t="shared" si="49"/>
        <v xml:space="preserve"> - 0</v>
      </c>
      <c r="I12195">
        <f t="shared" si="50"/>
        <v>0</v>
      </c>
      <c r="J12195">
        <f t="shared" si="51"/>
        <v>0</v>
      </c>
    </row>
    <row r="12196" spans="6:10">
      <c r="F12196">
        <f t="shared" si="48"/>
        <v>0</v>
      </c>
      <c r="G12196">
        <f>COUNTIF($D$2:D12196,D12196)</f>
        <v>0</v>
      </c>
      <c r="H12196" t="str">
        <f t="shared" si="49"/>
        <v xml:space="preserve"> - 0</v>
      </c>
      <c r="I12196">
        <f t="shared" si="50"/>
        <v>0</v>
      </c>
      <c r="J12196">
        <f t="shared" si="51"/>
        <v>0</v>
      </c>
    </row>
    <row r="12197" spans="6:10">
      <c r="F12197">
        <f t="shared" si="48"/>
        <v>0</v>
      </c>
      <c r="G12197">
        <f>COUNTIF($D$2:D12197,D12197)</f>
        <v>0</v>
      </c>
      <c r="H12197" t="str">
        <f t="shared" si="49"/>
        <v xml:space="preserve"> - 0</v>
      </c>
      <c r="I12197">
        <f t="shared" si="50"/>
        <v>0</v>
      </c>
      <c r="J12197">
        <f t="shared" si="51"/>
        <v>0</v>
      </c>
    </row>
    <row r="12198" spans="6:10">
      <c r="F12198">
        <f t="shared" si="48"/>
        <v>0</v>
      </c>
      <c r="G12198">
        <f>COUNTIF($D$2:D12198,D12198)</f>
        <v>0</v>
      </c>
      <c r="H12198" t="str">
        <f t="shared" si="49"/>
        <v xml:space="preserve"> - 0</v>
      </c>
      <c r="I12198">
        <f t="shared" si="50"/>
        <v>0</v>
      </c>
      <c r="J12198">
        <f t="shared" si="51"/>
        <v>0</v>
      </c>
    </row>
    <row r="12199" spans="6:10">
      <c r="F12199">
        <f t="shared" si="48"/>
        <v>0</v>
      </c>
      <c r="G12199">
        <f>COUNTIF($D$2:D12199,D12199)</f>
        <v>0</v>
      </c>
      <c r="H12199" t="str">
        <f t="shared" si="49"/>
        <v xml:space="preserve"> - 0</v>
      </c>
      <c r="I12199">
        <f t="shared" si="50"/>
        <v>0</v>
      </c>
      <c r="J12199">
        <f t="shared" si="51"/>
        <v>0</v>
      </c>
    </row>
    <row r="12200" spans="6:10">
      <c r="F12200">
        <f t="shared" si="48"/>
        <v>0</v>
      </c>
      <c r="G12200">
        <f>COUNTIF($D$2:D12200,D12200)</f>
        <v>0</v>
      </c>
      <c r="H12200" t="str">
        <f t="shared" si="49"/>
        <v xml:space="preserve"> - 0</v>
      </c>
      <c r="I12200">
        <f t="shared" si="50"/>
        <v>0</v>
      </c>
      <c r="J12200">
        <f t="shared" si="51"/>
        <v>0</v>
      </c>
    </row>
    <row r="12201" spans="6:10">
      <c r="F12201">
        <f t="shared" ref="F12201:F12264" si="52">COUNTIF($D$2:$D$35910,D12201)</f>
        <v>0</v>
      </c>
      <c r="G12201">
        <f>COUNTIF($D$2:D12201,D12201)</f>
        <v>0</v>
      </c>
      <c r="H12201" t="str">
        <f t="shared" ref="H12201:H12264" si="53">D12201&amp;" - "&amp;G12201&amp;AH12201</f>
        <v xml:space="preserve"> - 0</v>
      </c>
      <c r="I12201">
        <f t="shared" ref="I12201:I12264" si="54">A12201</f>
        <v>0</v>
      </c>
      <c r="J12201">
        <f t="shared" ref="J12201:J12264" si="55">B12201</f>
        <v>0</v>
      </c>
    </row>
    <row r="12202" spans="6:10">
      <c r="F12202">
        <f t="shared" si="52"/>
        <v>0</v>
      </c>
      <c r="G12202">
        <f>COUNTIF($D$2:D12202,D12202)</f>
        <v>0</v>
      </c>
      <c r="H12202" t="str">
        <f t="shared" si="53"/>
        <v xml:space="preserve"> - 0</v>
      </c>
      <c r="I12202">
        <f t="shared" si="54"/>
        <v>0</v>
      </c>
      <c r="J12202">
        <f t="shared" si="55"/>
        <v>0</v>
      </c>
    </row>
    <row r="12203" spans="6:10">
      <c r="F12203">
        <f t="shared" si="52"/>
        <v>0</v>
      </c>
      <c r="G12203">
        <f>COUNTIF($D$2:D12203,D12203)</f>
        <v>0</v>
      </c>
      <c r="H12203" t="str">
        <f t="shared" si="53"/>
        <v xml:space="preserve"> - 0</v>
      </c>
      <c r="I12203">
        <f t="shared" si="54"/>
        <v>0</v>
      </c>
      <c r="J12203">
        <f t="shared" si="55"/>
        <v>0</v>
      </c>
    </row>
    <row r="12204" spans="6:10">
      <c r="F12204">
        <f t="shared" si="52"/>
        <v>0</v>
      </c>
      <c r="G12204">
        <f>COUNTIF($D$2:D12204,D12204)</f>
        <v>0</v>
      </c>
      <c r="H12204" t="str">
        <f t="shared" si="53"/>
        <v xml:space="preserve"> - 0</v>
      </c>
      <c r="I12204">
        <f t="shared" si="54"/>
        <v>0</v>
      </c>
      <c r="J12204">
        <f t="shared" si="55"/>
        <v>0</v>
      </c>
    </row>
    <row r="12205" spans="6:10">
      <c r="F12205">
        <f t="shared" si="52"/>
        <v>0</v>
      </c>
      <c r="G12205">
        <f>COUNTIF($D$2:D12205,D12205)</f>
        <v>0</v>
      </c>
      <c r="H12205" t="str">
        <f t="shared" si="53"/>
        <v xml:space="preserve"> - 0</v>
      </c>
      <c r="I12205">
        <f t="shared" si="54"/>
        <v>0</v>
      </c>
      <c r="J12205">
        <f t="shared" si="55"/>
        <v>0</v>
      </c>
    </row>
    <row r="12206" spans="6:10">
      <c r="F12206">
        <f t="shared" si="52"/>
        <v>0</v>
      </c>
      <c r="G12206">
        <f>COUNTIF($D$2:D12206,D12206)</f>
        <v>0</v>
      </c>
      <c r="H12206" t="str">
        <f t="shared" si="53"/>
        <v xml:space="preserve"> - 0</v>
      </c>
      <c r="I12206">
        <f t="shared" si="54"/>
        <v>0</v>
      </c>
      <c r="J12206">
        <f t="shared" si="55"/>
        <v>0</v>
      </c>
    </row>
    <row r="12207" spans="6:10">
      <c r="F12207">
        <f t="shared" si="52"/>
        <v>0</v>
      </c>
      <c r="G12207">
        <f>COUNTIF($D$2:D12207,D12207)</f>
        <v>0</v>
      </c>
      <c r="H12207" t="str">
        <f t="shared" si="53"/>
        <v xml:space="preserve"> - 0</v>
      </c>
      <c r="I12207">
        <f t="shared" si="54"/>
        <v>0</v>
      </c>
      <c r="J12207">
        <f t="shared" si="55"/>
        <v>0</v>
      </c>
    </row>
    <row r="12208" spans="6:10">
      <c r="F12208">
        <f t="shared" si="52"/>
        <v>0</v>
      </c>
      <c r="G12208">
        <f>COUNTIF($D$2:D12208,D12208)</f>
        <v>0</v>
      </c>
      <c r="H12208" t="str">
        <f t="shared" si="53"/>
        <v xml:space="preserve"> - 0</v>
      </c>
      <c r="I12208">
        <f t="shared" si="54"/>
        <v>0</v>
      </c>
      <c r="J12208">
        <f t="shared" si="55"/>
        <v>0</v>
      </c>
    </row>
    <row r="12209" spans="6:10">
      <c r="F12209">
        <f t="shared" si="52"/>
        <v>0</v>
      </c>
      <c r="G12209">
        <f>COUNTIF($D$2:D12209,D12209)</f>
        <v>0</v>
      </c>
      <c r="H12209" t="str">
        <f t="shared" si="53"/>
        <v xml:space="preserve"> - 0</v>
      </c>
      <c r="I12209">
        <f t="shared" si="54"/>
        <v>0</v>
      </c>
      <c r="J12209">
        <f t="shared" si="55"/>
        <v>0</v>
      </c>
    </row>
    <row r="12210" spans="6:10">
      <c r="F12210">
        <f t="shared" si="52"/>
        <v>0</v>
      </c>
      <c r="G12210">
        <f>COUNTIF($D$2:D12210,D12210)</f>
        <v>0</v>
      </c>
      <c r="H12210" t="str">
        <f t="shared" si="53"/>
        <v xml:space="preserve"> - 0</v>
      </c>
      <c r="I12210">
        <f t="shared" si="54"/>
        <v>0</v>
      </c>
      <c r="J12210">
        <f t="shared" si="55"/>
        <v>0</v>
      </c>
    </row>
    <row r="12211" spans="6:10">
      <c r="F12211">
        <f t="shared" si="52"/>
        <v>0</v>
      </c>
      <c r="G12211">
        <f>COUNTIF($D$2:D12211,D12211)</f>
        <v>0</v>
      </c>
      <c r="H12211" t="str">
        <f t="shared" si="53"/>
        <v xml:space="preserve"> - 0</v>
      </c>
      <c r="I12211">
        <f t="shared" si="54"/>
        <v>0</v>
      </c>
      <c r="J12211">
        <f t="shared" si="55"/>
        <v>0</v>
      </c>
    </row>
    <row r="12212" spans="6:10">
      <c r="F12212">
        <f t="shared" si="52"/>
        <v>0</v>
      </c>
      <c r="G12212">
        <f>COUNTIF($D$2:D12212,D12212)</f>
        <v>0</v>
      </c>
      <c r="H12212" t="str">
        <f t="shared" si="53"/>
        <v xml:space="preserve"> - 0</v>
      </c>
      <c r="I12212">
        <f t="shared" si="54"/>
        <v>0</v>
      </c>
      <c r="J12212">
        <f t="shared" si="55"/>
        <v>0</v>
      </c>
    </row>
    <row r="12213" spans="6:10">
      <c r="F12213">
        <f t="shared" si="52"/>
        <v>0</v>
      </c>
      <c r="G12213">
        <f>COUNTIF($D$2:D12213,D12213)</f>
        <v>0</v>
      </c>
      <c r="H12213" t="str">
        <f t="shared" si="53"/>
        <v xml:space="preserve"> - 0</v>
      </c>
      <c r="I12213">
        <f t="shared" si="54"/>
        <v>0</v>
      </c>
      <c r="J12213">
        <f t="shared" si="55"/>
        <v>0</v>
      </c>
    </row>
    <row r="12214" spans="6:10">
      <c r="F12214">
        <f t="shared" si="52"/>
        <v>0</v>
      </c>
      <c r="G12214">
        <f>COUNTIF($D$2:D12214,D12214)</f>
        <v>0</v>
      </c>
      <c r="H12214" t="str">
        <f t="shared" si="53"/>
        <v xml:space="preserve"> - 0</v>
      </c>
      <c r="I12214">
        <f t="shared" si="54"/>
        <v>0</v>
      </c>
      <c r="J12214">
        <f t="shared" si="55"/>
        <v>0</v>
      </c>
    </row>
    <row r="12215" spans="6:10">
      <c r="F12215">
        <f t="shared" si="52"/>
        <v>0</v>
      </c>
      <c r="G12215">
        <f>COUNTIF($D$2:D12215,D12215)</f>
        <v>0</v>
      </c>
      <c r="H12215" t="str">
        <f t="shared" si="53"/>
        <v xml:space="preserve"> - 0</v>
      </c>
      <c r="I12215">
        <f t="shared" si="54"/>
        <v>0</v>
      </c>
      <c r="J12215">
        <f t="shared" si="55"/>
        <v>0</v>
      </c>
    </row>
    <row r="12216" spans="6:10">
      <c r="F12216">
        <f t="shared" si="52"/>
        <v>0</v>
      </c>
      <c r="G12216">
        <f>COUNTIF($D$2:D12216,D12216)</f>
        <v>0</v>
      </c>
      <c r="H12216" t="str">
        <f t="shared" si="53"/>
        <v xml:space="preserve"> - 0</v>
      </c>
      <c r="I12216">
        <f t="shared" si="54"/>
        <v>0</v>
      </c>
      <c r="J12216">
        <f t="shared" si="55"/>
        <v>0</v>
      </c>
    </row>
    <row r="12217" spans="6:10">
      <c r="F12217">
        <f t="shared" si="52"/>
        <v>0</v>
      </c>
      <c r="G12217">
        <f>COUNTIF($D$2:D12217,D12217)</f>
        <v>0</v>
      </c>
      <c r="H12217" t="str">
        <f t="shared" si="53"/>
        <v xml:space="preserve"> - 0</v>
      </c>
      <c r="I12217">
        <f t="shared" si="54"/>
        <v>0</v>
      </c>
      <c r="J12217">
        <f t="shared" si="55"/>
        <v>0</v>
      </c>
    </row>
    <row r="12218" spans="6:10">
      <c r="F12218">
        <f t="shared" si="52"/>
        <v>0</v>
      </c>
      <c r="G12218">
        <f>COUNTIF($D$2:D12218,D12218)</f>
        <v>0</v>
      </c>
      <c r="H12218" t="str">
        <f t="shared" si="53"/>
        <v xml:space="preserve"> - 0</v>
      </c>
      <c r="I12218">
        <f t="shared" si="54"/>
        <v>0</v>
      </c>
      <c r="J12218">
        <f t="shared" si="55"/>
        <v>0</v>
      </c>
    </row>
    <row r="12219" spans="6:10">
      <c r="F12219">
        <f t="shared" si="52"/>
        <v>0</v>
      </c>
      <c r="G12219">
        <f>COUNTIF($D$2:D12219,D12219)</f>
        <v>0</v>
      </c>
      <c r="H12219" t="str">
        <f t="shared" si="53"/>
        <v xml:space="preserve"> - 0</v>
      </c>
      <c r="I12219">
        <f t="shared" si="54"/>
        <v>0</v>
      </c>
      <c r="J12219">
        <f t="shared" si="55"/>
        <v>0</v>
      </c>
    </row>
    <row r="12220" spans="6:10">
      <c r="F12220">
        <f t="shared" si="52"/>
        <v>0</v>
      </c>
      <c r="G12220">
        <f>COUNTIF($D$2:D12220,D12220)</f>
        <v>0</v>
      </c>
      <c r="H12220" t="str">
        <f t="shared" si="53"/>
        <v xml:space="preserve"> - 0</v>
      </c>
      <c r="I12220">
        <f t="shared" si="54"/>
        <v>0</v>
      </c>
      <c r="J12220">
        <f t="shared" si="55"/>
        <v>0</v>
      </c>
    </row>
    <row r="12221" spans="6:10">
      <c r="F12221">
        <f t="shared" si="52"/>
        <v>0</v>
      </c>
      <c r="G12221">
        <f>COUNTIF($D$2:D12221,D12221)</f>
        <v>0</v>
      </c>
      <c r="H12221" t="str">
        <f t="shared" si="53"/>
        <v xml:space="preserve"> - 0</v>
      </c>
      <c r="I12221">
        <f t="shared" si="54"/>
        <v>0</v>
      </c>
      <c r="J12221">
        <f t="shared" si="55"/>
        <v>0</v>
      </c>
    </row>
    <row r="12222" spans="6:10">
      <c r="F12222">
        <f t="shared" si="52"/>
        <v>0</v>
      </c>
      <c r="G12222">
        <f>COUNTIF($D$2:D12222,D12222)</f>
        <v>0</v>
      </c>
      <c r="H12222" t="str">
        <f t="shared" si="53"/>
        <v xml:space="preserve"> - 0</v>
      </c>
      <c r="I12222">
        <f t="shared" si="54"/>
        <v>0</v>
      </c>
      <c r="J12222">
        <f t="shared" si="55"/>
        <v>0</v>
      </c>
    </row>
    <row r="12223" spans="6:10">
      <c r="F12223">
        <f t="shared" si="52"/>
        <v>0</v>
      </c>
      <c r="G12223">
        <f>COUNTIF($D$2:D12223,D12223)</f>
        <v>0</v>
      </c>
      <c r="H12223" t="str">
        <f t="shared" si="53"/>
        <v xml:space="preserve"> - 0</v>
      </c>
      <c r="I12223">
        <f t="shared" si="54"/>
        <v>0</v>
      </c>
      <c r="J12223">
        <f t="shared" si="55"/>
        <v>0</v>
      </c>
    </row>
    <row r="12224" spans="6:10">
      <c r="F12224">
        <f t="shared" si="52"/>
        <v>0</v>
      </c>
      <c r="G12224">
        <f>COUNTIF($D$2:D12224,D12224)</f>
        <v>0</v>
      </c>
      <c r="H12224" t="str">
        <f t="shared" si="53"/>
        <v xml:space="preserve"> - 0</v>
      </c>
      <c r="I12224">
        <f t="shared" si="54"/>
        <v>0</v>
      </c>
      <c r="J12224">
        <f t="shared" si="55"/>
        <v>0</v>
      </c>
    </row>
    <row r="12225" spans="6:10">
      <c r="F12225">
        <f t="shared" si="52"/>
        <v>0</v>
      </c>
      <c r="G12225">
        <f>COUNTIF($D$2:D12225,D12225)</f>
        <v>0</v>
      </c>
      <c r="H12225" t="str">
        <f t="shared" si="53"/>
        <v xml:space="preserve"> - 0</v>
      </c>
      <c r="I12225">
        <f t="shared" si="54"/>
        <v>0</v>
      </c>
      <c r="J12225">
        <f t="shared" si="55"/>
        <v>0</v>
      </c>
    </row>
    <row r="12226" spans="6:10">
      <c r="F12226">
        <f t="shared" si="52"/>
        <v>0</v>
      </c>
      <c r="G12226">
        <f>COUNTIF($D$2:D12226,D12226)</f>
        <v>0</v>
      </c>
      <c r="H12226" t="str">
        <f t="shared" si="53"/>
        <v xml:space="preserve"> - 0</v>
      </c>
      <c r="I12226">
        <f t="shared" si="54"/>
        <v>0</v>
      </c>
      <c r="J12226">
        <f t="shared" si="55"/>
        <v>0</v>
      </c>
    </row>
    <row r="12227" spans="6:10">
      <c r="F12227">
        <f t="shared" si="52"/>
        <v>0</v>
      </c>
      <c r="G12227">
        <f>COUNTIF($D$2:D12227,D12227)</f>
        <v>0</v>
      </c>
      <c r="H12227" t="str">
        <f t="shared" si="53"/>
        <v xml:space="preserve"> - 0</v>
      </c>
      <c r="I12227">
        <f t="shared" si="54"/>
        <v>0</v>
      </c>
      <c r="J12227">
        <f t="shared" si="55"/>
        <v>0</v>
      </c>
    </row>
    <row r="12228" spans="6:10">
      <c r="F12228">
        <f t="shared" si="52"/>
        <v>0</v>
      </c>
      <c r="G12228">
        <f>COUNTIF($D$2:D12228,D12228)</f>
        <v>0</v>
      </c>
      <c r="H12228" t="str">
        <f t="shared" si="53"/>
        <v xml:space="preserve"> - 0</v>
      </c>
      <c r="I12228">
        <f t="shared" si="54"/>
        <v>0</v>
      </c>
      <c r="J12228">
        <f t="shared" si="55"/>
        <v>0</v>
      </c>
    </row>
    <row r="12229" spans="6:10">
      <c r="F12229">
        <f t="shared" si="52"/>
        <v>0</v>
      </c>
      <c r="G12229">
        <f>COUNTIF($D$2:D12229,D12229)</f>
        <v>0</v>
      </c>
      <c r="H12229" t="str">
        <f t="shared" si="53"/>
        <v xml:space="preserve"> - 0</v>
      </c>
      <c r="I12229">
        <f t="shared" si="54"/>
        <v>0</v>
      </c>
      <c r="J12229">
        <f t="shared" si="55"/>
        <v>0</v>
      </c>
    </row>
    <row r="12230" spans="6:10">
      <c r="F12230">
        <f t="shared" si="52"/>
        <v>0</v>
      </c>
      <c r="G12230">
        <f>COUNTIF($D$2:D12230,D12230)</f>
        <v>0</v>
      </c>
      <c r="H12230" t="str">
        <f t="shared" si="53"/>
        <v xml:space="preserve"> - 0</v>
      </c>
      <c r="I12230">
        <f t="shared" si="54"/>
        <v>0</v>
      </c>
      <c r="J12230">
        <f t="shared" si="55"/>
        <v>0</v>
      </c>
    </row>
    <row r="12231" spans="6:10">
      <c r="F12231">
        <f t="shared" si="52"/>
        <v>0</v>
      </c>
      <c r="G12231">
        <f>COUNTIF($D$2:D12231,D12231)</f>
        <v>0</v>
      </c>
      <c r="H12231" t="str">
        <f t="shared" si="53"/>
        <v xml:space="preserve"> - 0</v>
      </c>
      <c r="I12231">
        <f t="shared" si="54"/>
        <v>0</v>
      </c>
      <c r="J12231">
        <f t="shared" si="55"/>
        <v>0</v>
      </c>
    </row>
    <row r="12232" spans="6:10">
      <c r="F12232">
        <f t="shared" si="52"/>
        <v>0</v>
      </c>
      <c r="G12232">
        <f>COUNTIF($D$2:D12232,D12232)</f>
        <v>0</v>
      </c>
      <c r="H12232" t="str">
        <f t="shared" si="53"/>
        <v xml:space="preserve"> - 0</v>
      </c>
      <c r="I12232">
        <f t="shared" si="54"/>
        <v>0</v>
      </c>
      <c r="J12232">
        <f t="shared" si="55"/>
        <v>0</v>
      </c>
    </row>
    <row r="12233" spans="6:10">
      <c r="F12233">
        <f t="shared" si="52"/>
        <v>0</v>
      </c>
      <c r="G12233">
        <f>COUNTIF($D$2:D12233,D12233)</f>
        <v>0</v>
      </c>
      <c r="H12233" t="str">
        <f t="shared" si="53"/>
        <v xml:space="preserve"> - 0</v>
      </c>
      <c r="I12233">
        <f t="shared" si="54"/>
        <v>0</v>
      </c>
      <c r="J12233">
        <f t="shared" si="55"/>
        <v>0</v>
      </c>
    </row>
    <row r="12234" spans="6:10">
      <c r="F12234">
        <f t="shared" si="52"/>
        <v>0</v>
      </c>
      <c r="G12234">
        <f>COUNTIF($D$2:D12234,D12234)</f>
        <v>0</v>
      </c>
      <c r="H12234" t="str">
        <f t="shared" si="53"/>
        <v xml:space="preserve"> - 0</v>
      </c>
      <c r="I12234">
        <f t="shared" si="54"/>
        <v>0</v>
      </c>
      <c r="J12234">
        <f t="shared" si="55"/>
        <v>0</v>
      </c>
    </row>
    <row r="12235" spans="6:10">
      <c r="F12235">
        <f t="shared" si="52"/>
        <v>0</v>
      </c>
      <c r="G12235">
        <f>COUNTIF($D$2:D12235,D12235)</f>
        <v>0</v>
      </c>
      <c r="H12235" t="str">
        <f t="shared" si="53"/>
        <v xml:space="preserve"> - 0</v>
      </c>
      <c r="I12235">
        <f t="shared" si="54"/>
        <v>0</v>
      </c>
      <c r="J12235">
        <f t="shared" si="55"/>
        <v>0</v>
      </c>
    </row>
    <row r="12236" spans="6:10">
      <c r="F12236">
        <f t="shared" si="52"/>
        <v>0</v>
      </c>
      <c r="G12236">
        <f>COUNTIF($D$2:D12236,D12236)</f>
        <v>0</v>
      </c>
      <c r="H12236" t="str">
        <f t="shared" si="53"/>
        <v xml:space="preserve"> - 0</v>
      </c>
      <c r="I12236">
        <f t="shared" si="54"/>
        <v>0</v>
      </c>
      <c r="J12236">
        <f t="shared" si="55"/>
        <v>0</v>
      </c>
    </row>
    <row r="12237" spans="6:10">
      <c r="F12237">
        <f t="shared" si="52"/>
        <v>0</v>
      </c>
      <c r="G12237">
        <f>COUNTIF($D$2:D12237,D12237)</f>
        <v>0</v>
      </c>
      <c r="H12237" t="str">
        <f t="shared" si="53"/>
        <v xml:space="preserve"> - 0</v>
      </c>
      <c r="I12237">
        <f t="shared" si="54"/>
        <v>0</v>
      </c>
      <c r="J12237">
        <f t="shared" si="55"/>
        <v>0</v>
      </c>
    </row>
    <row r="12238" spans="6:10">
      <c r="F12238">
        <f t="shared" si="52"/>
        <v>0</v>
      </c>
      <c r="G12238">
        <f>COUNTIF($D$2:D12238,D12238)</f>
        <v>0</v>
      </c>
      <c r="H12238" t="str">
        <f t="shared" si="53"/>
        <v xml:space="preserve"> - 0</v>
      </c>
      <c r="I12238">
        <f t="shared" si="54"/>
        <v>0</v>
      </c>
      <c r="J12238">
        <f t="shared" si="55"/>
        <v>0</v>
      </c>
    </row>
    <row r="12239" spans="6:10">
      <c r="F12239">
        <f t="shared" si="52"/>
        <v>0</v>
      </c>
      <c r="G12239">
        <f>COUNTIF($D$2:D12239,D12239)</f>
        <v>0</v>
      </c>
      <c r="H12239" t="str">
        <f t="shared" si="53"/>
        <v xml:space="preserve"> - 0</v>
      </c>
      <c r="I12239">
        <f t="shared" si="54"/>
        <v>0</v>
      </c>
      <c r="J12239">
        <f t="shared" si="55"/>
        <v>0</v>
      </c>
    </row>
    <row r="12240" spans="6:10">
      <c r="F12240">
        <f t="shared" si="52"/>
        <v>0</v>
      </c>
      <c r="G12240">
        <f>COUNTIF($D$2:D12240,D12240)</f>
        <v>0</v>
      </c>
      <c r="H12240" t="str">
        <f t="shared" si="53"/>
        <v xml:space="preserve"> - 0</v>
      </c>
      <c r="I12240">
        <f t="shared" si="54"/>
        <v>0</v>
      </c>
      <c r="J12240">
        <f t="shared" si="55"/>
        <v>0</v>
      </c>
    </row>
    <row r="12241" spans="6:10">
      <c r="F12241">
        <f t="shared" si="52"/>
        <v>0</v>
      </c>
      <c r="G12241">
        <f>COUNTIF($D$2:D12241,D12241)</f>
        <v>0</v>
      </c>
      <c r="H12241" t="str">
        <f t="shared" si="53"/>
        <v xml:space="preserve"> - 0</v>
      </c>
      <c r="I12241">
        <f t="shared" si="54"/>
        <v>0</v>
      </c>
      <c r="J12241">
        <f t="shared" si="55"/>
        <v>0</v>
      </c>
    </row>
    <row r="12242" spans="6:10">
      <c r="F12242">
        <f t="shared" si="52"/>
        <v>0</v>
      </c>
      <c r="G12242">
        <f>COUNTIF($D$2:D12242,D12242)</f>
        <v>0</v>
      </c>
      <c r="H12242" t="str">
        <f t="shared" si="53"/>
        <v xml:space="preserve"> - 0</v>
      </c>
      <c r="I12242">
        <f t="shared" si="54"/>
        <v>0</v>
      </c>
      <c r="J12242">
        <f t="shared" si="55"/>
        <v>0</v>
      </c>
    </row>
    <row r="12243" spans="6:10">
      <c r="F12243">
        <f t="shared" si="52"/>
        <v>0</v>
      </c>
      <c r="G12243">
        <f>COUNTIF($D$2:D12243,D12243)</f>
        <v>0</v>
      </c>
      <c r="H12243" t="str">
        <f t="shared" si="53"/>
        <v xml:space="preserve"> - 0</v>
      </c>
      <c r="I12243">
        <f t="shared" si="54"/>
        <v>0</v>
      </c>
      <c r="J12243">
        <f t="shared" si="55"/>
        <v>0</v>
      </c>
    </row>
    <row r="12244" spans="6:10">
      <c r="F12244">
        <f t="shared" si="52"/>
        <v>0</v>
      </c>
      <c r="G12244">
        <f>COUNTIF($D$2:D12244,D12244)</f>
        <v>0</v>
      </c>
      <c r="H12244" t="str">
        <f t="shared" si="53"/>
        <v xml:space="preserve"> - 0</v>
      </c>
      <c r="I12244">
        <f t="shared" si="54"/>
        <v>0</v>
      </c>
      <c r="J12244">
        <f t="shared" si="55"/>
        <v>0</v>
      </c>
    </row>
    <row r="12245" spans="6:10">
      <c r="F12245">
        <f t="shared" si="52"/>
        <v>0</v>
      </c>
      <c r="G12245">
        <f>COUNTIF($D$2:D12245,D12245)</f>
        <v>0</v>
      </c>
      <c r="H12245" t="str">
        <f t="shared" si="53"/>
        <v xml:space="preserve"> - 0</v>
      </c>
      <c r="I12245">
        <f t="shared" si="54"/>
        <v>0</v>
      </c>
      <c r="J12245">
        <f t="shared" si="55"/>
        <v>0</v>
      </c>
    </row>
    <row r="12246" spans="6:10">
      <c r="F12246">
        <f t="shared" si="52"/>
        <v>0</v>
      </c>
      <c r="G12246">
        <f>COUNTIF($D$2:D12246,D12246)</f>
        <v>0</v>
      </c>
      <c r="H12246" t="str">
        <f t="shared" si="53"/>
        <v xml:space="preserve"> - 0</v>
      </c>
      <c r="I12246">
        <f t="shared" si="54"/>
        <v>0</v>
      </c>
      <c r="J12246">
        <f t="shared" si="55"/>
        <v>0</v>
      </c>
    </row>
    <row r="12247" spans="6:10">
      <c r="F12247">
        <f t="shared" si="52"/>
        <v>0</v>
      </c>
      <c r="G12247">
        <f>COUNTIF($D$2:D12247,D12247)</f>
        <v>0</v>
      </c>
      <c r="H12247" t="str">
        <f t="shared" si="53"/>
        <v xml:space="preserve"> - 0</v>
      </c>
      <c r="I12247">
        <f t="shared" si="54"/>
        <v>0</v>
      </c>
      <c r="J12247">
        <f t="shared" si="55"/>
        <v>0</v>
      </c>
    </row>
    <row r="12248" spans="6:10">
      <c r="F12248">
        <f t="shared" si="52"/>
        <v>0</v>
      </c>
      <c r="G12248">
        <f>COUNTIF($D$2:D12248,D12248)</f>
        <v>0</v>
      </c>
      <c r="H12248" t="str">
        <f t="shared" si="53"/>
        <v xml:space="preserve"> - 0</v>
      </c>
      <c r="I12248">
        <f t="shared" si="54"/>
        <v>0</v>
      </c>
      <c r="J12248">
        <f t="shared" si="55"/>
        <v>0</v>
      </c>
    </row>
    <row r="12249" spans="6:10">
      <c r="F12249">
        <f t="shared" si="52"/>
        <v>0</v>
      </c>
      <c r="G12249">
        <f>COUNTIF($D$2:D12249,D12249)</f>
        <v>0</v>
      </c>
      <c r="H12249" t="str">
        <f t="shared" si="53"/>
        <v xml:space="preserve"> - 0</v>
      </c>
      <c r="I12249">
        <f t="shared" si="54"/>
        <v>0</v>
      </c>
      <c r="J12249">
        <f t="shared" si="55"/>
        <v>0</v>
      </c>
    </row>
    <row r="12250" spans="6:10">
      <c r="F12250">
        <f t="shared" si="52"/>
        <v>0</v>
      </c>
      <c r="G12250">
        <f>COUNTIF($D$2:D12250,D12250)</f>
        <v>0</v>
      </c>
      <c r="H12250" t="str">
        <f t="shared" si="53"/>
        <v xml:space="preserve"> - 0</v>
      </c>
      <c r="I12250">
        <f t="shared" si="54"/>
        <v>0</v>
      </c>
      <c r="J12250">
        <f t="shared" si="55"/>
        <v>0</v>
      </c>
    </row>
    <row r="12251" spans="6:10">
      <c r="F12251">
        <f t="shared" si="52"/>
        <v>0</v>
      </c>
      <c r="G12251">
        <f>COUNTIF($D$2:D12251,D12251)</f>
        <v>0</v>
      </c>
      <c r="H12251" t="str">
        <f t="shared" si="53"/>
        <v xml:space="preserve"> - 0</v>
      </c>
      <c r="I12251">
        <f t="shared" si="54"/>
        <v>0</v>
      </c>
      <c r="J12251">
        <f t="shared" si="55"/>
        <v>0</v>
      </c>
    </row>
    <row r="12252" spans="6:10">
      <c r="F12252">
        <f t="shared" si="52"/>
        <v>0</v>
      </c>
      <c r="G12252">
        <f>COUNTIF($D$2:D12252,D12252)</f>
        <v>0</v>
      </c>
      <c r="H12252" t="str">
        <f t="shared" si="53"/>
        <v xml:space="preserve"> - 0</v>
      </c>
      <c r="I12252">
        <f t="shared" si="54"/>
        <v>0</v>
      </c>
      <c r="J12252">
        <f t="shared" si="55"/>
        <v>0</v>
      </c>
    </row>
    <row r="12253" spans="6:10">
      <c r="F12253">
        <f t="shared" si="52"/>
        <v>0</v>
      </c>
      <c r="G12253">
        <f>COUNTIF($D$2:D12253,D12253)</f>
        <v>0</v>
      </c>
      <c r="H12253" t="str">
        <f t="shared" si="53"/>
        <v xml:space="preserve"> - 0</v>
      </c>
      <c r="I12253">
        <f t="shared" si="54"/>
        <v>0</v>
      </c>
      <c r="J12253">
        <f t="shared" si="55"/>
        <v>0</v>
      </c>
    </row>
    <row r="12254" spans="6:10">
      <c r="F12254">
        <f t="shared" si="52"/>
        <v>0</v>
      </c>
      <c r="G12254">
        <f>COUNTIF($D$2:D12254,D12254)</f>
        <v>0</v>
      </c>
      <c r="H12254" t="str">
        <f t="shared" si="53"/>
        <v xml:space="preserve"> - 0</v>
      </c>
      <c r="I12254">
        <f t="shared" si="54"/>
        <v>0</v>
      </c>
      <c r="J12254">
        <f t="shared" si="55"/>
        <v>0</v>
      </c>
    </row>
    <row r="12255" spans="6:10">
      <c r="F12255">
        <f t="shared" si="52"/>
        <v>0</v>
      </c>
      <c r="G12255">
        <f>COUNTIF($D$2:D12255,D12255)</f>
        <v>0</v>
      </c>
      <c r="H12255" t="str">
        <f t="shared" si="53"/>
        <v xml:space="preserve"> - 0</v>
      </c>
      <c r="I12255">
        <f t="shared" si="54"/>
        <v>0</v>
      </c>
      <c r="J12255">
        <f t="shared" si="55"/>
        <v>0</v>
      </c>
    </row>
    <row r="12256" spans="6:10">
      <c r="F12256">
        <f t="shared" si="52"/>
        <v>0</v>
      </c>
      <c r="G12256">
        <f>COUNTIF($D$2:D12256,D12256)</f>
        <v>0</v>
      </c>
      <c r="H12256" t="str">
        <f t="shared" si="53"/>
        <v xml:space="preserve"> - 0</v>
      </c>
      <c r="I12256">
        <f t="shared" si="54"/>
        <v>0</v>
      </c>
      <c r="J12256">
        <f t="shared" si="55"/>
        <v>0</v>
      </c>
    </row>
    <row r="12257" spans="6:10">
      <c r="F12257">
        <f t="shared" si="52"/>
        <v>0</v>
      </c>
      <c r="G12257">
        <f>COUNTIF($D$2:D12257,D12257)</f>
        <v>0</v>
      </c>
      <c r="H12257" t="str">
        <f t="shared" si="53"/>
        <v xml:space="preserve"> - 0</v>
      </c>
      <c r="I12257">
        <f t="shared" si="54"/>
        <v>0</v>
      </c>
      <c r="J12257">
        <f t="shared" si="55"/>
        <v>0</v>
      </c>
    </row>
    <row r="12258" spans="6:10">
      <c r="F12258">
        <f t="shared" si="52"/>
        <v>0</v>
      </c>
      <c r="G12258">
        <f>COUNTIF($D$2:D12258,D12258)</f>
        <v>0</v>
      </c>
      <c r="H12258" t="str">
        <f t="shared" si="53"/>
        <v xml:space="preserve"> - 0</v>
      </c>
      <c r="I12258">
        <f t="shared" si="54"/>
        <v>0</v>
      </c>
      <c r="J12258">
        <f t="shared" si="55"/>
        <v>0</v>
      </c>
    </row>
    <row r="12259" spans="6:10">
      <c r="F12259">
        <f t="shared" si="52"/>
        <v>0</v>
      </c>
      <c r="G12259">
        <f>COUNTIF($D$2:D12259,D12259)</f>
        <v>0</v>
      </c>
      <c r="H12259" t="str">
        <f t="shared" si="53"/>
        <v xml:space="preserve"> - 0</v>
      </c>
      <c r="I12259">
        <f t="shared" si="54"/>
        <v>0</v>
      </c>
      <c r="J12259">
        <f t="shared" si="55"/>
        <v>0</v>
      </c>
    </row>
    <row r="12260" spans="6:10">
      <c r="F12260">
        <f t="shared" si="52"/>
        <v>0</v>
      </c>
      <c r="G12260">
        <f>COUNTIF($D$2:D12260,D12260)</f>
        <v>0</v>
      </c>
      <c r="H12260" t="str">
        <f t="shared" si="53"/>
        <v xml:space="preserve"> - 0</v>
      </c>
      <c r="I12260">
        <f t="shared" si="54"/>
        <v>0</v>
      </c>
      <c r="J12260">
        <f t="shared" si="55"/>
        <v>0</v>
      </c>
    </row>
    <row r="12261" spans="6:10">
      <c r="F12261">
        <f t="shared" si="52"/>
        <v>0</v>
      </c>
      <c r="G12261">
        <f>COUNTIF($D$2:D12261,D12261)</f>
        <v>0</v>
      </c>
      <c r="H12261" t="str">
        <f t="shared" si="53"/>
        <v xml:space="preserve"> - 0</v>
      </c>
      <c r="I12261">
        <f t="shared" si="54"/>
        <v>0</v>
      </c>
      <c r="J12261">
        <f t="shared" si="55"/>
        <v>0</v>
      </c>
    </row>
    <row r="12262" spans="6:10">
      <c r="F12262">
        <f t="shared" si="52"/>
        <v>0</v>
      </c>
      <c r="G12262">
        <f>COUNTIF($D$2:D12262,D12262)</f>
        <v>0</v>
      </c>
      <c r="H12262" t="str">
        <f t="shared" si="53"/>
        <v xml:space="preserve"> - 0</v>
      </c>
      <c r="I12262">
        <f t="shared" si="54"/>
        <v>0</v>
      </c>
      <c r="J12262">
        <f t="shared" si="55"/>
        <v>0</v>
      </c>
    </row>
    <row r="12263" spans="6:10">
      <c r="F12263">
        <f t="shared" si="52"/>
        <v>0</v>
      </c>
      <c r="G12263">
        <f>COUNTIF($D$2:D12263,D12263)</f>
        <v>0</v>
      </c>
      <c r="H12263" t="str">
        <f t="shared" si="53"/>
        <v xml:space="preserve"> - 0</v>
      </c>
      <c r="I12263">
        <f t="shared" si="54"/>
        <v>0</v>
      </c>
      <c r="J12263">
        <f t="shared" si="55"/>
        <v>0</v>
      </c>
    </row>
    <row r="12264" spans="6:10">
      <c r="F12264">
        <f t="shared" si="52"/>
        <v>0</v>
      </c>
      <c r="G12264">
        <f>COUNTIF($D$2:D12264,D12264)</f>
        <v>0</v>
      </c>
      <c r="H12264" t="str">
        <f t="shared" si="53"/>
        <v xml:space="preserve"> - 0</v>
      </c>
      <c r="I12264">
        <f t="shared" si="54"/>
        <v>0</v>
      </c>
      <c r="J12264">
        <f t="shared" si="55"/>
        <v>0</v>
      </c>
    </row>
    <row r="12265" spans="6:10">
      <c r="F12265">
        <f t="shared" ref="F12265:F12328" si="56">COUNTIF($D$2:$D$35910,D12265)</f>
        <v>0</v>
      </c>
      <c r="G12265">
        <f>COUNTIF($D$2:D12265,D12265)</f>
        <v>0</v>
      </c>
      <c r="H12265" t="str">
        <f t="shared" ref="H12265:H12328" si="57">D12265&amp;" - "&amp;G12265&amp;AH12265</f>
        <v xml:space="preserve"> - 0</v>
      </c>
      <c r="I12265">
        <f t="shared" ref="I12265:I12328" si="58">A12265</f>
        <v>0</v>
      </c>
      <c r="J12265">
        <f t="shared" ref="J12265:J12328" si="59">B12265</f>
        <v>0</v>
      </c>
    </row>
    <row r="12266" spans="6:10">
      <c r="F12266">
        <f t="shared" si="56"/>
        <v>0</v>
      </c>
      <c r="G12266">
        <f>COUNTIF($D$2:D12266,D12266)</f>
        <v>0</v>
      </c>
      <c r="H12266" t="str">
        <f t="shared" si="57"/>
        <v xml:space="preserve"> - 0</v>
      </c>
      <c r="I12266">
        <f t="shared" si="58"/>
        <v>0</v>
      </c>
      <c r="J12266">
        <f t="shared" si="59"/>
        <v>0</v>
      </c>
    </row>
    <row r="12267" spans="6:10">
      <c r="F12267">
        <f t="shared" si="56"/>
        <v>0</v>
      </c>
      <c r="G12267">
        <f>COUNTIF($D$2:D12267,D12267)</f>
        <v>0</v>
      </c>
      <c r="H12267" t="str">
        <f t="shared" si="57"/>
        <v xml:space="preserve"> - 0</v>
      </c>
      <c r="I12267">
        <f t="shared" si="58"/>
        <v>0</v>
      </c>
      <c r="J12267">
        <f t="shared" si="59"/>
        <v>0</v>
      </c>
    </row>
    <row r="12268" spans="6:10">
      <c r="F12268">
        <f t="shared" si="56"/>
        <v>0</v>
      </c>
      <c r="G12268">
        <f>COUNTIF($D$2:D12268,D12268)</f>
        <v>0</v>
      </c>
      <c r="H12268" t="str">
        <f t="shared" si="57"/>
        <v xml:space="preserve"> - 0</v>
      </c>
      <c r="I12268">
        <f t="shared" si="58"/>
        <v>0</v>
      </c>
      <c r="J12268">
        <f t="shared" si="59"/>
        <v>0</v>
      </c>
    </row>
    <row r="12269" spans="6:10">
      <c r="F12269">
        <f t="shared" si="56"/>
        <v>0</v>
      </c>
      <c r="G12269">
        <f>COUNTIF($D$2:D12269,D12269)</f>
        <v>0</v>
      </c>
      <c r="H12269" t="str">
        <f t="shared" si="57"/>
        <v xml:space="preserve"> - 0</v>
      </c>
      <c r="I12269">
        <f t="shared" si="58"/>
        <v>0</v>
      </c>
      <c r="J12269">
        <f t="shared" si="59"/>
        <v>0</v>
      </c>
    </row>
    <row r="12270" spans="6:10">
      <c r="F12270">
        <f t="shared" si="56"/>
        <v>0</v>
      </c>
      <c r="G12270">
        <f>COUNTIF($D$2:D12270,D12270)</f>
        <v>0</v>
      </c>
      <c r="H12270" t="str">
        <f t="shared" si="57"/>
        <v xml:space="preserve"> - 0</v>
      </c>
      <c r="I12270">
        <f t="shared" si="58"/>
        <v>0</v>
      </c>
      <c r="J12270">
        <f t="shared" si="59"/>
        <v>0</v>
      </c>
    </row>
    <row r="12271" spans="6:10">
      <c r="F12271">
        <f t="shared" si="56"/>
        <v>0</v>
      </c>
      <c r="G12271">
        <f>COUNTIF($D$2:D12271,D12271)</f>
        <v>0</v>
      </c>
      <c r="H12271" t="str">
        <f t="shared" si="57"/>
        <v xml:space="preserve"> - 0</v>
      </c>
      <c r="I12271">
        <f t="shared" si="58"/>
        <v>0</v>
      </c>
      <c r="J12271">
        <f t="shared" si="59"/>
        <v>0</v>
      </c>
    </row>
    <row r="12272" spans="6:10">
      <c r="F12272">
        <f t="shared" si="56"/>
        <v>0</v>
      </c>
      <c r="G12272">
        <f>COUNTIF($D$2:D12272,D12272)</f>
        <v>0</v>
      </c>
      <c r="H12272" t="str">
        <f t="shared" si="57"/>
        <v xml:space="preserve"> - 0</v>
      </c>
      <c r="I12272">
        <f t="shared" si="58"/>
        <v>0</v>
      </c>
      <c r="J12272">
        <f t="shared" si="59"/>
        <v>0</v>
      </c>
    </row>
    <row r="12273" spans="6:10">
      <c r="F12273">
        <f t="shared" si="56"/>
        <v>0</v>
      </c>
      <c r="G12273">
        <f>COUNTIF($D$2:D12273,D12273)</f>
        <v>0</v>
      </c>
      <c r="H12273" t="str">
        <f t="shared" si="57"/>
        <v xml:space="preserve"> - 0</v>
      </c>
      <c r="I12273">
        <f t="shared" si="58"/>
        <v>0</v>
      </c>
      <c r="J12273">
        <f t="shared" si="59"/>
        <v>0</v>
      </c>
    </row>
    <row r="12274" spans="6:10">
      <c r="F12274">
        <f t="shared" si="56"/>
        <v>0</v>
      </c>
      <c r="G12274">
        <f>COUNTIF($D$2:D12274,D12274)</f>
        <v>0</v>
      </c>
      <c r="H12274" t="str">
        <f t="shared" si="57"/>
        <v xml:space="preserve"> - 0</v>
      </c>
      <c r="I12274">
        <f t="shared" si="58"/>
        <v>0</v>
      </c>
      <c r="J12274">
        <f t="shared" si="59"/>
        <v>0</v>
      </c>
    </row>
    <row r="12275" spans="6:10">
      <c r="F12275">
        <f t="shared" si="56"/>
        <v>0</v>
      </c>
      <c r="G12275">
        <f>COUNTIF($D$2:D12275,D12275)</f>
        <v>0</v>
      </c>
      <c r="H12275" t="str">
        <f t="shared" si="57"/>
        <v xml:space="preserve"> - 0</v>
      </c>
      <c r="I12275">
        <f t="shared" si="58"/>
        <v>0</v>
      </c>
      <c r="J12275">
        <f t="shared" si="59"/>
        <v>0</v>
      </c>
    </row>
    <row r="12276" spans="6:10">
      <c r="F12276">
        <f t="shared" si="56"/>
        <v>0</v>
      </c>
      <c r="G12276">
        <f>COUNTIF($D$2:D12276,D12276)</f>
        <v>0</v>
      </c>
      <c r="H12276" t="str">
        <f t="shared" si="57"/>
        <v xml:space="preserve"> - 0</v>
      </c>
      <c r="I12276">
        <f t="shared" si="58"/>
        <v>0</v>
      </c>
      <c r="J12276">
        <f t="shared" si="59"/>
        <v>0</v>
      </c>
    </row>
    <row r="12277" spans="6:10">
      <c r="F12277">
        <f t="shared" si="56"/>
        <v>0</v>
      </c>
      <c r="G12277">
        <f>COUNTIF($D$2:D12277,D12277)</f>
        <v>0</v>
      </c>
      <c r="H12277" t="str">
        <f t="shared" si="57"/>
        <v xml:space="preserve"> - 0</v>
      </c>
      <c r="I12277">
        <f t="shared" si="58"/>
        <v>0</v>
      </c>
      <c r="J12277">
        <f t="shared" si="59"/>
        <v>0</v>
      </c>
    </row>
    <row r="12278" spans="6:10">
      <c r="F12278">
        <f t="shared" si="56"/>
        <v>0</v>
      </c>
      <c r="G12278">
        <f>COUNTIF($D$2:D12278,D12278)</f>
        <v>0</v>
      </c>
      <c r="H12278" t="str">
        <f t="shared" si="57"/>
        <v xml:space="preserve"> - 0</v>
      </c>
      <c r="I12278">
        <f t="shared" si="58"/>
        <v>0</v>
      </c>
      <c r="J12278">
        <f t="shared" si="59"/>
        <v>0</v>
      </c>
    </row>
    <row r="12279" spans="6:10">
      <c r="F12279">
        <f t="shared" si="56"/>
        <v>0</v>
      </c>
      <c r="G12279">
        <f>COUNTIF($D$2:D12279,D12279)</f>
        <v>0</v>
      </c>
      <c r="H12279" t="str">
        <f t="shared" si="57"/>
        <v xml:space="preserve"> - 0</v>
      </c>
      <c r="I12279">
        <f t="shared" si="58"/>
        <v>0</v>
      </c>
      <c r="J12279">
        <f t="shared" si="59"/>
        <v>0</v>
      </c>
    </row>
    <row r="12280" spans="6:10">
      <c r="F12280">
        <f t="shared" si="56"/>
        <v>0</v>
      </c>
      <c r="G12280">
        <f>COUNTIF($D$2:D12280,D12280)</f>
        <v>0</v>
      </c>
      <c r="H12280" t="str">
        <f t="shared" si="57"/>
        <v xml:space="preserve"> - 0</v>
      </c>
      <c r="I12280">
        <f t="shared" si="58"/>
        <v>0</v>
      </c>
      <c r="J12280">
        <f t="shared" si="59"/>
        <v>0</v>
      </c>
    </row>
    <row r="12281" spans="6:10">
      <c r="F12281">
        <f t="shared" si="56"/>
        <v>0</v>
      </c>
      <c r="G12281">
        <f>COUNTIF($D$2:D12281,D12281)</f>
        <v>0</v>
      </c>
      <c r="H12281" t="str">
        <f t="shared" si="57"/>
        <v xml:space="preserve"> - 0</v>
      </c>
      <c r="I12281">
        <f t="shared" si="58"/>
        <v>0</v>
      </c>
      <c r="J12281">
        <f t="shared" si="59"/>
        <v>0</v>
      </c>
    </row>
    <row r="12282" spans="6:10">
      <c r="F12282">
        <f t="shared" si="56"/>
        <v>0</v>
      </c>
      <c r="G12282">
        <f>COUNTIF($D$2:D12282,D12282)</f>
        <v>0</v>
      </c>
      <c r="H12282" t="str">
        <f t="shared" si="57"/>
        <v xml:space="preserve"> - 0</v>
      </c>
      <c r="I12282">
        <f t="shared" si="58"/>
        <v>0</v>
      </c>
      <c r="J12282">
        <f t="shared" si="59"/>
        <v>0</v>
      </c>
    </row>
    <row r="12283" spans="6:10">
      <c r="F12283">
        <f t="shared" si="56"/>
        <v>0</v>
      </c>
      <c r="G12283">
        <f>COUNTIF($D$2:D12283,D12283)</f>
        <v>0</v>
      </c>
      <c r="H12283" t="str">
        <f t="shared" si="57"/>
        <v xml:space="preserve"> - 0</v>
      </c>
      <c r="I12283">
        <f t="shared" si="58"/>
        <v>0</v>
      </c>
      <c r="J12283">
        <f t="shared" si="59"/>
        <v>0</v>
      </c>
    </row>
    <row r="12284" spans="6:10">
      <c r="F12284">
        <f t="shared" si="56"/>
        <v>0</v>
      </c>
      <c r="G12284">
        <f>COUNTIF($D$2:D12284,D12284)</f>
        <v>0</v>
      </c>
      <c r="H12284" t="str">
        <f t="shared" si="57"/>
        <v xml:space="preserve"> - 0</v>
      </c>
      <c r="I12284">
        <f t="shared" si="58"/>
        <v>0</v>
      </c>
      <c r="J12284">
        <f t="shared" si="59"/>
        <v>0</v>
      </c>
    </row>
    <row r="12285" spans="6:10">
      <c r="F12285">
        <f t="shared" si="56"/>
        <v>0</v>
      </c>
      <c r="G12285">
        <f>COUNTIF($D$2:D12285,D12285)</f>
        <v>0</v>
      </c>
      <c r="H12285" t="str">
        <f t="shared" si="57"/>
        <v xml:space="preserve"> - 0</v>
      </c>
      <c r="I12285">
        <f t="shared" si="58"/>
        <v>0</v>
      </c>
      <c r="J12285">
        <f t="shared" si="59"/>
        <v>0</v>
      </c>
    </row>
    <row r="12286" spans="6:10">
      <c r="F12286">
        <f t="shared" si="56"/>
        <v>0</v>
      </c>
      <c r="G12286">
        <f>COUNTIF($D$2:D12286,D12286)</f>
        <v>0</v>
      </c>
      <c r="H12286" t="str">
        <f t="shared" si="57"/>
        <v xml:space="preserve"> - 0</v>
      </c>
      <c r="I12286">
        <f t="shared" si="58"/>
        <v>0</v>
      </c>
      <c r="J12286">
        <f t="shared" si="59"/>
        <v>0</v>
      </c>
    </row>
    <row r="12287" spans="6:10">
      <c r="F12287">
        <f t="shared" si="56"/>
        <v>0</v>
      </c>
      <c r="G12287">
        <f>COUNTIF($D$2:D12287,D12287)</f>
        <v>0</v>
      </c>
      <c r="H12287" t="str">
        <f t="shared" si="57"/>
        <v xml:space="preserve"> - 0</v>
      </c>
      <c r="I12287">
        <f t="shared" si="58"/>
        <v>0</v>
      </c>
      <c r="J12287">
        <f t="shared" si="59"/>
        <v>0</v>
      </c>
    </row>
    <row r="12288" spans="6:10">
      <c r="F12288">
        <f t="shared" si="56"/>
        <v>0</v>
      </c>
      <c r="G12288">
        <f>COUNTIF($D$2:D12288,D12288)</f>
        <v>0</v>
      </c>
      <c r="H12288" t="str">
        <f t="shared" si="57"/>
        <v xml:space="preserve"> - 0</v>
      </c>
      <c r="I12288">
        <f t="shared" si="58"/>
        <v>0</v>
      </c>
      <c r="J12288">
        <f t="shared" si="59"/>
        <v>0</v>
      </c>
    </row>
    <row r="12289" spans="6:10">
      <c r="F12289">
        <f t="shared" si="56"/>
        <v>0</v>
      </c>
      <c r="G12289">
        <f>COUNTIF($D$2:D12289,D12289)</f>
        <v>0</v>
      </c>
      <c r="H12289" t="str">
        <f t="shared" si="57"/>
        <v xml:space="preserve"> - 0</v>
      </c>
      <c r="I12289">
        <f t="shared" si="58"/>
        <v>0</v>
      </c>
      <c r="J12289">
        <f t="shared" si="59"/>
        <v>0</v>
      </c>
    </row>
    <row r="12290" spans="6:10">
      <c r="F12290">
        <f t="shared" si="56"/>
        <v>0</v>
      </c>
      <c r="G12290">
        <f>COUNTIF($D$2:D12290,D12290)</f>
        <v>0</v>
      </c>
      <c r="H12290" t="str">
        <f t="shared" si="57"/>
        <v xml:space="preserve"> - 0</v>
      </c>
      <c r="I12290">
        <f t="shared" si="58"/>
        <v>0</v>
      </c>
      <c r="J12290">
        <f t="shared" si="59"/>
        <v>0</v>
      </c>
    </row>
    <row r="12291" spans="6:10">
      <c r="F12291">
        <f t="shared" si="56"/>
        <v>0</v>
      </c>
      <c r="G12291">
        <f>COUNTIF($D$2:D12291,D12291)</f>
        <v>0</v>
      </c>
      <c r="H12291" t="str">
        <f t="shared" si="57"/>
        <v xml:space="preserve"> - 0</v>
      </c>
      <c r="I12291">
        <f t="shared" si="58"/>
        <v>0</v>
      </c>
      <c r="J12291">
        <f t="shared" si="59"/>
        <v>0</v>
      </c>
    </row>
    <row r="12292" spans="6:10">
      <c r="F12292">
        <f t="shared" si="56"/>
        <v>0</v>
      </c>
      <c r="G12292">
        <f>COUNTIF($D$2:D12292,D12292)</f>
        <v>0</v>
      </c>
      <c r="H12292" t="str">
        <f t="shared" si="57"/>
        <v xml:space="preserve"> - 0</v>
      </c>
      <c r="I12292">
        <f t="shared" si="58"/>
        <v>0</v>
      </c>
      <c r="J12292">
        <f t="shared" si="59"/>
        <v>0</v>
      </c>
    </row>
    <row r="12293" spans="6:10">
      <c r="F12293">
        <f t="shared" si="56"/>
        <v>0</v>
      </c>
      <c r="G12293">
        <f>COUNTIF($D$2:D12293,D12293)</f>
        <v>0</v>
      </c>
      <c r="H12293" t="str">
        <f t="shared" si="57"/>
        <v xml:space="preserve"> - 0</v>
      </c>
      <c r="I12293">
        <f t="shared" si="58"/>
        <v>0</v>
      </c>
      <c r="J12293">
        <f t="shared" si="59"/>
        <v>0</v>
      </c>
    </row>
    <row r="12294" spans="6:10">
      <c r="F12294">
        <f t="shared" si="56"/>
        <v>0</v>
      </c>
      <c r="G12294">
        <f>COUNTIF($D$2:D12294,D12294)</f>
        <v>0</v>
      </c>
      <c r="H12294" t="str">
        <f t="shared" si="57"/>
        <v xml:space="preserve"> - 0</v>
      </c>
      <c r="I12294">
        <f t="shared" si="58"/>
        <v>0</v>
      </c>
      <c r="J12294">
        <f t="shared" si="59"/>
        <v>0</v>
      </c>
    </row>
    <row r="12295" spans="6:10">
      <c r="F12295">
        <f t="shared" si="56"/>
        <v>0</v>
      </c>
      <c r="G12295">
        <f>COUNTIF($D$2:D12295,D12295)</f>
        <v>0</v>
      </c>
      <c r="H12295" t="str">
        <f t="shared" si="57"/>
        <v xml:space="preserve"> - 0</v>
      </c>
      <c r="I12295">
        <f t="shared" si="58"/>
        <v>0</v>
      </c>
      <c r="J12295">
        <f t="shared" si="59"/>
        <v>0</v>
      </c>
    </row>
    <row r="12296" spans="6:10">
      <c r="F12296">
        <f t="shared" si="56"/>
        <v>0</v>
      </c>
      <c r="G12296">
        <f>COUNTIF($D$2:D12296,D12296)</f>
        <v>0</v>
      </c>
      <c r="H12296" t="str">
        <f t="shared" si="57"/>
        <v xml:space="preserve"> - 0</v>
      </c>
      <c r="I12296">
        <f t="shared" si="58"/>
        <v>0</v>
      </c>
      <c r="J12296">
        <f t="shared" si="59"/>
        <v>0</v>
      </c>
    </row>
    <row r="12297" spans="6:10">
      <c r="F12297">
        <f t="shared" si="56"/>
        <v>0</v>
      </c>
      <c r="G12297">
        <f>COUNTIF($D$2:D12297,D12297)</f>
        <v>0</v>
      </c>
      <c r="H12297" t="str">
        <f t="shared" si="57"/>
        <v xml:space="preserve"> - 0</v>
      </c>
      <c r="I12297">
        <f t="shared" si="58"/>
        <v>0</v>
      </c>
      <c r="J12297">
        <f t="shared" si="59"/>
        <v>0</v>
      </c>
    </row>
    <row r="12298" spans="6:10">
      <c r="F12298">
        <f t="shared" si="56"/>
        <v>0</v>
      </c>
      <c r="G12298">
        <f>COUNTIF($D$2:D12298,D12298)</f>
        <v>0</v>
      </c>
      <c r="H12298" t="str">
        <f t="shared" si="57"/>
        <v xml:space="preserve"> - 0</v>
      </c>
      <c r="I12298">
        <f t="shared" si="58"/>
        <v>0</v>
      </c>
      <c r="J12298">
        <f t="shared" si="59"/>
        <v>0</v>
      </c>
    </row>
    <row r="12299" spans="6:10">
      <c r="F12299">
        <f t="shared" si="56"/>
        <v>0</v>
      </c>
      <c r="G12299">
        <f>COUNTIF($D$2:D12299,D12299)</f>
        <v>0</v>
      </c>
      <c r="H12299" t="str">
        <f t="shared" si="57"/>
        <v xml:space="preserve"> - 0</v>
      </c>
      <c r="I12299">
        <f t="shared" si="58"/>
        <v>0</v>
      </c>
      <c r="J12299">
        <f t="shared" si="59"/>
        <v>0</v>
      </c>
    </row>
    <row r="12300" spans="6:10">
      <c r="F12300">
        <f t="shared" si="56"/>
        <v>0</v>
      </c>
      <c r="G12300">
        <f>COUNTIF($D$2:D12300,D12300)</f>
        <v>0</v>
      </c>
      <c r="H12300" t="str">
        <f t="shared" si="57"/>
        <v xml:space="preserve"> - 0</v>
      </c>
      <c r="I12300">
        <f t="shared" si="58"/>
        <v>0</v>
      </c>
      <c r="J12300">
        <f t="shared" si="59"/>
        <v>0</v>
      </c>
    </row>
    <row r="12301" spans="6:10">
      <c r="F12301">
        <f t="shared" si="56"/>
        <v>0</v>
      </c>
      <c r="G12301">
        <f>COUNTIF($D$2:D12301,D12301)</f>
        <v>0</v>
      </c>
      <c r="H12301" t="str">
        <f t="shared" si="57"/>
        <v xml:space="preserve"> - 0</v>
      </c>
      <c r="I12301">
        <f t="shared" si="58"/>
        <v>0</v>
      </c>
      <c r="J12301">
        <f t="shared" si="59"/>
        <v>0</v>
      </c>
    </row>
    <row r="12302" spans="6:10">
      <c r="F12302">
        <f t="shared" si="56"/>
        <v>0</v>
      </c>
      <c r="G12302">
        <f>COUNTIF($D$2:D12302,D12302)</f>
        <v>0</v>
      </c>
      <c r="H12302" t="str">
        <f t="shared" si="57"/>
        <v xml:space="preserve"> - 0</v>
      </c>
      <c r="I12302">
        <f t="shared" si="58"/>
        <v>0</v>
      </c>
      <c r="J12302">
        <f t="shared" si="59"/>
        <v>0</v>
      </c>
    </row>
    <row r="12303" spans="6:10">
      <c r="F12303">
        <f t="shared" si="56"/>
        <v>0</v>
      </c>
      <c r="G12303">
        <f>COUNTIF($D$2:D12303,D12303)</f>
        <v>0</v>
      </c>
      <c r="H12303" t="str">
        <f t="shared" si="57"/>
        <v xml:space="preserve"> - 0</v>
      </c>
      <c r="I12303">
        <f t="shared" si="58"/>
        <v>0</v>
      </c>
      <c r="J12303">
        <f t="shared" si="59"/>
        <v>0</v>
      </c>
    </row>
    <row r="12304" spans="6:10">
      <c r="F12304">
        <f t="shared" si="56"/>
        <v>0</v>
      </c>
      <c r="G12304">
        <f>COUNTIF($D$2:D12304,D12304)</f>
        <v>0</v>
      </c>
      <c r="H12304" t="str">
        <f t="shared" si="57"/>
        <v xml:space="preserve"> - 0</v>
      </c>
      <c r="I12304">
        <f t="shared" si="58"/>
        <v>0</v>
      </c>
      <c r="J12304">
        <f t="shared" si="59"/>
        <v>0</v>
      </c>
    </row>
    <row r="12305" spans="6:10">
      <c r="F12305">
        <f t="shared" si="56"/>
        <v>0</v>
      </c>
      <c r="G12305">
        <f>COUNTIF($D$2:D12305,D12305)</f>
        <v>0</v>
      </c>
      <c r="H12305" t="str">
        <f t="shared" si="57"/>
        <v xml:space="preserve"> - 0</v>
      </c>
      <c r="I12305">
        <f t="shared" si="58"/>
        <v>0</v>
      </c>
      <c r="J12305">
        <f t="shared" si="59"/>
        <v>0</v>
      </c>
    </row>
    <row r="12306" spans="6:10">
      <c r="F12306">
        <f t="shared" si="56"/>
        <v>0</v>
      </c>
      <c r="G12306">
        <f>COUNTIF($D$2:D12306,D12306)</f>
        <v>0</v>
      </c>
      <c r="H12306" t="str">
        <f t="shared" si="57"/>
        <v xml:space="preserve"> - 0</v>
      </c>
      <c r="I12306">
        <f t="shared" si="58"/>
        <v>0</v>
      </c>
      <c r="J12306">
        <f t="shared" si="59"/>
        <v>0</v>
      </c>
    </row>
    <row r="12307" spans="6:10">
      <c r="F12307">
        <f t="shared" si="56"/>
        <v>0</v>
      </c>
      <c r="G12307">
        <f>COUNTIF($D$2:D12307,D12307)</f>
        <v>0</v>
      </c>
      <c r="H12307" t="str">
        <f t="shared" si="57"/>
        <v xml:space="preserve"> - 0</v>
      </c>
      <c r="I12307">
        <f t="shared" si="58"/>
        <v>0</v>
      </c>
      <c r="J12307">
        <f t="shared" si="59"/>
        <v>0</v>
      </c>
    </row>
    <row r="12308" spans="6:10">
      <c r="F12308">
        <f t="shared" si="56"/>
        <v>0</v>
      </c>
      <c r="G12308">
        <f>COUNTIF($D$2:D12308,D12308)</f>
        <v>0</v>
      </c>
      <c r="H12308" t="str">
        <f t="shared" si="57"/>
        <v xml:space="preserve"> - 0</v>
      </c>
      <c r="I12308">
        <f t="shared" si="58"/>
        <v>0</v>
      </c>
      <c r="J12308">
        <f t="shared" si="59"/>
        <v>0</v>
      </c>
    </row>
    <row r="12309" spans="6:10">
      <c r="F12309">
        <f t="shared" si="56"/>
        <v>0</v>
      </c>
      <c r="G12309">
        <f>COUNTIF($D$2:D12309,D12309)</f>
        <v>0</v>
      </c>
      <c r="H12309" t="str">
        <f t="shared" si="57"/>
        <v xml:space="preserve"> - 0</v>
      </c>
      <c r="I12309">
        <f t="shared" si="58"/>
        <v>0</v>
      </c>
      <c r="J12309">
        <f t="shared" si="59"/>
        <v>0</v>
      </c>
    </row>
    <row r="12310" spans="6:10">
      <c r="F12310">
        <f t="shared" si="56"/>
        <v>0</v>
      </c>
      <c r="G12310">
        <f>COUNTIF($D$2:D12310,D12310)</f>
        <v>0</v>
      </c>
      <c r="H12310" t="str">
        <f t="shared" si="57"/>
        <v xml:space="preserve"> - 0</v>
      </c>
      <c r="I12310">
        <f t="shared" si="58"/>
        <v>0</v>
      </c>
      <c r="J12310">
        <f t="shared" si="59"/>
        <v>0</v>
      </c>
    </row>
    <row r="12311" spans="6:10">
      <c r="F12311">
        <f t="shared" si="56"/>
        <v>0</v>
      </c>
      <c r="G12311">
        <f>COUNTIF($D$2:D12311,D12311)</f>
        <v>0</v>
      </c>
      <c r="H12311" t="str">
        <f t="shared" si="57"/>
        <v xml:space="preserve"> - 0</v>
      </c>
      <c r="I12311">
        <f t="shared" si="58"/>
        <v>0</v>
      </c>
      <c r="J12311">
        <f t="shared" si="59"/>
        <v>0</v>
      </c>
    </row>
    <row r="12312" spans="6:10">
      <c r="F12312">
        <f t="shared" si="56"/>
        <v>0</v>
      </c>
      <c r="G12312">
        <f>COUNTIF($D$2:D12312,D12312)</f>
        <v>0</v>
      </c>
      <c r="H12312" t="str">
        <f t="shared" si="57"/>
        <v xml:space="preserve"> - 0</v>
      </c>
      <c r="I12312">
        <f t="shared" si="58"/>
        <v>0</v>
      </c>
      <c r="J12312">
        <f t="shared" si="59"/>
        <v>0</v>
      </c>
    </row>
    <row r="12313" spans="6:10">
      <c r="F12313">
        <f t="shared" si="56"/>
        <v>0</v>
      </c>
      <c r="G12313">
        <f>COUNTIF($D$2:D12313,D12313)</f>
        <v>0</v>
      </c>
      <c r="H12313" t="str">
        <f t="shared" si="57"/>
        <v xml:space="preserve"> - 0</v>
      </c>
      <c r="I12313">
        <f t="shared" si="58"/>
        <v>0</v>
      </c>
      <c r="J12313">
        <f t="shared" si="59"/>
        <v>0</v>
      </c>
    </row>
    <row r="12314" spans="6:10">
      <c r="F12314">
        <f t="shared" si="56"/>
        <v>0</v>
      </c>
      <c r="G12314">
        <f>COUNTIF($D$2:D12314,D12314)</f>
        <v>0</v>
      </c>
      <c r="H12314" t="str">
        <f t="shared" si="57"/>
        <v xml:space="preserve"> - 0</v>
      </c>
      <c r="I12314">
        <f t="shared" si="58"/>
        <v>0</v>
      </c>
      <c r="J12314">
        <f t="shared" si="59"/>
        <v>0</v>
      </c>
    </row>
    <row r="12315" spans="6:10">
      <c r="F12315">
        <f t="shared" si="56"/>
        <v>0</v>
      </c>
      <c r="G12315">
        <f>COUNTIF($D$2:D12315,D12315)</f>
        <v>0</v>
      </c>
      <c r="H12315" t="str">
        <f t="shared" si="57"/>
        <v xml:space="preserve"> - 0</v>
      </c>
      <c r="I12315">
        <f t="shared" si="58"/>
        <v>0</v>
      </c>
      <c r="J12315">
        <f t="shared" si="59"/>
        <v>0</v>
      </c>
    </row>
    <row r="12316" spans="6:10">
      <c r="F12316">
        <f t="shared" si="56"/>
        <v>0</v>
      </c>
      <c r="G12316">
        <f>COUNTIF($D$2:D12316,D12316)</f>
        <v>0</v>
      </c>
      <c r="H12316" t="str">
        <f t="shared" si="57"/>
        <v xml:space="preserve"> - 0</v>
      </c>
      <c r="I12316">
        <f t="shared" si="58"/>
        <v>0</v>
      </c>
      <c r="J12316">
        <f t="shared" si="59"/>
        <v>0</v>
      </c>
    </row>
    <row r="12317" spans="6:10">
      <c r="F12317">
        <f t="shared" si="56"/>
        <v>0</v>
      </c>
      <c r="G12317">
        <f>COUNTIF($D$2:D12317,D12317)</f>
        <v>0</v>
      </c>
      <c r="H12317" t="str">
        <f t="shared" si="57"/>
        <v xml:space="preserve"> - 0</v>
      </c>
      <c r="I12317">
        <f t="shared" si="58"/>
        <v>0</v>
      </c>
      <c r="J12317">
        <f t="shared" si="59"/>
        <v>0</v>
      </c>
    </row>
    <row r="12318" spans="6:10">
      <c r="F12318">
        <f t="shared" si="56"/>
        <v>0</v>
      </c>
      <c r="G12318">
        <f>COUNTIF($D$2:D12318,D12318)</f>
        <v>0</v>
      </c>
      <c r="H12318" t="str">
        <f t="shared" si="57"/>
        <v xml:space="preserve"> - 0</v>
      </c>
      <c r="I12318">
        <f t="shared" si="58"/>
        <v>0</v>
      </c>
      <c r="J12318">
        <f t="shared" si="59"/>
        <v>0</v>
      </c>
    </row>
    <row r="12319" spans="6:10">
      <c r="F12319">
        <f t="shared" si="56"/>
        <v>0</v>
      </c>
      <c r="G12319">
        <f>COUNTIF($D$2:D12319,D12319)</f>
        <v>0</v>
      </c>
      <c r="H12319" t="str">
        <f t="shared" si="57"/>
        <v xml:space="preserve"> - 0</v>
      </c>
      <c r="I12319">
        <f t="shared" si="58"/>
        <v>0</v>
      </c>
      <c r="J12319">
        <f t="shared" si="59"/>
        <v>0</v>
      </c>
    </row>
    <row r="12320" spans="6:10">
      <c r="F12320">
        <f t="shared" si="56"/>
        <v>0</v>
      </c>
      <c r="G12320">
        <f>COUNTIF($D$2:D12320,D12320)</f>
        <v>0</v>
      </c>
      <c r="H12320" t="str">
        <f t="shared" si="57"/>
        <v xml:space="preserve"> - 0</v>
      </c>
      <c r="I12320">
        <f t="shared" si="58"/>
        <v>0</v>
      </c>
      <c r="J12320">
        <f t="shared" si="59"/>
        <v>0</v>
      </c>
    </row>
    <row r="12321" spans="6:10">
      <c r="F12321">
        <f t="shared" si="56"/>
        <v>0</v>
      </c>
      <c r="G12321">
        <f>COUNTIF($D$2:D12321,D12321)</f>
        <v>0</v>
      </c>
      <c r="H12321" t="str">
        <f t="shared" si="57"/>
        <v xml:space="preserve"> - 0</v>
      </c>
      <c r="I12321">
        <f t="shared" si="58"/>
        <v>0</v>
      </c>
      <c r="J12321">
        <f t="shared" si="59"/>
        <v>0</v>
      </c>
    </row>
    <row r="12322" spans="6:10">
      <c r="F12322">
        <f t="shared" si="56"/>
        <v>0</v>
      </c>
      <c r="G12322">
        <f>COUNTIF($D$2:D12322,D12322)</f>
        <v>0</v>
      </c>
      <c r="H12322" t="str">
        <f t="shared" si="57"/>
        <v xml:space="preserve"> - 0</v>
      </c>
      <c r="I12322">
        <f t="shared" si="58"/>
        <v>0</v>
      </c>
      <c r="J12322">
        <f t="shared" si="59"/>
        <v>0</v>
      </c>
    </row>
    <row r="12323" spans="6:10">
      <c r="F12323">
        <f t="shared" si="56"/>
        <v>0</v>
      </c>
      <c r="G12323">
        <f>COUNTIF($D$2:D12323,D12323)</f>
        <v>0</v>
      </c>
      <c r="H12323" t="str">
        <f t="shared" si="57"/>
        <v xml:space="preserve"> - 0</v>
      </c>
      <c r="I12323">
        <f t="shared" si="58"/>
        <v>0</v>
      </c>
      <c r="J12323">
        <f t="shared" si="59"/>
        <v>0</v>
      </c>
    </row>
    <row r="12324" spans="6:10">
      <c r="F12324">
        <f t="shared" si="56"/>
        <v>0</v>
      </c>
      <c r="G12324">
        <f>COUNTIF($D$2:D12324,D12324)</f>
        <v>0</v>
      </c>
      <c r="H12324" t="str">
        <f t="shared" si="57"/>
        <v xml:space="preserve"> - 0</v>
      </c>
      <c r="I12324">
        <f t="shared" si="58"/>
        <v>0</v>
      </c>
      <c r="J12324">
        <f t="shared" si="59"/>
        <v>0</v>
      </c>
    </row>
    <row r="12325" spans="6:10">
      <c r="F12325">
        <f t="shared" si="56"/>
        <v>0</v>
      </c>
      <c r="G12325">
        <f>COUNTIF($D$2:D12325,D12325)</f>
        <v>0</v>
      </c>
      <c r="H12325" t="str">
        <f t="shared" si="57"/>
        <v xml:space="preserve"> - 0</v>
      </c>
      <c r="I12325">
        <f t="shared" si="58"/>
        <v>0</v>
      </c>
      <c r="J12325">
        <f t="shared" si="59"/>
        <v>0</v>
      </c>
    </row>
    <row r="12326" spans="6:10">
      <c r="F12326">
        <f t="shared" si="56"/>
        <v>0</v>
      </c>
      <c r="G12326">
        <f>COUNTIF($D$2:D12326,D12326)</f>
        <v>0</v>
      </c>
      <c r="H12326" t="str">
        <f t="shared" si="57"/>
        <v xml:space="preserve"> - 0</v>
      </c>
      <c r="I12326">
        <f t="shared" si="58"/>
        <v>0</v>
      </c>
      <c r="J12326">
        <f t="shared" si="59"/>
        <v>0</v>
      </c>
    </row>
    <row r="12327" spans="6:10">
      <c r="F12327">
        <f t="shared" si="56"/>
        <v>0</v>
      </c>
      <c r="G12327">
        <f>COUNTIF($D$2:D12327,D12327)</f>
        <v>0</v>
      </c>
      <c r="H12327" t="str">
        <f t="shared" si="57"/>
        <v xml:space="preserve"> - 0</v>
      </c>
      <c r="I12327">
        <f t="shared" si="58"/>
        <v>0</v>
      </c>
      <c r="J12327">
        <f t="shared" si="59"/>
        <v>0</v>
      </c>
    </row>
    <row r="12328" spans="6:10">
      <c r="F12328">
        <f t="shared" si="56"/>
        <v>0</v>
      </c>
      <c r="G12328">
        <f>COUNTIF($D$2:D12328,D12328)</f>
        <v>0</v>
      </c>
      <c r="H12328" t="str">
        <f t="shared" si="57"/>
        <v xml:space="preserve"> - 0</v>
      </c>
      <c r="I12328">
        <f t="shared" si="58"/>
        <v>0</v>
      </c>
      <c r="J12328">
        <f t="shared" si="59"/>
        <v>0</v>
      </c>
    </row>
    <row r="12329" spans="6:10">
      <c r="F12329">
        <f t="shared" ref="F12329:F12392" si="60">COUNTIF($D$2:$D$35910,D12329)</f>
        <v>0</v>
      </c>
      <c r="G12329">
        <f>COUNTIF($D$2:D12329,D12329)</f>
        <v>0</v>
      </c>
      <c r="H12329" t="str">
        <f t="shared" ref="H12329:H12392" si="61">D12329&amp;" - "&amp;G12329&amp;AH12329</f>
        <v xml:space="preserve"> - 0</v>
      </c>
      <c r="I12329">
        <f t="shared" ref="I12329:I12392" si="62">A12329</f>
        <v>0</v>
      </c>
      <c r="J12329">
        <f t="shared" ref="J12329:J12392" si="63">B12329</f>
        <v>0</v>
      </c>
    </row>
    <row r="12330" spans="6:10">
      <c r="F12330">
        <f t="shared" si="60"/>
        <v>0</v>
      </c>
      <c r="G12330">
        <f>COUNTIF($D$2:D12330,D12330)</f>
        <v>0</v>
      </c>
      <c r="H12330" t="str">
        <f t="shared" si="61"/>
        <v xml:space="preserve"> - 0</v>
      </c>
      <c r="I12330">
        <f t="shared" si="62"/>
        <v>0</v>
      </c>
      <c r="J12330">
        <f t="shared" si="63"/>
        <v>0</v>
      </c>
    </row>
    <row r="12331" spans="6:10">
      <c r="F12331">
        <f t="shared" si="60"/>
        <v>0</v>
      </c>
      <c r="G12331">
        <f>COUNTIF($D$2:D12331,D12331)</f>
        <v>0</v>
      </c>
      <c r="H12331" t="str">
        <f t="shared" si="61"/>
        <v xml:space="preserve"> - 0</v>
      </c>
      <c r="I12331">
        <f t="shared" si="62"/>
        <v>0</v>
      </c>
      <c r="J12331">
        <f t="shared" si="63"/>
        <v>0</v>
      </c>
    </row>
    <row r="12332" spans="6:10">
      <c r="F12332">
        <f t="shared" si="60"/>
        <v>0</v>
      </c>
      <c r="G12332">
        <f>COUNTIF($D$2:D12332,D12332)</f>
        <v>0</v>
      </c>
      <c r="H12332" t="str">
        <f t="shared" si="61"/>
        <v xml:space="preserve"> - 0</v>
      </c>
      <c r="I12332">
        <f t="shared" si="62"/>
        <v>0</v>
      </c>
      <c r="J12332">
        <f t="shared" si="63"/>
        <v>0</v>
      </c>
    </row>
    <row r="12333" spans="6:10">
      <c r="F12333">
        <f t="shared" si="60"/>
        <v>0</v>
      </c>
      <c r="G12333">
        <f>COUNTIF($D$2:D12333,D12333)</f>
        <v>0</v>
      </c>
      <c r="H12333" t="str">
        <f t="shared" si="61"/>
        <v xml:space="preserve"> - 0</v>
      </c>
      <c r="I12333">
        <f t="shared" si="62"/>
        <v>0</v>
      </c>
      <c r="J12333">
        <f t="shared" si="63"/>
        <v>0</v>
      </c>
    </row>
    <row r="12334" spans="6:10">
      <c r="F12334">
        <f t="shared" si="60"/>
        <v>0</v>
      </c>
      <c r="G12334">
        <f>COUNTIF($D$2:D12334,D12334)</f>
        <v>0</v>
      </c>
      <c r="H12334" t="str">
        <f t="shared" si="61"/>
        <v xml:space="preserve"> - 0</v>
      </c>
      <c r="I12334">
        <f t="shared" si="62"/>
        <v>0</v>
      </c>
      <c r="J12334">
        <f t="shared" si="63"/>
        <v>0</v>
      </c>
    </row>
    <row r="12335" spans="6:10">
      <c r="F12335">
        <f t="shared" si="60"/>
        <v>0</v>
      </c>
      <c r="G12335">
        <f>COUNTIF($D$2:D12335,D12335)</f>
        <v>0</v>
      </c>
      <c r="H12335" t="str">
        <f t="shared" si="61"/>
        <v xml:space="preserve"> - 0</v>
      </c>
      <c r="I12335">
        <f t="shared" si="62"/>
        <v>0</v>
      </c>
      <c r="J12335">
        <f t="shared" si="63"/>
        <v>0</v>
      </c>
    </row>
    <row r="12336" spans="6:10">
      <c r="F12336">
        <f t="shared" si="60"/>
        <v>0</v>
      </c>
      <c r="G12336">
        <f>COUNTIF($D$2:D12336,D12336)</f>
        <v>0</v>
      </c>
      <c r="H12336" t="str">
        <f t="shared" si="61"/>
        <v xml:space="preserve"> - 0</v>
      </c>
      <c r="I12336">
        <f t="shared" si="62"/>
        <v>0</v>
      </c>
      <c r="J12336">
        <f t="shared" si="63"/>
        <v>0</v>
      </c>
    </row>
    <row r="12337" spans="6:10">
      <c r="F12337">
        <f t="shared" si="60"/>
        <v>0</v>
      </c>
      <c r="G12337">
        <f>COUNTIF($D$2:D12337,D12337)</f>
        <v>0</v>
      </c>
      <c r="H12337" t="str">
        <f t="shared" si="61"/>
        <v xml:space="preserve"> - 0</v>
      </c>
      <c r="I12337">
        <f t="shared" si="62"/>
        <v>0</v>
      </c>
      <c r="J12337">
        <f t="shared" si="63"/>
        <v>0</v>
      </c>
    </row>
    <row r="12338" spans="6:10">
      <c r="F12338">
        <f t="shared" si="60"/>
        <v>0</v>
      </c>
      <c r="G12338">
        <f>COUNTIF($D$2:D12338,D12338)</f>
        <v>0</v>
      </c>
      <c r="H12338" t="str">
        <f t="shared" si="61"/>
        <v xml:space="preserve"> - 0</v>
      </c>
      <c r="I12338">
        <f t="shared" si="62"/>
        <v>0</v>
      </c>
      <c r="J12338">
        <f t="shared" si="63"/>
        <v>0</v>
      </c>
    </row>
    <row r="12339" spans="6:10">
      <c r="F12339">
        <f t="shared" si="60"/>
        <v>0</v>
      </c>
      <c r="G12339">
        <f>COUNTIF($D$2:D12339,D12339)</f>
        <v>0</v>
      </c>
      <c r="H12339" t="str">
        <f t="shared" si="61"/>
        <v xml:space="preserve"> - 0</v>
      </c>
      <c r="I12339">
        <f t="shared" si="62"/>
        <v>0</v>
      </c>
      <c r="J12339">
        <f t="shared" si="63"/>
        <v>0</v>
      </c>
    </row>
    <row r="12340" spans="6:10">
      <c r="F12340">
        <f t="shared" si="60"/>
        <v>0</v>
      </c>
      <c r="G12340">
        <f>COUNTIF($D$2:D12340,D12340)</f>
        <v>0</v>
      </c>
      <c r="H12340" t="str">
        <f t="shared" si="61"/>
        <v xml:space="preserve"> - 0</v>
      </c>
      <c r="I12340">
        <f t="shared" si="62"/>
        <v>0</v>
      </c>
      <c r="J12340">
        <f t="shared" si="63"/>
        <v>0</v>
      </c>
    </row>
    <row r="12341" spans="6:10">
      <c r="F12341">
        <f t="shared" si="60"/>
        <v>0</v>
      </c>
      <c r="G12341">
        <f>COUNTIF($D$2:D12341,D12341)</f>
        <v>0</v>
      </c>
      <c r="H12341" t="str">
        <f t="shared" si="61"/>
        <v xml:space="preserve"> - 0</v>
      </c>
      <c r="I12341">
        <f t="shared" si="62"/>
        <v>0</v>
      </c>
      <c r="J12341">
        <f t="shared" si="63"/>
        <v>0</v>
      </c>
    </row>
    <row r="12342" spans="6:10">
      <c r="F12342">
        <f t="shared" si="60"/>
        <v>0</v>
      </c>
      <c r="G12342">
        <f>COUNTIF($D$2:D12342,D12342)</f>
        <v>0</v>
      </c>
      <c r="H12342" t="str">
        <f t="shared" si="61"/>
        <v xml:space="preserve"> - 0</v>
      </c>
      <c r="I12342">
        <f t="shared" si="62"/>
        <v>0</v>
      </c>
      <c r="J12342">
        <f t="shared" si="63"/>
        <v>0</v>
      </c>
    </row>
    <row r="12343" spans="6:10">
      <c r="F12343">
        <f t="shared" si="60"/>
        <v>0</v>
      </c>
      <c r="G12343">
        <f>COUNTIF($D$2:D12343,D12343)</f>
        <v>0</v>
      </c>
      <c r="H12343" t="str">
        <f t="shared" si="61"/>
        <v xml:space="preserve"> - 0</v>
      </c>
      <c r="I12343">
        <f t="shared" si="62"/>
        <v>0</v>
      </c>
      <c r="J12343">
        <f t="shared" si="63"/>
        <v>0</v>
      </c>
    </row>
    <row r="12344" spans="6:10">
      <c r="F12344">
        <f t="shared" si="60"/>
        <v>0</v>
      </c>
      <c r="G12344">
        <f>COUNTIF($D$2:D12344,D12344)</f>
        <v>0</v>
      </c>
      <c r="H12344" t="str">
        <f t="shared" si="61"/>
        <v xml:space="preserve"> - 0</v>
      </c>
      <c r="I12344">
        <f t="shared" si="62"/>
        <v>0</v>
      </c>
      <c r="J12344">
        <f t="shared" si="63"/>
        <v>0</v>
      </c>
    </row>
    <row r="12345" spans="6:10">
      <c r="F12345">
        <f t="shared" si="60"/>
        <v>0</v>
      </c>
      <c r="G12345">
        <f>COUNTIF($D$2:D12345,D12345)</f>
        <v>0</v>
      </c>
      <c r="H12345" t="str">
        <f t="shared" si="61"/>
        <v xml:space="preserve"> - 0</v>
      </c>
      <c r="I12345">
        <f t="shared" si="62"/>
        <v>0</v>
      </c>
      <c r="J12345">
        <f t="shared" si="63"/>
        <v>0</v>
      </c>
    </row>
    <row r="12346" spans="6:10">
      <c r="F12346">
        <f t="shared" si="60"/>
        <v>0</v>
      </c>
      <c r="G12346">
        <f>COUNTIF($D$2:D12346,D12346)</f>
        <v>0</v>
      </c>
      <c r="H12346" t="str">
        <f t="shared" si="61"/>
        <v xml:space="preserve"> - 0</v>
      </c>
      <c r="I12346">
        <f t="shared" si="62"/>
        <v>0</v>
      </c>
      <c r="J12346">
        <f t="shared" si="63"/>
        <v>0</v>
      </c>
    </row>
    <row r="12347" spans="6:10">
      <c r="F12347">
        <f t="shared" si="60"/>
        <v>0</v>
      </c>
      <c r="G12347">
        <f>COUNTIF($D$2:D12347,D12347)</f>
        <v>0</v>
      </c>
      <c r="H12347" t="str">
        <f t="shared" si="61"/>
        <v xml:space="preserve"> - 0</v>
      </c>
      <c r="I12347">
        <f t="shared" si="62"/>
        <v>0</v>
      </c>
      <c r="J12347">
        <f t="shared" si="63"/>
        <v>0</v>
      </c>
    </row>
    <row r="12348" spans="6:10">
      <c r="F12348">
        <f t="shared" si="60"/>
        <v>0</v>
      </c>
      <c r="G12348">
        <f>COUNTIF($D$2:D12348,D12348)</f>
        <v>0</v>
      </c>
      <c r="H12348" t="str">
        <f t="shared" si="61"/>
        <v xml:space="preserve"> - 0</v>
      </c>
      <c r="I12348">
        <f t="shared" si="62"/>
        <v>0</v>
      </c>
      <c r="J12348">
        <f t="shared" si="63"/>
        <v>0</v>
      </c>
    </row>
    <row r="12349" spans="6:10">
      <c r="F12349">
        <f t="shared" si="60"/>
        <v>0</v>
      </c>
      <c r="G12349">
        <f>COUNTIF($D$2:D12349,D12349)</f>
        <v>0</v>
      </c>
      <c r="H12349" t="str">
        <f t="shared" si="61"/>
        <v xml:space="preserve"> - 0</v>
      </c>
      <c r="I12349">
        <f t="shared" si="62"/>
        <v>0</v>
      </c>
      <c r="J12349">
        <f t="shared" si="63"/>
        <v>0</v>
      </c>
    </row>
    <row r="12350" spans="6:10">
      <c r="F12350">
        <f t="shared" si="60"/>
        <v>0</v>
      </c>
      <c r="G12350">
        <f>COUNTIF($D$2:D12350,D12350)</f>
        <v>0</v>
      </c>
      <c r="H12350" t="str">
        <f t="shared" si="61"/>
        <v xml:space="preserve"> - 0</v>
      </c>
      <c r="I12350">
        <f t="shared" si="62"/>
        <v>0</v>
      </c>
      <c r="J12350">
        <f t="shared" si="63"/>
        <v>0</v>
      </c>
    </row>
    <row r="12351" spans="6:10">
      <c r="F12351">
        <f t="shared" si="60"/>
        <v>0</v>
      </c>
      <c r="G12351">
        <f>COUNTIF($D$2:D12351,D12351)</f>
        <v>0</v>
      </c>
      <c r="H12351" t="str">
        <f t="shared" si="61"/>
        <v xml:space="preserve"> - 0</v>
      </c>
      <c r="I12351">
        <f t="shared" si="62"/>
        <v>0</v>
      </c>
      <c r="J12351">
        <f t="shared" si="63"/>
        <v>0</v>
      </c>
    </row>
    <row r="12352" spans="6:10">
      <c r="F12352">
        <f t="shared" si="60"/>
        <v>0</v>
      </c>
      <c r="G12352">
        <f>COUNTIF($D$2:D12352,D12352)</f>
        <v>0</v>
      </c>
      <c r="H12352" t="str">
        <f t="shared" si="61"/>
        <v xml:space="preserve"> - 0</v>
      </c>
      <c r="I12352">
        <f t="shared" si="62"/>
        <v>0</v>
      </c>
      <c r="J12352">
        <f t="shared" si="63"/>
        <v>0</v>
      </c>
    </row>
    <row r="12353" spans="6:10">
      <c r="F12353">
        <f t="shared" si="60"/>
        <v>0</v>
      </c>
      <c r="G12353">
        <f>COUNTIF($D$2:D12353,D12353)</f>
        <v>0</v>
      </c>
      <c r="H12353" t="str">
        <f t="shared" si="61"/>
        <v xml:space="preserve"> - 0</v>
      </c>
      <c r="I12353">
        <f t="shared" si="62"/>
        <v>0</v>
      </c>
      <c r="J12353">
        <f t="shared" si="63"/>
        <v>0</v>
      </c>
    </row>
    <row r="12354" spans="6:10">
      <c r="F12354">
        <f t="shared" si="60"/>
        <v>0</v>
      </c>
      <c r="G12354">
        <f>COUNTIF($D$2:D12354,D12354)</f>
        <v>0</v>
      </c>
      <c r="H12354" t="str">
        <f t="shared" si="61"/>
        <v xml:space="preserve"> - 0</v>
      </c>
      <c r="I12354">
        <f t="shared" si="62"/>
        <v>0</v>
      </c>
      <c r="J12354">
        <f t="shared" si="63"/>
        <v>0</v>
      </c>
    </row>
    <row r="12355" spans="6:10">
      <c r="F12355">
        <f t="shared" si="60"/>
        <v>0</v>
      </c>
      <c r="G12355">
        <f>COUNTIF($D$2:D12355,D12355)</f>
        <v>0</v>
      </c>
      <c r="H12355" t="str">
        <f t="shared" si="61"/>
        <v xml:space="preserve"> - 0</v>
      </c>
      <c r="I12355">
        <f t="shared" si="62"/>
        <v>0</v>
      </c>
      <c r="J12355">
        <f t="shared" si="63"/>
        <v>0</v>
      </c>
    </row>
    <row r="12356" spans="6:10">
      <c r="F12356">
        <f t="shared" si="60"/>
        <v>0</v>
      </c>
      <c r="G12356">
        <f>COUNTIF($D$2:D12356,D12356)</f>
        <v>0</v>
      </c>
      <c r="H12356" t="str">
        <f t="shared" si="61"/>
        <v xml:space="preserve"> - 0</v>
      </c>
      <c r="I12356">
        <f t="shared" si="62"/>
        <v>0</v>
      </c>
      <c r="J12356">
        <f t="shared" si="63"/>
        <v>0</v>
      </c>
    </row>
    <row r="12357" spans="6:10">
      <c r="F12357">
        <f t="shared" si="60"/>
        <v>0</v>
      </c>
      <c r="G12357">
        <f>COUNTIF($D$2:D12357,D12357)</f>
        <v>0</v>
      </c>
      <c r="H12357" t="str">
        <f t="shared" si="61"/>
        <v xml:space="preserve"> - 0</v>
      </c>
      <c r="I12357">
        <f t="shared" si="62"/>
        <v>0</v>
      </c>
      <c r="J12357">
        <f t="shared" si="63"/>
        <v>0</v>
      </c>
    </row>
    <row r="12358" spans="6:10">
      <c r="F12358">
        <f t="shared" si="60"/>
        <v>0</v>
      </c>
      <c r="G12358">
        <f>COUNTIF($D$2:D12358,D12358)</f>
        <v>0</v>
      </c>
      <c r="H12358" t="str">
        <f t="shared" si="61"/>
        <v xml:space="preserve"> - 0</v>
      </c>
      <c r="I12358">
        <f t="shared" si="62"/>
        <v>0</v>
      </c>
      <c r="J12358">
        <f t="shared" si="63"/>
        <v>0</v>
      </c>
    </row>
    <row r="12359" spans="6:10">
      <c r="F12359">
        <f t="shared" si="60"/>
        <v>0</v>
      </c>
      <c r="G12359">
        <f>COUNTIF($D$2:D12359,D12359)</f>
        <v>0</v>
      </c>
      <c r="H12359" t="str">
        <f t="shared" si="61"/>
        <v xml:space="preserve"> - 0</v>
      </c>
      <c r="I12359">
        <f t="shared" si="62"/>
        <v>0</v>
      </c>
      <c r="J12359">
        <f t="shared" si="63"/>
        <v>0</v>
      </c>
    </row>
    <row r="12360" spans="6:10">
      <c r="F12360">
        <f t="shared" si="60"/>
        <v>0</v>
      </c>
      <c r="G12360">
        <f>COUNTIF($D$2:D12360,D12360)</f>
        <v>0</v>
      </c>
      <c r="H12360" t="str">
        <f t="shared" si="61"/>
        <v xml:space="preserve"> - 0</v>
      </c>
      <c r="I12360">
        <f t="shared" si="62"/>
        <v>0</v>
      </c>
      <c r="J12360">
        <f t="shared" si="63"/>
        <v>0</v>
      </c>
    </row>
    <row r="12361" spans="6:10">
      <c r="F12361">
        <f t="shared" si="60"/>
        <v>0</v>
      </c>
      <c r="G12361">
        <f>COUNTIF($D$2:D12361,D12361)</f>
        <v>0</v>
      </c>
      <c r="H12361" t="str">
        <f t="shared" si="61"/>
        <v xml:space="preserve"> - 0</v>
      </c>
      <c r="I12361">
        <f t="shared" si="62"/>
        <v>0</v>
      </c>
      <c r="J12361">
        <f t="shared" si="63"/>
        <v>0</v>
      </c>
    </row>
    <row r="12362" spans="6:10">
      <c r="F12362">
        <f t="shared" si="60"/>
        <v>0</v>
      </c>
      <c r="G12362">
        <f>COUNTIF($D$2:D12362,D12362)</f>
        <v>0</v>
      </c>
      <c r="H12362" t="str">
        <f t="shared" si="61"/>
        <v xml:space="preserve"> - 0</v>
      </c>
      <c r="I12362">
        <f t="shared" si="62"/>
        <v>0</v>
      </c>
      <c r="J12362">
        <f t="shared" si="63"/>
        <v>0</v>
      </c>
    </row>
    <row r="12363" spans="6:10">
      <c r="F12363">
        <f t="shared" si="60"/>
        <v>0</v>
      </c>
      <c r="G12363">
        <f>COUNTIF($D$2:D12363,D12363)</f>
        <v>0</v>
      </c>
      <c r="H12363" t="str">
        <f t="shared" si="61"/>
        <v xml:space="preserve"> - 0</v>
      </c>
      <c r="I12363">
        <f t="shared" si="62"/>
        <v>0</v>
      </c>
      <c r="J12363">
        <f t="shared" si="63"/>
        <v>0</v>
      </c>
    </row>
    <row r="12364" spans="6:10">
      <c r="F12364">
        <f t="shared" si="60"/>
        <v>0</v>
      </c>
      <c r="G12364">
        <f>COUNTIF($D$2:D12364,D12364)</f>
        <v>0</v>
      </c>
      <c r="H12364" t="str">
        <f t="shared" si="61"/>
        <v xml:space="preserve"> - 0</v>
      </c>
      <c r="I12364">
        <f t="shared" si="62"/>
        <v>0</v>
      </c>
      <c r="J12364">
        <f t="shared" si="63"/>
        <v>0</v>
      </c>
    </row>
    <row r="12365" spans="6:10">
      <c r="F12365">
        <f t="shared" si="60"/>
        <v>0</v>
      </c>
      <c r="G12365">
        <f>COUNTIF($D$2:D12365,D12365)</f>
        <v>0</v>
      </c>
      <c r="H12365" t="str">
        <f t="shared" si="61"/>
        <v xml:space="preserve"> - 0</v>
      </c>
      <c r="I12365">
        <f t="shared" si="62"/>
        <v>0</v>
      </c>
      <c r="J12365">
        <f t="shared" si="63"/>
        <v>0</v>
      </c>
    </row>
    <row r="12366" spans="6:10">
      <c r="F12366">
        <f t="shared" si="60"/>
        <v>0</v>
      </c>
      <c r="G12366">
        <f>COUNTIF($D$2:D12366,D12366)</f>
        <v>0</v>
      </c>
      <c r="H12366" t="str">
        <f t="shared" si="61"/>
        <v xml:space="preserve"> - 0</v>
      </c>
      <c r="I12366">
        <f t="shared" si="62"/>
        <v>0</v>
      </c>
      <c r="J12366">
        <f t="shared" si="63"/>
        <v>0</v>
      </c>
    </row>
    <row r="12367" spans="6:10">
      <c r="F12367">
        <f t="shared" si="60"/>
        <v>0</v>
      </c>
      <c r="G12367">
        <f>COUNTIF($D$2:D12367,D12367)</f>
        <v>0</v>
      </c>
      <c r="H12367" t="str">
        <f t="shared" si="61"/>
        <v xml:space="preserve"> - 0</v>
      </c>
      <c r="I12367">
        <f t="shared" si="62"/>
        <v>0</v>
      </c>
      <c r="J12367">
        <f t="shared" si="63"/>
        <v>0</v>
      </c>
    </row>
    <row r="12368" spans="6:10">
      <c r="F12368">
        <f t="shared" si="60"/>
        <v>0</v>
      </c>
      <c r="G12368">
        <f>COUNTIF($D$2:D12368,D12368)</f>
        <v>0</v>
      </c>
      <c r="H12368" t="str">
        <f t="shared" si="61"/>
        <v xml:space="preserve"> - 0</v>
      </c>
      <c r="I12368">
        <f t="shared" si="62"/>
        <v>0</v>
      </c>
      <c r="J12368">
        <f t="shared" si="63"/>
        <v>0</v>
      </c>
    </row>
    <row r="12369" spans="6:10">
      <c r="F12369">
        <f t="shared" si="60"/>
        <v>0</v>
      </c>
      <c r="G12369">
        <f>COUNTIF($D$2:D12369,D12369)</f>
        <v>0</v>
      </c>
      <c r="H12369" t="str">
        <f t="shared" si="61"/>
        <v xml:space="preserve"> - 0</v>
      </c>
      <c r="I12369">
        <f t="shared" si="62"/>
        <v>0</v>
      </c>
      <c r="J12369">
        <f t="shared" si="63"/>
        <v>0</v>
      </c>
    </row>
    <row r="12370" spans="6:10">
      <c r="F12370">
        <f t="shared" si="60"/>
        <v>0</v>
      </c>
      <c r="G12370">
        <f>COUNTIF($D$2:D12370,D12370)</f>
        <v>0</v>
      </c>
      <c r="H12370" t="str">
        <f t="shared" si="61"/>
        <v xml:space="preserve"> - 0</v>
      </c>
      <c r="I12370">
        <f t="shared" si="62"/>
        <v>0</v>
      </c>
      <c r="J12370">
        <f t="shared" si="63"/>
        <v>0</v>
      </c>
    </row>
    <row r="12371" spans="6:10">
      <c r="F12371">
        <f t="shared" si="60"/>
        <v>0</v>
      </c>
      <c r="G12371">
        <f>COUNTIF($D$2:D12371,D12371)</f>
        <v>0</v>
      </c>
      <c r="H12371" t="str">
        <f t="shared" si="61"/>
        <v xml:space="preserve"> - 0</v>
      </c>
      <c r="I12371">
        <f t="shared" si="62"/>
        <v>0</v>
      </c>
      <c r="J12371">
        <f t="shared" si="63"/>
        <v>0</v>
      </c>
    </row>
    <row r="12372" spans="6:10">
      <c r="F12372">
        <f t="shared" si="60"/>
        <v>0</v>
      </c>
      <c r="G12372">
        <f>COUNTIF($D$2:D12372,D12372)</f>
        <v>0</v>
      </c>
      <c r="H12372" t="str">
        <f t="shared" si="61"/>
        <v xml:space="preserve"> - 0</v>
      </c>
      <c r="I12372">
        <f t="shared" si="62"/>
        <v>0</v>
      </c>
      <c r="J12372">
        <f t="shared" si="63"/>
        <v>0</v>
      </c>
    </row>
    <row r="12373" spans="6:10">
      <c r="F12373">
        <f t="shared" si="60"/>
        <v>0</v>
      </c>
      <c r="G12373">
        <f>COUNTIF($D$2:D12373,D12373)</f>
        <v>0</v>
      </c>
      <c r="H12373" t="str">
        <f t="shared" si="61"/>
        <v xml:space="preserve"> - 0</v>
      </c>
      <c r="I12373">
        <f t="shared" si="62"/>
        <v>0</v>
      </c>
      <c r="J12373">
        <f t="shared" si="63"/>
        <v>0</v>
      </c>
    </row>
    <row r="12374" spans="6:10">
      <c r="F12374">
        <f t="shared" si="60"/>
        <v>0</v>
      </c>
      <c r="G12374">
        <f>COUNTIF($D$2:D12374,D12374)</f>
        <v>0</v>
      </c>
      <c r="H12374" t="str">
        <f t="shared" si="61"/>
        <v xml:space="preserve"> - 0</v>
      </c>
      <c r="I12374">
        <f t="shared" si="62"/>
        <v>0</v>
      </c>
      <c r="J12374">
        <f t="shared" si="63"/>
        <v>0</v>
      </c>
    </row>
    <row r="12375" spans="6:10">
      <c r="F12375">
        <f t="shared" si="60"/>
        <v>0</v>
      </c>
      <c r="G12375">
        <f>COUNTIF($D$2:D12375,D12375)</f>
        <v>0</v>
      </c>
      <c r="H12375" t="str">
        <f t="shared" si="61"/>
        <v xml:space="preserve"> - 0</v>
      </c>
      <c r="I12375">
        <f t="shared" si="62"/>
        <v>0</v>
      </c>
      <c r="J12375">
        <f t="shared" si="63"/>
        <v>0</v>
      </c>
    </row>
    <row r="12376" spans="6:10">
      <c r="F12376">
        <f t="shared" si="60"/>
        <v>0</v>
      </c>
      <c r="G12376">
        <f>COUNTIF($D$2:D12376,D12376)</f>
        <v>0</v>
      </c>
      <c r="H12376" t="str">
        <f t="shared" si="61"/>
        <v xml:space="preserve"> - 0</v>
      </c>
      <c r="I12376">
        <f t="shared" si="62"/>
        <v>0</v>
      </c>
      <c r="J12376">
        <f t="shared" si="63"/>
        <v>0</v>
      </c>
    </row>
    <row r="12377" spans="6:10">
      <c r="F12377">
        <f t="shared" si="60"/>
        <v>0</v>
      </c>
      <c r="G12377">
        <f>COUNTIF($D$2:D12377,D12377)</f>
        <v>0</v>
      </c>
      <c r="H12377" t="str">
        <f t="shared" si="61"/>
        <v xml:space="preserve"> - 0</v>
      </c>
      <c r="I12377">
        <f t="shared" si="62"/>
        <v>0</v>
      </c>
      <c r="J12377">
        <f t="shared" si="63"/>
        <v>0</v>
      </c>
    </row>
    <row r="12378" spans="6:10">
      <c r="F12378">
        <f t="shared" si="60"/>
        <v>0</v>
      </c>
      <c r="G12378">
        <f>COUNTIF($D$2:D12378,D12378)</f>
        <v>0</v>
      </c>
      <c r="H12378" t="str">
        <f t="shared" si="61"/>
        <v xml:space="preserve"> - 0</v>
      </c>
      <c r="I12378">
        <f t="shared" si="62"/>
        <v>0</v>
      </c>
      <c r="J12378">
        <f t="shared" si="63"/>
        <v>0</v>
      </c>
    </row>
    <row r="12379" spans="6:10">
      <c r="F12379">
        <f t="shared" si="60"/>
        <v>0</v>
      </c>
      <c r="G12379">
        <f>COUNTIF($D$2:D12379,D12379)</f>
        <v>0</v>
      </c>
      <c r="H12379" t="str">
        <f t="shared" si="61"/>
        <v xml:space="preserve"> - 0</v>
      </c>
      <c r="I12379">
        <f t="shared" si="62"/>
        <v>0</v>
      </c>
      <c r="J12379">
        <f t="shared" si="63"/>
        <v>0</v>
      </c>
    </row>
    <row r="12380" spans="6:10">
      <c r="F12380">
        <f t="shared" si="60"/>
        <v>0</v>
      </c>
      <c r="G12380">
        <f>COUNTIF($D$2:D12380,D12380)</f>
        <v>0</v>
      </c>
      <c r="H12380" t="str">
        <f t="shared" si="61"/>
        <v xml:space="preserve"> - 0</v>
      </c>
      <c r="I12380">
        <f t="shared" si="62"/>
        <v>0</v>
      </c>
      <c r="J12380">
        <f t="shared" si="63"/>
        <v>0</v>
      </c>
    </row>
    <row r="12381" spans="6:10">
      <c r="F12381">
        <f t="shared" si="60"/>
        <v>0</v>
      </c>
      <c r="G12381">
        <f>COUNTIF($D$2:D12381,D12381)</f>
        <v>0</v>
      </c>
      <c r="H12381" t="str">
        <f t="shared" si="61"/>
        <v xml:space="preserve"> - 0</v>
      </c>
      <c r="I12381">
        <f t="shared" si="62"/>
        <v>0</v>
      </c>
      <c r="J12381">
        <f t="shared" si="63"/>
        <v>0</v>
      </c>
    </row>
    <row r="12382" spans="6:10">
      <c r="F12382">
        <f t="shared" si="60"/>
        <v>0</v>
      </c>
      <c r="G12382">
        <f>COUNTIF($D$2:D12382,D12382)</f>
        <v>0</v>
      </c>
      <c r="H12382" t="str">
        <f t="shared" si="61"/>
        <v xml:space="preserve"> - 0</v>
      </c>
      <c r="I12382">
        <f t="shared" si="62"/>
        <v>0</v>
      </c>
      <c r="J12382">
        <f t="shared" si="63"/>
        <v>0</v>
      </c>
    </row>
    <row r="12383" spans="6:10">
      <c r="F12383">
        <f t="shared" si="60"/>
        <v>0</v>
      </c>
      <c r="G12383">
        <f>COUNTIF($D$2:D12383,D12383)</f>
        <v>0</v>
      </c>
      <c r="H12383" t="str">
        <f t="shared" si="61"/>
        <v xml:space="preserve"> - 0</v>
      </c>
      <c r="I12383">
        <f t="shared" si="62"/>
        <v>0</v>
      </c>
      <c r="J12383">
        <f t="shared" si="63"/>
        <v>0</v>
      </c>
    </row>
    <row r="12384" spans="6:10">
      <c r="F12384">
        <f t="shared" si="60"/>
        <v>0</v>
      </c>
      <c r="G12384">
        <f>COUNTIF($D$2:D12384,D12384)</f>
        <v>0</v>
      </c>
      <c r="H12384" t="str">
        <f t="shared" si="61"/>
        <v xml:space="preserve"> - 0</v>
      </c>
      <c r="I12384">
        <f t="shared" si="62"/>
        <v>0</v>
      </c>
      <c r="J12384">
        <f t="shared" si="63"/>
        <v>0</v>
      </c>
    </row>
    <row r="12385" spans="6:10">
      <c r="F12385">
        <f t="shared" si="60"/>
        <v>0</v>
      </c>
      <c r="G12385">
        <f>COUNTIF($D$2:D12385,D12385)</f>
        <v>0</v>
      </c>
      <c r="H12385" t="str">
        <f t="shared" si="61"/>
        <v xml:space="preserve"> - 0</v>
      </c>
      <c r="I12385">
        <f t="shared" si="62"/>
        <v>0</v>
      </c>
      <c r="J12385">
        <f t="shared" si="63"/>
        <v>0</v>
      </c>
    </row>
    <row r="12386" spans="6:10">
      <c r="F12386">
        <f t="shared" si="60"/>
        <v>0</v>
      </c>
      <c r="G12386">
        <f>COUNTIF($D$2:D12386,D12386)</f>
        <v>0</v>
      </c>
      <c r="H12386" t="str">
        <f t="shared" si="61"/>
        <v xml:space="preserve"> - 0</v>
      </c>
      <c r="I12386">
        <f t="shared" si="62"/>
        <v>0</v>
      </c>
      <c r="J12386">
        <f t="shared" si="63"/>
        <v>0</v>
      </c>
    </row>
    <row r="12387" spans="6:10">
      <c r="F12387">
        <f t="shared" si="60"/>
        <v>0</v>
      </c>
      <c r="G12387">
        <f>COUNTIF($D$2:D12387,D12387)</f>
        <v>0</v>
      </c>
      <c r="H12387" t="str">
        <f t="shared" si="61"/>
        <v xml:space="preserve"> - 0</v>
      </c>
      <c r="I12387">
        <f t="shared" si="62"/>
        <v>0</v>
      </c>
      <c r="J12387">
        <f t="shared" si="63"/>
        <v>0</v>
      </c>
    </row>
    <row r="12388" spans="6:10">
      <c r="F12388">
        <f t="shared" si="60"/>
        <v>0</v>
      </c>
      <c r="G12388">
        <f>COUNTIF($D$2:D12388,D12388)</f>
        <v>0</v>
      </c>
      <c r="H12388" t="str">
        <f t="shared" si="61"/>
        <v xml:space="preserve"> - 0</v>
      </c>
      <c r="I12388">
        <f t="shared" si="62"/>
        <v>0</v>
      </c>
      <c r="J12388">
        <f t="shared" si="63"/>
        <v>0</v>
      </c>
    </row>
    <row r="12389" spans="6:10">
      <c r="F12389">
        <f t="shared" si="60"/>
        <v>0</v>
      </c>
      <c r="G12389">
        <f>COUNTIF($D$2:D12389,D12389)</f>
        <v>0</v>
      </c>
      <c r="H12389" t="str">
        <f t="shared" si="61"/>
        <v xml:space="preserve"> - 0</v>
      </c>
      <c r="I12389">
        <f t="shared" si="62"/>
        <v>0</v>
      </c>
      <c r="J12389">
        <f t="shared" si="63"/>
        <v>0</v>
      </c>
    </row>
    <row r="12390" spans="6:10">
      <c r="F12390">
        <f t="shared" si="60"/>
        <v>0</v>
      </c>
      <c r="G12390">
        <f>COUNTIF($D$2:D12390,D12390)</f>
        <v>0</v>
      </c>
      <c r="H12390" t="str">
        <f t="shared" si="61"/>
        <v xml:space="preserve"> - 0</v>
      </c>
      <c r="I12390">
        <f t="shared" si="62"/>
        <v>0</v>
      </c>
      <c r="J12390">
        <f t="shared" si="63"/>
        <v>0</v>
      </c>
    </row>
    <row r="12391" spans="6:10">
      <c r="F12391">
        <f t="shared" si="60"/>
        <v>0</v>
      </c>
      <c r="G12391">
        <f>COUNTIF($D$2:D12391,D12391)</f>
        <v>0</v>
      </c>
      <c r="H12391" t="str">
        <f t="shared" si="61"/>
        <v xml:space="preserve"> - 0</v>
      </c>
      <c r="I12391">
        <f t="shared" si="62"/>
        <v>0</v>
      </c>
      <c r="J12391">
        <f t="shared" si="63"/>
        <v>0</v>
      </c>
    </row>
    <row r="12392" spans="6:10">
      <c r="F12392">
        <f t="shared" si="60"/>
        <v>0</v>
      </c>
      <c r="G12392">
        <f>COUNTIF($D$2:D12392,D12392)</f>
        <v>0</v>
      </c>
      <c r="H12392" t="str">
        <f t="shared" si="61"/>
        <v xml:space="preserve"> - 0</v>
      </c>
      <c r="I12392">
        <f t="shared" si="62"/>
        <v>0</v>
      </c>
      <c r="J12392">
        <f t="shared" si="63"/>
        <v>0</v>
      </c>
    </row>
    <row r="12393" spans="6:10">
      <c r="F12393">
        <f t="shared" ref="F12393:F12456" si="64">COUNTIF($D$2:$D$35910,D12393)</f>
        <v>0</v>
      </c>
      <c r="G12393">
        <f>COUNTIF($D$2:D12393,D12393)</f>
        <v>0</v>
      </c>
      <c r="H12393" t="str">
        <f t="shared" ref="H12393:H12456" si="65">D12393&amp;" - "&amp;G12393&amp;AH12393</f>
        <v xml:space="preserve"> - 0</v>
      </c>
      <c r="I12393">
        <f t="shared" ref="I12393:I12456" si="66">A12393</f>
        <v>0</v>
      </c>
      <c r="J12393">
        <f t="shared" ref="J12393:J12456" si="67">B12393</f>
        <v>0</v>
      </c>
    </row>
    <row r="12394" spans="6:10">
      <c r="F12394">
        <f t="shared" si="64"/>
        <v>0</v>
      </c>
      <c r="G12394">
        <f>COUNTIF($D$2:D12394,D12394)</f>
        <v>0</v>
      </c>
      <c r="H12394" t="str">
        <f t="shared" si="65"/>
        <v xml:space="preserve"> - 0</v>
      </c>
      <c r="I12394">
        <f t="shared" si="66"/>
        <v>0</v>
      </c>
      <c r="J12394">
        <f t="shared" si="67"/>
        <v>0</v>
      </c>
    </row>
    <row r="12395" spans="6:10">
      <c r="F12395">
        <f t="shared" si="64"/>
        <v>0</v>
      </c>
      <c r="G12395">
        <f>COUNTIF($D$2:D12395,D12395)</f>
        <v>0</v>
      </c>
      <c r="H12395" t="str">
        <f t="shared" si="65"/>
        <v xml:space="preserve"> - 0</v>
      </c>
      <c r="I12395">
        <f t="shared" si="66"/>
        <v>0</v>
      </c>
      <c r="J12395">
        <f t="shared" si="67"/>
        <v>0</v>
      </c>
    </row>
    <row r="12396" spans="6:10">
      <c r="F12396">
        <f t="shared" si="64"/>
        <v>0</v>
      </c>
      <c r="G12396">
        <f>COUNTIF($D$2:D12396,D12396)</f>
        <v>0</v>
      </c>
      <c r="H12396" t="str">
        <f t="shared" si="65"/>
        <v xml:space="preserve"> - 0</v>
      </c>
      <c r="I12396">
        <f t="shared" si="66"/>
        <v>0</v>
      </c>
      <c r="J12396">
        <f t="shared" si="67"/>
        <v>0</v>
      </c>
    </row>
    <row r="12397" spans="6:10">
      <c r="F12397">
        <f t="shared" si="64"/>
        <v>0</v>
      </c>
      <c r="G12397">
        <f>COUNTIF($D$2:D12397,D12397)</f>
        <v>0</v>
      </c>
      <c r="H12397" t="str">
        <f t="shared" si="65"/>
        <v xml:space="preserve"> - 0</v>
      </c>
      <c r="I12397">
        <f t="shared" si="66"/>
        <v>0</v>
      </c>
      <c r="J12397">
        <f t="shared" si="67"/>
        <v>0</v>
      </c>
    </row>
    <row r="12398" spans="6:10">
      <c r="F12398">
        <f t="shared" si="64"/>
        <v>0</v>
      </c>
      <c r="G12398">
        <f>COUNTIF($D$2:D12398,D12398)</f>
        <v>0</v>
      </c>
      <c r="H12398" t="str">
        <f t="shared" si="65"/>
        <v xml:space="preserve"> - 0</v>
      </c>
      <c r="I12398">
        <f t="shared" si="66"/>
        <v>0</v>
      </c>
      <c r="J12398">
        <f t="shared" si="67"/>
        <v>0</v>
      </c>
    </row>
    <row r="12399" spans="6:10">
      <c r="F12399">
        <f t="shared" si="64"/>
        <v>0</v>
      </c>
      <c r="G12399">
        <f>COUNTIF($D$2:D12399,D12399)</f>
        <v>0</v>
      </c>
      <c r="H12399" t="str">
        <f t="shared" si="65"/>
        <v xml:space="preserve"> - 0</v>
      </c>
      <c r="I12399">
        <f t="shared" si="66"/>
        <v>0</v>
      </c>
      <c r="J12399">
        <f t="shared" si="67"/>
        <v>0</v>
      </c>
    </row>
    <row r="12400" spans="6:10">
      <c r="F12400">
        <f t="shared" si="64"/>
        <v>0</v>
      </c>
      <c r="G12400">
        <f>COUNTIF($D$2:D12400,D12400)</f>
        <v>0</v>
      </c>
      <c r="H12400" t="str">
        <f t="shared" si="65"/>
        <v xml:space="preserve"> - 0</v>
      </c>
      <c r="I12400">
        <f t="shared" si="66"/>
        <v>0</v>
      </c>
      <c r="J12400">
        <f t="shared" si="67"/>
        <v>0</v>
      </c>
    </row>
    <row r="12401" spans="6:10">
      <c r="F12401">
        <f t="shared" si="64"/>
        <v>0</v>
      </c>
      <c r="G12401">
        <f>COUNTIF($D$2:D12401,D12401)</f>
        <v>0</v>
      </c>
      <c r="H12401" t="str">
        <f t="shared" si="65"/>
        <v xml:space="preserve"> - 0</v>
      </c>
      <c r="I12401">
        <f t="shared" si="66"/>
        <v>0</v>
      </c>
      <c r="J12401">
        <f t="shared" si="67"/>
        <v>0</v>
      </c>
    </row>
    <row r="12402" spans="6:10">
      <c r="F12402">
        <f t="shared" si="64"/>
        <v>0</v>
      </c>
      <c r="G12402">
        <f>COUNTIF($D$2:D12402,D12402)</f>
        <v>0</v>
      </c>
      <c r="H12402" t="str">
        <f t="shared" si="65"/>
        <v xml:space="preserve"> - 0</v>
      </c>
      <c r="I12402">
        <f t="shared" si="66"/>
        <v>0</v>
      </c>
      <c r="J12402">
        <f t="shared" si="67"/>
        <v>0</v>
      </c>
    </row>
    <row r="12403" spans="6:10">
      <c r="F12403">
        <f t="shared" si="64"/>
        <v>0</v>
      </c>
      <c r="G12403">
        <f>COUNTIF($D$2:D12403,D12403)</f>
        <v>0</v>
      </c>
      <c r="H12403" t="str">
        <f t="shared" si="65"/>
        <v xml:space="preserve"> - 0</v>
      </c>
      <c r="I12403">
        <f t="shared" si="66"/>
        <v>0</v>
      </c>
      <c r="J12403">
        <f t="shared" si="67"/>
        <v>0</v>
      </c>
    </row>
    <row r="12404" spans="6:10">
      <c r="F12404">
        <f t="shared" si="64"/>
        <v>0</v>
      </c>
      <c r="G12404">
        <f>COUNTIF($D$2:D12404,D12404)</f>
        <v>0</v>
      </c>
      <c r="H12404" t="str">
        <f t="shared" si="65"/>
        <v xml:space="preserve"> - 0</v>
      </c>
      <c r="I12404">
        <f t="shared" si="66"/>
        <v>0</v>
      </c>
      <c r="J12404">
        <f t="shared" si="67"/>
        <v>0</v>
      </c>
    </row>
    <row r="12405" spans="6:10">
      <c r="F12405">
        <f t="shared" si="64"/>
        <v>0</v>
      </c>
      <c r="G12405">
        <f>COUNTIF($D$2:D12405,D12405)</f>
        <v>0</v>
      </c>
      <c r="H12405" t="str">
        <f t="shared" si="65"/>
        <v xml:space="preserve"> - 0</v>
      </c>
      <c r="I12405">
        <f t="shared" si="66"/>
        <v>0</v>
      </c>
      <c r="J12405">
        <f t="shared" si="67"/>
        <v>0</v>
      </c>
    </row>
    <row r="12406" spans="6:10">
      <c r="F12406">
        <f t="shared" si="64"/>
        <v>0</v>
      </c>
      <c r="G12406">
        <f>COUNTIF($D$2:D12406,D12406)</f>
        <v>0</v>
      </c>
      <c r="H12406" t="str">
        <f t="shared" si="65"/>
        <v xml:space="preserve"> - 0</v>
      </c>
      <c r="I12406">
        <f t="shared" si="66"/>
        <v>0</v>
      </c>
      <c r="J12406">
        <f t="shared" si="67"/>
        <v>0</v>
      </c>
    </row>
    <row r="12407" spans="6:10">
      <c r="F12407">
        <f t="shared" si="64"/>
        <v>0</v>
      </c>
      <c r="G12407">
        <f>COUNTIF($D$2:D12407,D12407)</f>
        <v>0</v>
      </c>
      <c r="H12407" t="str">
        <f t="shared" si="65"/>
        <v xml:space="preserve"> - 0</v>
      </c>
      <c r="I12407">
        <f t="shared" si="66"/>
        <v>0</v>
      </c>
      <c r="J12407">
        <f t="shared" si="67"/>
        <v>0</v>
      </c>
    </row>
    <row r="12408" spans="6:10">
      <c r="F12408">
        <f t="shared" si="64"/>
        <v>0</v>
      </c>
      <c r="G12408">
        <f>COUNTIF($D$2:D12408,D12408)</f>
        <v>0</v>
      </c>
      <c r="H12408" t="str">
        <f t="shared" si="65"/>
        <v xml:space="preserve"> - 0</v>
      </c>
      <c r="I12408">
        <f t="shared" si="66"/>
        <v>0</v>
      </c>
      <c r="J12408">
        <f t="shared" si="67"/>
        <v>0</v>
      </c>
    </row>
    <row r="12409" spans="6:10">
      <c r="F12409">
        <f t="shared" si="64"/>
        <v>0</v>
      </c>
      <c r="G12409">
        <f>COUNTIF($D$2:D12409,D12409)</f>
        <v>0</v>
      </c>
      <c r="H12409" t="str">
        <f t="shared" si="65"/>
        <v xml:space="preserve"> - 0</v>
      </c>
      <c r="I12409">
        <f t="shared" si="66"/>
        <v>0</v>
      </c>
      <c r="J12409">
        <f t="shared" si="67"/>
        <v>0</v>
      </c>
    </row>
    <row r="12410" spans="6:10">
      <c r="F12410">
        <f t="shared" si="64"/>
        <v>0</v>
      </c>
      <c r="G12410">
        <f>COUNTIF($D$2:D12410,D12410)</f>
        <v>0</v>
      </c>
      <c r="H12410" t="str">
        <f t="shared" si="65"/>
        <v xml:space="preserve"> - 0</v>
      </c>
      <c r="I12410">
        <f t="shared" si="66"/>
        <v>0</v>
      </c>
      <c r="J12410">
        <f t="shared" si="67"/>
        <v>0</v>
      </c>
    </row>
    <row r="12411" spans="6:10">
      <c r="F12411">
        <f t="shared" si="64"/>
        <v>0</v>
      </c>
      <c r="G12411">
        <f>COUNTIF($D$2:D12411,D12411)</f>
        <v>0</v>
      </c>
      <c r="H12411" t="str">
        <f t="shared" si="65"/>
        <v xml:space="preserve"> - 0</v>
      </c>
      <c r="I12411">
        <f t="shared" si="66"/>
        <v>0</v>
      </c>
      <c r="J12411">
        <f t="shared" si="67"/>
        <v>0</v>
      </c>
    </row>
    <row r="12412" spans="6:10">
      <c r="F12412">
        <f t="shared" si="64"/>
        <v>0</v>
      </c>
      <c r="G12412">
        <f>COUNTIF($D$2:D12412,D12412)</f>
        <v>0</v>
      </c>
      <c r="H12412" t="str">
        <f t="shared" si="65"/>
        <v xml:space="preserve"> - 0</v>
      </c>
      <c r="I12412">
        <f t="shared" si="66"/>
        <v>0</v>
      </c>
      <c r="J12412">
        <f t="shared" si="67"/>
        <v>0</v>
      </c>
    </row>
    <row r="12413" spans="6:10">
      <c r="F12413">
        <f t="shared" si="64"/>
        <v>0</v>
      </c>
      <c r="G12413">
        <f>COUNTIF($D$2:D12413,D12413)</f>
        <v>0</v>
      </c>
      <c r="H12413" t="str">
        <f t="shared" si="65"/>
        <v xml:space="preserve"> - 0</v>
      </c>
      <c r="I12413">
        <f t="shared" si="66"/>
        <v>0</v>
      </c>
      <c r="J12413">
        <f t="shared" si="67"/>
        <v>0</v>
      </c>
    </row>
    <row r="12414" spans="6:10">
      <c r="F12414">
        <f t="shared" si="64"/>
        <v>0</v>
      </c>
      <c r="G12414">
        <f>COUNTIF($D$2:D12414,D12414)</f>
        <v>0</v>
      </c>
      <c r="H12414" t="str">
        <f t="shared" si="65"/>
        <v xml:space="preserve"> - 0</v>
      </c>
      <c r="I12414">
        <f t="shared" si="66"/>
        <v>0</v>
      </c>
      <c r="J12414">
        <f t="shared" si="67"/>
        <v>0</v>
      </c>
    </row>
    <row r="12415" spans="6:10">
      <c r="F12415">
        <f t="shared" si="64"/>
        <v>0</v>
      </c>
      <c r="G12415">
        <f>COUNTIF($D$2:D12415,D12415)</f>
        <v>0</v>
      </c>
      <c r="H12415" t="str">
        <f t="shared" si="65"/>
        <v xml:space="preserve"> - 0</v>
      </c>
      <c r="I12415">
        <f t="shared" si="66"/>
        <v>0</v>
      </c>
      <c r="J12415">
        <f t="shared" si="67"/>
        <v>0</v>
      </c>
    </row>
    <row r="12416" spans="6:10">
      <c r="F12416">
        <f t="shared" si="64"/>
        <v>0</v>
      </c>
      <c r="G12416">
        <f>COUNTIF($D$2:D12416,D12416)</f>
        <v>0</v>
      </c>
      <c r="H12416" t="str">
        <f t="shared" si="65"/>
        <v xml:space="preserve"> - 0</v>
      </c>
      <c r="I12416">
        <f t="shared" si="66"/>
        <v>0</v>
      </c>
      <c r="J12416">
        <f t="shared" si="67"/>
        <v>0</v>
      </c>
    </row>
    <row r="12417" spans="6:10">
      <c r="F12417">
        <f t="shared" si="64"/>
        <v>0</v>
      </c>
      <c r="G12417">
        <f>COUNTIF($D$2:D12417,D12417)</f>
        <v>0</v>
      </c>
      <c r="H12417" t="str">
        <f t="shared" si="65"/>
        <v xml:space="preserve"> - 0</v>
      </c>
      <c r="I12417">
        <f t="shared" si="66"/>
        <v>0</v>
      </c>
      <c r="J12417">
        <f t="shared" si="67"/>
        <v>0</v>
      </c>
    </row>
    <row r="12418" spans="6:10">
      <c r="F12418">
        <f t="shared" si="64"/>
        <v>0</v>
      </c>
      <c r="G12418">
        <f>COUNTIF($D$2:D12418,D12418)</f>
        <v>0</v>
      </c>
      <c r="H12418" t="str">
        <f t="shared" si="65"/>
        <v xml:space="preserve"> - 0</v>
      </c>
      <c r="I12418">
        <f t="shared" si="66"/>
        <v>0</v>
      </c>
      <c r="J12418">
        <f t="shared" si="67"/>
        <v>0</v>
      </c>
    </row>
    <row r="12419" spans="6:10">
      <c r="F12419">
        <f t="shared" si="64"/>
        <v>0</v>
      </c>
      <c r="G12419">
        <f>COUNTIF($D$2:D12419,D12419)</f>
        <v>0</v>
      </c>
      <c r="H12419" t="str">
        <f t="shared" si="65"/>
        <v xml:space="preserve"> - 0</v>
      </c>
      <c r="I12419">
        <f t="shared" si="66"/>
        <v>0</v>
      </c>
      <c r="J12419">
        <f t="shared" si="67"/>
        <v>0</v>
      </c>
    </row>
    <row r="12420" spans="6:10">
      <c r="F12420">
        <f t="shared" si="64"/>
        <v>0</v>
      </c>
      <c r="G12420">
        <f>COUNTIF($D$2:D12420,D12420)</f>
        <v>0</v>
      </c>
      <c r="H12420" t="str">
        <f t="shared" si="65"/>
        <v xml:space="preserve"> - 0</v>
      </c>
      <c r="I12420">
        <f t="shared" si="66"/>
        <v>0</v>
      </c>
      <c r="J12420">
        <f t="shared" si="67"/>
        <v>0</v>
      </c>
    </row>
    <row r="12421" spans="6:10">
      <c r="F12421">
        <f t="shared" si="64"/>
        <v>0</v>
      </c>
      <c r="G12421">
        <f>COUNTIF($D$2:D12421,D12421)</f>
        <v>0</v>
      </c>
      <c r="H12421" t="str">
        <f t="shared" si="65"/>
        <v xml:space="preserve"> - 0</v>
      </c>
      <c r="I12421">
        <f t="shared" si="66"/>
        <v>0</v>
      </c>
      <c r="J12421">
        <f t="shared" si="67"/>
        <v>0</v>
      </c>
    </row>
    <row r="12422" spans="6:10">
      <c r="F12422">
        <f t="shared" si="64"/>
        <v>0</v>
      </c>
      <c r="G12422">
        <f>COUNTIF($D$2:D12422,D12422)</f>
        <v>0</v>
      </c>
      <c r="H12422" t="str">
        <f t="shared" si="65"/>
        <v xml:space="preserve"> - 0</v>
      </c>
      <c r="I12422">
        <f t="shared" si="66"/>
        <v>0</v>
      </c>
      <c r="J12422">
        <f t="shared" si="67"/>
        <v>0</v>
      </c>
    </row>
    <row r="12423" spans="6:10">
      <c r="F12423">
        <f t="shared" si="64"/>
        <v>0</v>
      </c>
      <c r="G12423">
        <f>COUNTIF($D$2:D12423,D12423)</f>
        <v>0</v>
      </c>
      <c r="H12423" t="str">
        <f t="shared" si="65"/>
        <v xml:space="preserve"> - 0</v>
      </c>
      <c r="I12423">
        <f t="shared" si="66"/>
        <v>0</v>
      </c>
      <c r="J12423">
        <f t="shared" si="67"/>
        <v>0</v>
      </c>
    </row>
    <row r="12424" spans="6:10">
      <c r="F12424">
        <f t="shared" si="64"/>
        <v>0</v>
      </c>
      <c r="G12424">
        <f>COUNTIF($D$2:D12424,D12424)</f>
        <v>0</v>
      </c>
      <c r="H12424" t="str">
        <f t="shared" si="65"/>
        <v xml:space="preserve"> - 0</v>
      </c>
      <c r="I12424">
        <f t="shared" si="66"/>
        <v>0</v>
      </c>
      <c r="J12424">
        <f t="shared" si="67"/>
        <v>0</v>
      </c>
    </row>
    <row r="12425" spans="6:10">
      <c r="F12425">
        <f t="shared" si="64"/>
        <v>0</v>
      </c>
      <c r="G12425">
        <f>COUNTIF($D$2:D12425,D12425)</f>
        <v>0</v>
      </c>
      <c r="H12425" t="str">
        <f t="shared" si="65"/>
        <v xml:space="preserve"> - 0</v>
      </c>
      <c r="I12425">
        <f t="shared" si="66"/>
        <v>0</v>
      </c>
      <c r="J12425">
        <f t="shared" si="67"/>
        <v>0</v>
      </c>
    </row>
    <row r="12426" spans="6:10">
      <c r="F12426">
        <f t="shared" si="64"/>
        <v>0</v>
      </c>
      <c r="G12426">
        <f>COUNTIF($D$2:D12426,D12426)</f>
        <v>0</v>
      </c>
      <c r="H12426" t="str">
        <f t="shared" si="65"/>
        <v xml:space="preserve"> - 0</v>
      </c>
      <c r="I12426">
        <f t="shared" si="66"/>
        <v>0</v>
      </c>
      <c r="J12426">
        <f t="shared" si="67"/>
        <v>0</v>
      </c>
    </row>
    <row r="12427" spans="6:10">
      <c r="F12427">
        <f t="shared" si="64"/>
        <v>0</v>
      </c>
      <c r="G12427">
        <f>COUNTIF($D$2:D12427,D12427)</f>
        <v>0</v>
      </c>
      <c r="H12427" t="str">
        <f t="shared" si="65"/>
        <v xml:space="preserve"> - 0</v>
      </c>
      <c r="I12427">
        <f t="shared" si="66"/>
        <v>0</v>
      </c>
      <c r="J12427">
        <f t="shared" si="67"/>
        <v>0</v>
      </c>
    </row>
    <row r="12428" spans="6:10">
      <c r="F12428">
        <f t="shared" si="64"/>
        <v>0</v>
      </c>
      <c r="G12428">
        <f>COUNTIF($D$2:D12428,D12428)</f>
        <v>0</v>
      </c>
      <c r="H12428" t="str">
        <f t="shared" si="65"/>
        <v xml:space="preserve"> - 0</v>
      </c>
      <c r="I12428">
        <f t="shared" si="66"/>
        <v>0</v>
      </c>
      <c r="J12428">
        <f t="shared" si="67"/>
        <v>0</v>
      </c>
    </row>
    <row r="12429" spans="6:10">
      <c r="F12429">
        <f t="shared" si="64"/>
        <v>0</v>
      </c>
      <c r="G12429">
        <f>COUNTIF($D$2:D12429,D12429)</f>
        <v>0</v>
      </c>
      <c r="H12429" t="str">
        <f t="shared" si="65"/>
        <v xml:space="preserve"> - 0</v>
      </c>
      <c r="I12429">
        <f t="shared" si="66"/>
        <v>0</v>
      </c>
      <c r="J12429">
        <f t="shared" si="67"/>
        <v>0</v>
      </c>
    </row>
    <row r="12430" spans="6:10">
      <c r="F12430">
        <f t="shared" si="64"/>
        <v>0</v>
      </c>
      <c r="G12430">
        <f>COUNTIF($D$2:D12430,D12430)</f>
        <v>0</v>
      </c>
      <c r="H12430" t="str">
        <f t="shared" si="65"/>
        <v xml:space="preserve"> - 0</v>
      </c>
      <c r="I12430">
        <f t="shared" si="66"/>
        <v>0</v>
      </c>
      <c r="J12430">
        <f t="shared" si="67"/>
        <v>0</v>
      </c>
    </row>
    <row r="12431" spans="6:10">
      <c r="F12431">
        <f t="shared" si="64"/>
        <v>0</v>
      </c>
      <c r="G12431">
        <f>COUNTIF($D$2:D12431,D12431)</f>
        <v>0</v>
      </c>
      <c r="H12431" t="str">
        <f t="shared" si="65"/>
        <v xml:space="preserve"> - 0</v>
      </c>
      <c r="I12431">
        <f t="shared" si="66"/>
        <v>0</v>
      </c>
      <c r="J12431">
        <f t="shared" si="67"/>
        <v>0</v>
      </c>
    </row>
    <row r="12432" spans="6:10">
      <c r="F12432">
        <f t="shared" si="64"/>
        <v>0</v>
      </c>
      <c r="G12432">
        <f>COUNTIF($D$2:D12432,D12432)</f>
        <v>0</v>
      </c>
      <c r="H12432" t="str">
        <f t="shared" si="65"/>
        <v xml:space="preserve"> - 0</v>
      </c>
      <c r="I12432">
        <f t="shared" si="66"/>
        <v>0</v>
      </c>
      <c r="J12432">
        <f t="shared" si="67"/>
        <v>0</v>
      </c>
    </row>
    <row r="12433" spans="6:10">
      <c r="F12433">
        <f t="shared" si="64"/>
        <v>0</v>
      </c>
      <c r="G12433">
        <f>COUNTIF($D$2:D12433,D12433)</f>
        <v>0</v>
      </c>
      <c r="H12433" t="str">
        <f t="shared" si="65"/>
        <v xml:space="preserve"> - 0</v>
      </c>
      <c r="I12433">
        <f t="shared" si="66"/>
        <v>0</v>
      </c>
      <c r="J12433">
        <f t="shared" si="67"/>
        <v>0</v>
      </c>
    </row>
    <row r="12434" spans="6:10">
      <c r="F12434">
        <f t="shared" si="64"/>
        <v>0</v>
      </c>
      <c r="G12434">
        <f>COUNTIF($D$2:D12434,D12434)</f>
        <v>0</v>
      </c>
      <c r="H12434" t="str">
        <f t="shared" si="65"/>
        <v xml:space="preserve"> - 0</v>
      </c>
      <c r="I12434">
        <f t="shared" si="66"/>
        <v>0</v>
      </c>
      <c r="J12434">
        <f t="shared" si="67"/>
        <v>0</v>
      </c>
    </row>
    <row r="12435" spans="6:10">
      <c r="F12435">
        <f t="shared" si="64"/>
        <v>0</v>
      </c>
      <c r="G12435">
        <f>COUNTIF($D$2:D12435,D12435)</f>
        <v>0</v>
      </c>
      <c r="H12435" t="str">
        <f t="shared" si="65"/>
        <v xml:space="preserve"> - 0</v>
      </c>
      <c r="I12435">
        <f t="shared" si="66"/>
        <v>0</v>
      </c>
      <c r="J12435">
        <f t="shared" si="67"/>
        <v>0</v>
      </c>
    </row>
    <row r="12436" spans="6:10">
      <c r="F12436">
        <f t="shared" si="64"/>
        <v>0</v>
      </c>
      <c r="G12436">
        <f>COUNTIF($D$2:D12436,D12436)</f>
        <v>0</v>
      </c>
      <c r="H12436" t="str">
        <f t="shared" si="65"/>
        <v xml:space="preserve"> - 0</v>
      </c>
      <c r="I12436">
        <f t="shared" si="66"/>
        <v>0</v>
      </c>
      <c r="J12436">
        <f t="shared" si="67"/>
        <v>0</v>
      </c>
    </row>
    <row r="12437" spans="6:10">
      <c r="F12437">
        <f t="shared" si="64"/>
        <v>0</v>
      </c>
      <c r="G12437">
        <f>COUNTIF($D$2:D12437,D12437)</f>
        <v>0</v>
      </c>
      <c r="H12437" t="str">
        <f t="shared" si="65"/>
        <v xml:space="preserve"> - 0</v>
      </c>
      <c r="I12437">
        <f t="shared" si="66"/>
        <v>0</v>
      </c>
      <c r="J12437">
        <f t="shared" si="67"/>
        <v>0</v>
      </c>
    </row>
    <row r="12438" spans="6:10">
      <c r="F12438">
        <f t="shared" si="64"/>
        <v>0</v>
      </c>
      <c r="G12438">
        <f>COUNTIF($D$2:D12438,D12438)</f>
        <v>0</v>
      </c>
      <c r="H12438" t="str">
        <f t="shared" si="65"/>
        <v xml:space="preserve"> - 0</v>
      </c>
      <c r="I12438">
        <f t="shared" si="66"/>
        <v>0</v>
      </c>
      <c r="J12438">
        <f t="shared" si="67"/>
        <v>0</v>
      </c>
    </row>
    <row r="12439" spans="6:10">
      <c r="F12439">
        <f t="shared" si="64"/>
        <v>0</v>
      </c>
      <c r="G12439">
        <f>COUNTIF($D$2:D12439,D12439)</f>
        <v>0</v>
      </c>
      <c r="H12439" t="str">
        <f t="shared" si="65"/>
        <v xml:space="preserve"> - 0</v>
      </c>
      <c r="I12439">
        <f t="shared" si="66"/>
        <v>0</v>
      </c>
      <c r="J12439">
        <f t="shared" si="67"/>
        <v>0</v>
      </c>
    </row>
    <row r="12440" spans="6:10">
      <c r="F12440">
        <f t="shared" si="64"/>
        <v>0</v>
      </c>
      <c r="G12440">
        <f>COUNTIF($D$2:D12440,D12440)</f>
        <v>0</v>
      </c>
      <c r="H12440" t="str">
        <f t="shared" si="65"/>
        <v xml:space="preserve"> - 0</v>
      </c>
      <c r="I12440">
        <f t="shared" si="66"/>
        <v>0</v>
      </c>
      <c r="J12440">
        <f t="shared" si="67"/>
        <v>0</v>
      </c>
    </row>
    <row r="12441" spans="6:10">
      <c r="F12441">
        <f t="shared" si="64"/>
        <v>0</v>
      </c>
      <c r="G12441">
        <f>COUNTIF($D$2:D12441,D12441)</f>
        <v>0</v>
      </c>
      <c r="H12441" t="str">
        <f t="shared" si="65"/>
        <v xml:space="preserve"> - 0</v>
      </c>
      <c r="I12441">
        <f t="shared" si="66"/>
        <v>0</v>
      </c>
      <c r="J12441">
        <f t="shared" si="67"/>
        <v>0</v>
      </c>
    </row>
    <row r="12442" spans="6:10">
      <c r="F12442">
        <f t="shared" si="64"/>
        <v>0</v>
      </c>
      <c r="G12442">
        <f>COUNTIF($D$2:D12442,D12442)</f>
        <v>0</v>
      </c>
      <c r="H12442" t="str">
        <f t="shared" si="65"/>
        <v xml:space="preserve"> - 0</v>
      </c>
      <c r="I12442">
        <f t="shared" si="66"/>
        <v>0</v>
      </c>
      <c r="J12442">
        <f t="shared" si="67"/>
        <v>0</v>
      </c>
    </row>
    <row r="12443" spans="6:10">
      <c r="F12443">
        <f t="shared" si="64"/>
        <v>0</v>
      </c>
      <c r="G12443">
        <f>COUNTIF($D$2:D12443,D12443)</f>
        <v>0</v>
      </c>
      <c r="H12443" t="str">
        <f t="shared" si="65"/>
        <v xml:space="preserve"> - 0</v>
      </c>
      <c r="I12443">
        <f t="shared" si="66"/>
        <v>0</v>
      </c>
      <c r="J12443">
        <f t="shared" si="67"/>
        <v>0</v>
      </c>
    </row>
    <row r="12444" spans="6:10">
      <c r="F12444">
        <f t="shared" si="64"/>
        <v>0</v>
      </c>
      <c r="G12444">
        <f>COUNTIF($D$2:D12444,D12444)</f>
        <v>0</v>
      </c>
      <c r="H12444" t="str">
        <f t="shared" si="65"/>
        <v xml:space="preserve"> - 0</v>
      </c>
      <c r="I12444">
        <f t="shared" si="66"/>
        <v>0</v>
      </c>
      <c r="J12444">
        <f t="shared" si="67"/>
        <v>0</v>
      </c>
    </row>
    <row r="12445" spans="6:10">
      <c r="F12445">
        <f t="shared" si="64"/>
        <v>0</v>
      </c>
      <c r="G12445">
        <f>COUNTIF($D$2:D12445,D12445)</f>
        <v>0</v>
      </c>
      <c r="H12445" t="str">
        <f t="shared" si="65"/>
        <v xml:space="preserve"> - 0</v>
      </c>
      <c r="I12445">
        <f t="shared" si="66"/>
        <v>0</v>
      </c>
      <c r="J12445">
        <f t="shared" si="67"/>
        <v>0</v>
      </c>
    </row>
    <row r="12446" spans="6:10">
      <c r="F12446">
        <f t="shared" si="64"/>
        <v>0</v>
      </c>
      <c r="G12446">
        <f>COUNTIF($D$2:D12446,D12446)</f>
        <v>0</v>
      </c>
      <c r="H12446" t="str">
        <f t="shared" si="65"/>
        <v xml:space="preserve"> - 0</v>
      </c>
      <c r="I12446">
        <f t="shared" si="66"/>
        <v>0</v>
      </c>
      <c r="J12446">
        <f t="shared" si="67"/>
        <v>0</v>
      </c>
    </row>
    <row r="12447" spans="6:10">
      <c r="F12447">
        <f t="shared" si="64"/>
        <v>0</v>
      </c>
      <c r="G12447">
        <f>COUNTIF($D$2:D12447,D12447)</f>
        <v>0</v>
      </c>
      <c r="H12447" t="str">
        <f t="shared" si="65"/>
        <v xml:space="preserve"> - 0</v>
      </c>
      <c r="I12447">
        <f t="shared" si="66"/>
        <v>0</v>
      </c>
      <c r="J12447">
        <f t="shared" si="67"/>
        <v>0</v>
      </c>
    </row>
    <row r="12448" spans="6:10">
      <c r="F12448">
        <f t="shared" si="64"/>
        <v>0</v>
      </c>
      <c r="G12448">
        <f>COUNTIF($D$2:D12448,D12448)</f>
        <v>0</v>
      </c>
      <c r="H12448" t="str">
        <f t="shared" si="65"/>
        <v xml:space="preserve"> - 0</v>
      </c>
      <c r="I12448">
        <f t="shared" si="66"/>
        <v>0</v>
      </c>
      <c r="J12448">
        <f t="shared" si="67"/>
        <v>0</v>
      </c>
    </row>
    <row r="12449" spans="6:10">
      <c r="F12449">
        <f t="shared" si="64"/>
        <v>0</v>
      </c>
      <c r="G12449">
        <f>COUNTIF($D$2:D12449,D12449)</f>
        <v>0</v>
      </c>
      <c r="H12449" t="str">
        <f t="shared" si="65"/>
        <v xml:space="preserve"> - 0</v>
      </c>
      <c r="I12449">
        <f t="shared" si="66"/>
        <v>0</v>
      </c>
      <c r="J12449">
        <f t="shared" si="67"/>
        <v>0</v>
      </c>
    </row>
    <row r="12450" spans="6:10">
      <c r="F12450">
        <f t="shared" si="64"/>
        <v>0</v>
      </c>
      <c r="G12450">
        <f>COUNTIF($D$2:D12450,D12450)</f>
        <v>0</v>
      </c>
      <c r="H12450" t="str">
        <f t="shared" si="65"/>
        <v xml:space="preserve"> - 0</v>
      </c>
      <c r="I12450">
        <f t="shared" si="66"/>
        <v>0</v>
      </c>
      <c r="J12450">
        <f t="shared" si="67"/>
        <v>0</v>
      </c>
    </row>
    <row r="12451" spans="6:10">
      <c r="F12451">
        <f t="shared" si="64"/>
        <v>0</v>
      </c>
      <c r="G12451">
        <f>COUNTIF($D$2:D12451,D12451)</f>
        <v>0</v>
      </c>
      <c r="H12451" t="str">
        <f t="shared" si="65"/>
        <v xml:space="preserve"> - 0</v>
      </c>
      <c r="I12451">
        <f t="shared" si="66"/>
        <v>0</v>
      </c>
      <c r="J12451">
        <f t="shared" si="67"/>
        <v>0</v>
      </c>
    </row>
    <row r="12452" spans="6:10">
      <c r="F12452">
        <f t="shared" si="64"/>
        <v>0</v>
      </c>
      <c r="G12452">
        <f>COUNTIF($D$2:D12452,D12452)</f>
        <v>0</v>
      </c>
      <c r="H12452" t="str">
        <f t="shared" si="65"/>
        <v xml:space="preserve"> - 0</v>
      </c>
      <c r="I12452">
        <f t="shared" si="66"/>
        <v>0</v>
      </c>
      <c r="J12452">
        <f t="shared" si="67"/>
        <v>0</v>
      </c>
    </row>
    <row r="12453" spans="6:10">
      <c r="F12453">
        <f t="shared" si="64"/>
        <v>0</v>
      </c>
      <c r="G12453">
        <f>COUNTIF($D$2:D12453,D12453)</f>
        <v>0</v>
      </c>
      <c r="H12453" t="str">
        <f t="shared" si="65"/>
        <v xml:space="preserve"> - 0</v>
      </c>
      <c r="I12453">
        <f t="shared" si="66"/>
        <v>0</v>
      </c>
      <c r="J12453">
        <f t="shared" si="67"/>
        <v>0</v>
      </c>
    </row>
    <row r="12454" spans="6:10">
      <c r="F12454">
        <f t="shared" si="64"/>
        <v>0</v>
      </c>
      <c r="G12454">
        <f>COUNTIF($D$2:D12454,D12454)</f>
        <v>0</v>
      </c>
      <c r="H12454" t="str">
        <f t="shared" si="65"/>
        <v xml:space="preserve"> - 0</v>
      </c>
      <c r="I12454">
        <f t="shared" si="66"/>
        <v>0</v>
      </c>
      <c r="J12454">
        <f t="shared" si="67"/>
        <v>0</v>
      </c>
    </row>
    <row r="12455" spans="6:10">
      <c r="F12455">
        <f t="shared" si="64"/>
        <v>0</v>
      </c>
      <c r="G12455">
        <f>COUNTIF($D$2:D12455,D12455)</f>
        <v>0</v>
      </c>
      <c r="H12455" t="str">
        <f t="shared" si="65"/>
        <v xml:space="preserve"> - 0</v>
      </c>
      <c r="I12455">
        <f t="shared" si="66"/>
        <v>0</v>
      </c>
      <c r="J12455">
        <f t="shared" si="67"/>
        <v>0</v>
      </c>
    </row>
    <row r="12456" spans="6:10">
      <c r="F12456">
        <f t="shared" si="64"/>
        <v>0</v>
      </c>
      <c r="G12456">
        <f>COUNTIF($D$2:D12456,D12456)</f>
        <v>0</v>
      </c>
      <c r="H12456" t="str">
        <f t="shared" si="65"/>
        <v xml:space="preserve"> - 0</v>
      </c>
      <c r="I12456">
        <f t="shared" si="66"/>
        <v>0</v>
      </c>
      <c r="J12456">
        <f t="shared" si="67"/>
        <v>0</v>
      </c>
    </row>
    <row r="12457" spans="6:10">
      <c r="F12457">
        <f t="shared" ref="F12457:F12520" si="68">COUNTIF($D$2:$D$35910,D12457)</f>
        <v>0</v>
      </c>
      <c r="G12457">
        <f>COUNTIF($D$2:D12457,D12457)</f>
        <v>0</v>
      </c>
      <c r="H12457" t="str">
        <f t="shared" ref="H12457:H12520" si="69">D12457&amp;" - "&amp;G12457&amp;AH12457</f>
        <v xml:space="preserve"> - 0</v>
      </c>
      <c r="I12457">
        <f t="shared" ref="I12457:I12520" si="70">A12457</f>
        <v>0</v>
      </c>
      <c r="J12457">
        <f t="shared" ref="J12457:J12520" si="71">B12457</f>
        <v>0</v>
      </c>
    </row>
    <row r="12458" spans="6:10">
      <c r="F12458">
        <f t="shared" si="68"/>
        <v>0</v>
      </c>
      <c r="G12458">
        <f>COUNTIF($D$2:D12458,D12458)</f>
        <v>0</v>
      </c>
      <c r="H12458" t="str">
        <f t="shared" si="69"/>
        <v xml:space="preserve"> - 0</v>
      </c>
      <c r="I12458">
        <f t="shared" si="70"/>
        <v>0</v>
      </c>
      <c r="J12458">
        <f t="shared" si="71"/>
        <v>0</v>
      </c>
    </row>
    <row r="12459" spans="6:10">
      <c r="F12459">
        <f t="shared" si="68"/>
        <v>0</v>
      </c>
      <c r="G12459">
        <f>COUNTIF($D$2:D12459,D12459)</f>
        <v>0</v>
      </c>
      <c r="H12459" t="str">
        <f t="shared" si="69"/>
        <v xml:space="preserve"> - 0</v>
      </c>
      <c r="I12459">
        <f t="shared" si="70"/>
        <v>0</v>
      </c>
      <c r="J12459">
        <f t="shared" si="71"/>
        <v>0</v>
      </c>
    </row>
    <row r="12460" spans="6:10">
      <c r="F12460">
        <f t="shared" si="68"/>
        <v>0</v>
      </c>
      <c r="G12460">
        <f>COUNTIF($D$2:D12460,D12460)</f>
        <v>0</v>
      </c>
      <c r="H12460" t="str">
        <f t="shared" si="69"/>
        <v xml:space="preserve"> - 0</v>
      </c>
      <c r="I12460">
        <f t="shared" si="70"/>
        <v>0</v>
      </c>
      <c r="J12460">
        <f t="shared" si="71"/>
        <v>0</v>
      </c>
    </row>
    <row r="12461" spans="6:10">
      <c r="F12461">
        <f t="shared" si="68"/>
        <v>0</v>
      </c>
      <c r="G12461">
        <f>COUNTIF($D$2:D12461,D12461)</f>
        <v>0</v>
      </c>
      <c r="H12461" t="str">
        <f t="shared" si="69"/>
        <v xml:space="preserve"> - 0</v>
      </c>
      <c r="I12461">
        <f t="shared" si="70"/>
        <v>0</v>
      </c>
      <c r="J12461">
        <f t="shared" si="71"/>
        <v>0</v>
      </c>
    </row>
    <row r="12462" spans="6:10">
      <c r="F12462">
        <f t="shared" si="68"/>
        <v>0</v>
      </c>
      <c r="G12462">
        <f>COUNTIF($D$2:D12462,D12462)</f>
        <v>0</v>
      </c>
      <c r="H12462" t="str">
        <f t="shared" si="69"/>
        <v xml:space="preserve"> - 0</v>
      </c>
      <c r="I12462">
        <f t="shared" si="70"/>
        <v>0</v>
      </c>
      <c r="J12462">
        <f t="shared" si="71"/>
        <v>0</v>
      </c>
    </row>
    <row r="12463" spans="6:10">
      <c r="F12463">
        <f t="shared" si="68"/>
        <v>0</v>
      </c>
      <c r="G12463">
        <f>COUNTIF($D$2:D12463,D12463)</f>
        <v>0</v>
      </c>
      <c r="H12463" t="str">
        <f t="shared" si="69"/>
        <v xml:space="preserve"> - 0</v>
      </c>
      <c r="I12463">
        <f t="shared" si="70"/>
        <v>0</v>
      </c>
      <c r="J12463">
        <f t="shared" si="71"/>
        <v>0</v>
      </c>
    </row>
    <row r="12464" spans="6:10">
      <c r="F12464">
        <f t="shared" si="68"/>
        <v>0</v>
      </c>
      <c r="G12464">
        <f>COUNTIF($D$2:D12464,D12464)</f>
        <v>0</v>
      </c>
      <c r="H12464" t="str">
        <f t="shared" si="69"/>
        <v xml:space="preserve"> - 0</v>
      </c>
      <c r="I12464">
        <f t="shared" si="70"/>
        <v>0</v>
      </c>
      <c r="J12464">
        <f t="shared" si="71"/>
        <v>0</v>
      </c>
    </row>
    <row r="12465" spans="6:10">
      <c r="F12465">
        <f t="shared" si="68"/>
        <v>0</v>
      </c>
      <c r="G12465">
        <f>COUNTIF($D$2:D12465,D12465)</f>
        <v>0</v>
      </c>
      <c r="H12465" t="str">
        <f t="shared" si="69"/>
        <v xml:space="preserve"> - 0</v>
      </c>
      <c r="I12465">
        <f t="shared" si="70"/>
        <v>0</v>
      </c>
      <c r="J12465">
        <f t="shared" si="71"/>
        <v>0</v>
      </c>
    </row>
    <row r="12466" spans="6:10">
      <c r="F12466">
        <f t="shared" si="68"/>
        <v>0</v>
      </c>
      <c r="G12466">
        <f>COUNTIF($D$2:D12466,D12466)</f>
        <v>0</v>
      </c>
      <c r="H12466" t="str">
        <f t="shared" si="69"/>
        <v xml:space="preserve"> - 0</v>
      </c>
      <c r="I12466">
        <f t="shared" si="70"/>
        <v>0</v>
      </c>
      <c r="J12466">
        <f t="shared" si="71"/>
        <v>0</v>
      </c>
    </row>
    <row r="12467" spans="6:10">
      <c r="F12467">
        <f t="shared" si="68"/>
        <v>0</v>
      </c>
      <c r="G12467">
        <f>COUNTIF($D$2:D12467,D12467)</f>
        <v>0</v>
      </c>
      <c r="H12467" t="str">
        <f t="shared" si="69"/>
        <v xml:space="preserve"> - 0</v>
      </c>
      <c r="I12467">
        <f t="shared" si="70"/>
        <v>0</v>
      </c>
      <c r="J12467">
        <f t="shared" si="71"/>
        <v>0</v>
      </c>
    </row>
    <row r="12468" spans="6:10">
      <c r="F12468">
        <f t="shared" si="68"/>
        <v>0</v>
      </c>
      <c r="G12468">
        <f>COUNTIF($D$2:D12468,D12468)</f>
        <v>0</v>
      </c>
      <c r="H12468" t="str">
        <f t="shared" si="69"/>
        <v xml:space="preserve"> - 0</v>
      </c>
      <c r="I12468">
        <f t="shared" si="70"/>
        <v>0</v>
      </c>
      <c r="J12468">
        <f t="shared" si="71"/>
        <v>0</v>
      </c>
    </row>
    <row r="12469" spans="6:10">
      <c r="F12469">
        <f t="shared" si="68"/>
        <v>0</v>
      </c>
      <c r="G12469">
        <f>COUNTIF($D$2:D12469,D12469)</f>
        <v>0</v>
      </c>
      <c r="H12469" t="str">
        <f t="shared" si="69"/>
        <v xml:space="preserve"> - 0</v>
      </c>
      <c r="I12469">
        <f t="shared" si="70"/>
        <v>0</v>
      </c>
      <c r="J12469">
        <f t="shared" si="71"/>
        <v>0</v>
      </c>
    </row>
    <row r="12470" spans="6:10">
      <c r="F12470">
        <f t="shared" si="68"/>
        <v>0</v>
      </c>
      <c r="G12470">
        <f>COUNTIF($D$2:D12470,D12470)</f>
        <v>0</v>
      </c>
      <c r="H12470" t="str">
        <f t="shared" si="69"/>
        <v xml:space="preserve"> - 0</v>
      </c>
      <c r="I12470">
        <f t="shared" si="70"/>
        <v>0</v>
      </c>
      <c r="J12470">
        <f t="shared" si="71"/>
        <v>0</v>
      </c>
    </row>
    <row r="12471" spans="6:10">
      <c r="F12471">
        <f t="shared" si="68"/>
        <v>0</v>
      </c>
      <c r="G12471">
        <f>COUNTIF($D$2:D12471,D12471)</f>
        <v>0</v>
      </c>
      <c r="H12471" t="str">
        <f t="shared" si="69"/>
        <v xml:space="preserve"> - 0</v>
      </c>
      <c r="I12471">
        <f t="shared" si="70"/>
        <v>0</v>
      </c>
      <c r="J12471">
        <f t="shared" si="71"/>
        <v>0</v>
      </c>
    </row>
    <row r="12472" spans="6:10">
      <c r="F12472">
        <f t="shared" si="68"/>
        <v>0</v>
      </c>
      <c r="G12472">
        <f>COUNTIF($D$2:D12472,D12472)</f>
        <v>0</v>
      </c>
      <c r="H12472" t="str">
        <f t="shared" si="69"/>
        <v xml:space="preserve"> - 0</v>
      </c>
      <c r="I12472">
        <f t="shared" si="70"/>
        <v>0</v>
      </c>
      <c r="J12472">
        <f t="shared" si="71"/>
        <v>0</v>
      </c>
    </row>
    <row r="12473" spans="6:10">
      <c r="F12473">
        <f t="shared" si="68"/>
        <v>0</v>
      </c>
      <c r="G12473">
        <f>COUNTIF($D$2:D12473,D12473)</f>
        <v>0</v>
      </c>
      <c r="H12473" t="str">
        <f t="shared" si="69"/>
        <v xml:space="preserve"> - 0</v>
      </c>
      <c r="I12473">
        <f t="shared" si="70"/>
        <v>0</v>
      </c>
      <c r="J12473">
        <f t="shared" si="71"/>
        <v>0</v>
      </c>
    </row>
    <row r="12474" spans="6:10">
      <c r="F12474">
        <f t="shared" si="68"/>
        <v>0</v>
      </c>
      <c r="G12474">
        <f>COUNTIF($D$2:D12474,D12474)</f>
        <v>0</v>
      </c>
      <c r="H12474" t="str">
        <f t="shared" si="69"/>
        <v xml:space="preserve"> - 0</v>
      </c>
      <c r="I12474">
        <f t="shared" si="70"/>
        <v>0</v>
      </c>
      <c r="J12474">
        <f t="shared" si="71"/>
        <v>0</v>
      </c>
    </row>
    <row r="12475" spans="6:10">
      <c r="F12475">
        <f t="shared" si="68"/>
        <v>0</v>
      </c>
      <c r="G12475">
        <f>COUNTIF($D$2:D12475,D12475)</f>
        <v>0</v>
      </c>
      <c r="H12475" t="str">
        <f t="shared" si="69"/>
        <v xml:space="preserve"> - 0</v>
      </c>
      <c r="I12475">
        <f t="shared" si="70"/>
        <v>0</v>
      </c>
      <c r="J12475">
        <f t="shared" si="71"/>
        <v>0</v>
      </c>
    </row>
    <row r="12476" spans="6:10">
      <c r="F12476">
        <f t="shared" si="68"/>
        <v>0</v>
      </c>
      <c r="G12476">
        <f>COUNTIF($D$2:D12476,D12476)</f>
        <v>0</v>
      </c>
      <c r="H12476" t="str">
        <f t="shared" si="69"/>
        <v xml:space="preserve"> - 0</v>
      </c>
      <c r="I12476">
        <f t="shared" si="70"/>
        <v>0</v>
      </c>
      <c r="J12476">
        <f t="shared" si="71"/>
        <v>0</v>
      </c>
    </row>
    <row r="12477" spans="6:10">
      <c r="F12477">
        <f t="shared" si="68"/>
        <v>0</v>
      </c>
      <c r="G12477">
        <f>COUNTIF($D$2:D12477,D12477)</f>
        <v>0</v>
      </c>
      <c r="H12477" t="str">
        <f t="shared" si="69"/>
        <v xml:space="preserve"> - 0</v>
      </c>
      <c r="I12477">
        <f t="shared" si="70"/>
        <v>0</v>
      </c>
      <c r="J12477">
        <f t="shared" si="71"/>
        <v>0</v>
      </c>
    </row>
    <row r="12478" spans="6:10">
      <c r="F12478">
        <f t="shared" si="68"/>
        <v>0</v>
      </c>
      <c r="G12478">
        <f>COUNTIF($D$2:D12478,D12478)</f>
        <v>0</v>
      </c>
      <c r="H12478" t="str">
        <f t="shared" si="69"/>
        <v xml:space="preserve"> - 0</v>
      </c>
      <c r="I12478">
        <f t="shared" si="70"/>
        <v>0</v>
      </c>
      <c r="J12478">
        <f t="shared" si="71"/>
        <v>0</v>
      </c>
    </row>
    <row r="12479" spans="6:10">
      <c r="F12479">
        <f t="shared" si="68"/>
        <v>0</v>
      </c>
      <c r="G12479">
        <f>COUNTIF($D$2:D12479,D12479)</f>
        <v>0</v>
      </c>
      <c r="H12479" t="str">
        <f t="shared" si="69"/>
        <v xml:space="preserve"> - 0</v>
      </c>
      <c r="I12479">
        <f t="shared" si="70"/>
        <v>0</v>
      </c>
      <c r="J12479">
        <f t="shared" si="71"/>
        <v>0</v>
      </c>
    </row>
    <row r="12480" spans="6:10">
      <c r="F12480">
        <f t="shared" si="68"/>
        <v>0</v>
      </c>
      <c r="G12480">
        <f>COUNTIF($D$2:D12480,D12480)</f>
        <v>0</v>
      </c>
      <c r="H12480" t="str">
        <f t="shared" si="69"/>
        <v xml:space="preserve"> - 0</v>
      </c>
      <c r="I12480">
        <f t="shared" si="70"/>
        <v>0</v>
      </c>
      <c r="J12480">
        <f t="shared" si="71"/>
        <v>0</v>
      </c>
    </row>
    <row r="12481" spans="6:10">
      <c r="F12481">
        <f t="shared" si="68"/>
        <v>0</v>
      </c>
      <c r="G12481">
        <f>COUNTIF($D$2:D12481,D12481)</f>
        <v>0</v>
      </c>
      <c r="H12481" t="str">
        <f t="shared" si="69"/>
        <v xml:space="preserve"> - 0</v>
      </c>
      <c r="I12481">
        <f t="shared" si="70"/>
        <v>0</v>
      </c>
      <c r="J12481">
        <f t="shared" si="71"/>
        <v>0</v>
      </c>
    </row>
    <row r="12482" spans="6:10">
      <c r="F12482">
        <f t="shared" si="68"/>
        <v>0</v>
      </c>
      <c r="G12482">
        <f>COUNTIF($D$2:D12482,D12482)</f>
        <v>0</v>
      </c>
      <c r="H12482" t="str">
        <f t="shared" si="69"/>
        <v xml:space="preserve"> - 0</v>
      </c>
      <c r="I12482">
        <f t="shared" si="70"/>
        <v>0</v>
      </c>
      <c r="J12482">
        <f t="shared" si="71"/>
        <v>0</v>
      </c>
    </row>
    <row r="12483" spans="6:10">
      <c r="F12483">
        <f t="shared" si="68"/>
        <v>0</v>
      </c>
      <c r="G12483">
        <f>COUNTIF($D$2:D12483,D12483)</f>
        <v>0</v>
      </c>
      <c r="H12483" t="str">
        <f t="shared" si="69"/>
        <v xml:space="preserve"> - 0</v>
      </c>
      <c r="I12483">
        <f t="shared" si="70"/>
        <v>0</v>
      </c>
      <c r="J12483">
        <f t="shared" si="71"/>
        <v>0</v>
      </c>
    </row>
    <row r="12484" spans="6:10">
      <c r="F12484">
        <f t="shared" si="68"/>
        <v>0</v>
      </c>
      <c r="G12484">
        <f>COUNTIF($D$2:D12484,D12484)</f>
        <v>0</v>
      </c>
      <c r="H12484" t="str">
        <f t="shared" si="69"/>
        <v xml:space="preserve"> - 0</v>
      </c>
      <c r="I12484">
        <f t="shared" si="70"/>
        <v>0</v>
      </c>
      <c r="J12484">
        <f t="shared" si="71"/>
        <v>0</v>
      </c>
    </row>
    <row r="12485" spans="6:10">
      <c r="F12485">
        <f t="shared" si="68"/>
        <v>0</v>
      </c>
      <c r="G12485">
        <f>COUNTIF($D$2:D12485,D12485)</f>
        <v>0</v>
      </c>
      <c r="H12485" t="str">
        <f t="shared" si="69"/>
        <v xml:space="preserve"> - 0</v>
      </c>
      <c r="I12485">
        <f t="shared" si="70"/>
        <v>0</v>
      </c>
      <c r="J12485">
        <f t="shared" si="71"/>
        <v>0</v>
      </c>
    </row>
    <row r="12486" spans="6:10">
      <c r="F12486">
        <f t="shared" si="68"/>
        <v>0</v>
      </c>
      <c r="G12486">
        <f>COUNTIF($D$2:D12486,D12486)</f>
        <v>0</v>
      </c>
      <c r="H12486" t="str">
        <f t="shared" si="69"/>
        <v xml:space="preserve"> - 0</v>
      </c>
      <c r="I12486">
        <f t="shared" si="70"/>
        <v>0</v>
      </c>
      <c r="J12486">
        <f t="shared" si="71"/>
        <v>0</v>
      </c>
    </row>
    <row r="12487" spans="6:10">
      <c r="F12487">
        <f t="shared" si="68"/>
        <v>0</v>
      </c>
      <c r="G12487">
        <f>COUNTIF($D$2:D12487,D12487)</f>
        <v>0</v>
      </c>
      <c r="H12487" t="str">
        <f t="shared" si="69"/>
        <v xml:space="preserve"> - 0</v>
      </c>
      <c r="I12487">
        <f t="shared" si="70"/>
        <v>0</v>
      </c>
      <c r="J12487">
        <f t="shared" si="71"/>
        <v>0</v>
      </c>
    </row>
    <row r="12488" spans="6:10">
      <c r="F12488">
        <f t="shared" si="68"/>
        <v>0</v>
      </c>
      <c r="G12488">
        <f>COUNTIF($D$2:D12488,D12488)</f>
        <v>0</v>
      </c>
      <c r="H12488" t="str">
        <f t="shared" si="69"/>
        <v xml:space="preserve"> - 0</v>
      </c>
      <c r="I12488">
        <f t="shared" si="70"/>
        <v>0</v>
      </c>
      <c r="J12488">
        <f t="shared" si="71"/>
        <v>0</v>
      </c>
    </row>
    <row r="12489" spans="6:10">
      <c r="F12489">
        <f t="shared" si="68"/>
        <v>0</v>
      </c>
      <c r="G12489">
        <f>COUNTIF($D$2:D12489,D12489)</f>
        <v>0</v>
      </c>
      <c r="H12489" t="str">
        <f t="shared" si="69"/>
        <v xml:space="preserve"> - 0</v>
      </c>
      <c r="I12489">
        <f t="shared" si="70"/>
        <v>0</v>
      </c>
      <c r="J12489">
        <f t="shared" si="71"/>
        <v>0</v>
      </c>
    </row>
    <row r="12490" spans="6:10">
      <c r="F12490">
        <f t="shared" si="68"/>
        <v>0</v>
      </c>
      <c r="G12490">
        <f>COUNTIF($D$2:D12490,D12490)</f>
        <v>0</v>
      </c>
      <c r="H12490" t="str">
        <f t="shared" si="69"/>
        <v xml:space="preserve"> - 0</v>
      </c>
      <c r="I12490">
        <f t="shared" si="70"/>
        <v>0</v>
      </c>
      <c r="J12490">
        <f t="shared" si="71"/>
        <v>0</v>
      </c>
    </row>
    <row r="12491" spans="6:10">
      <c r="F12491">
        <f t="shared" si="68"/>
        <v>0</v>
      </c>
      <c r="G12491">
        <f>COUNTIF($D$2:D12491,D12491)</f>
        <v>0</v>
      </c>
      <c r="H12491" t="str">
        <f t="shared" si="69"/>
        <v xml:space="preserve"> - 0</v>
      </c>
      <c r="I12491">
        <f t="shared" si="70"/>
        <v>0</v>
      </c>
      <c r="J12491">
        <f t="shared" si="71"/>
        <v>0</v>
      </c>
    </row>
    <row r="12492" spans="6:10">
      <c r="F12492">
        <f t="shared" si="68"/>
        <v>0</v>
      </c>
      <c r="G12492">
        <f>COUNTIF($D$2:D12492,D12492)</f>
        <v>0</v>
      </c>
      <c r="H12492" t="str">
        <f t="shared" si="69"/>
        <v xml:space="preserve"> - 0</v>
      </c>
      <c r="I12492">
        <f t="shared" si="70"/>
        <v>0</v>
      </c>
      <c r="J12492">
        <f t="shared" si="71"/>
        <v>0</v>
      </c>
    </row>
    <row r="12493" spans="6:10">
      <c r="F12493">
        <f t="shared" si="68"/>
        <v>0</v>
      </c>
      <c r="G12493">
        <f>COUNTIF($D$2:D12493,D12493)</f>
        <v>0</v>
      </c>
      <c r="H12493" t="str">
        <f t="shared" si="69"/>
        <v xml:space="preserve"> - 0</v>
      </c>
      <c r="I12493">
        <f t="shared" si="70"/>
        <v>0</v>
      </c>
      <c r="J12493">
        <f t="shared" si="71"/>
        <v>0</v>
      </c>
    </row>
    <row r="12494" spans="6:10">
      <c r="F12494">
        <f t="shared" si="68"/>
        <v>0</v>
      </c>
      <c r="G12494">
        <f>COUNTIF($D$2:D12494,D12494)</f>
        <v>0</v>
      </c>
      <c r="H12494" t="str">
        <f t="shared" si="69"/>
        <v xml:space="preserve"> - 0</v>
      </c>
      <c r="I12494">
        <f t="shared" si="70"/>
        <v>0</v>
      </c>
      <c r="J12494">
        <f t="shared" si="71"/>
        <v>0</v>
      </c>
    </row>
    <row r="12495" spans="6:10">
      <c r="F12495">
        <f t="shared" si="68"/>
        <v>0</v>
      </c>
      <c r="G12495">
        <f>COUNTIF($D$2:D12495,D12495)</f>
        <v>0</v>
      </c>
      <c r="H12495" t="str">
        <f t="shared" si="69"/>
        <v xml:space="preserve"> - 0</v>
      </c>
      <c r="I12495">
        <f t="shared" si="70"/>
        <v>0</v>
      </c>
      <c r="J12495">
        <f t="shared" si="71"/>
        <v>0</v>
      </c>
    </row>
    <row r="12496" spans="6:10">
      <c r="F12496">
        <f t="shared" si="68"/>
        <v>0</v>
      </c>
      <c r="G12496">
        <f>COUNTIF($D$2:D12496,D12496)</f>
        <v>0</v>
      </c>
      <c r="H12496" t="str">
        <f t="shared" si="69"/>
        <v xml:space="preserve"> - 0</v>
      </c>
      <c r="I12496">
        <f t="shared" si="70"/>
        <v>0</v>
      </c>
      <c r="J12496">
        <f t="shared" si="71"/>
        <v>0</v>
      </c>
    </row>
    <row r="12497" spans="6:10">
      <c r="F12497">
        <f t="shared" si="68"/>
        <v>0</v>
      </c>
      <c r="G12497">
        <f>COUNTIF($D$2:D12497,D12497)</f>
        <v>0</v>
      </c>
      <c r="H12497" t="str">
        <f t="shared" si="69"/>
        <v xml:space="preserve"> - 0</v>
      </c>
      <c r="I12497">
        <f t="shared" si="70"/>
        <v>0</v>
      </c>
      <c r="J12497">
        <f t="shared" si="71"/>
        <v>0</v>
      </c>
    </row>
    <row r="12498" spans="6:10">
      <c r="F12498">
        <f t="shared" si="68"/>
        <v>0</v>
      </c>
      <c r="G12498">
        <f>COUNTIF($D$2:D12498,D12498)</f>
        <v>0</v>
      </c>
      <c r="H12498" t="str">
        <f t="shared" si="69"/>
        <v xml:space="preserve"> - 0</v>
      </c>
      <c r="I12498">
        <f t="shared" si="70"/>
        <v>0</v>
      </c>
      <c r="J12498">
        <f t="shared" si="71"/>
        <v>0</v>
      </c>
    </row>
    <row r="12499" spans="6:10">
      <c r="F12499">
        <f t="shared" si="68"/>
        <v>0</v>
      </c>
      <c r="G12499">
        <f>COUNTIF($D$2:D12499,D12499)</f>
        <v>0</v>
      </c>
      <c r="H12499" t="str">
        <f t="shared" si="69"/>
        <v xml:space="preserve"> - 0</v>
      </c>
      <c r="I12499">
        <f t="shared" si="70"/>
        <v>0</v>
      </c>
      <c r="J12499">
        <f t="shared" si="71"/>
        <v>0</v>
      </c>
    </row>
    <row r="12500" spans="6:10">
      <c r="F12500">
        <f t="shared" si="68"/>
        <v>0</v>
      </c>
      <c r="G12500">
        <f>COUNTIF($D$2:D12500,D12500)</f>
        <v>0</v>
      </c>
      <c r="H12500" t="str">
        <f t="shared" si="69"/>
        <v xml:space="preserve"> - 0</v>
      </c>
      <c r="I12500">
        <f t="shared" si="70"/>
        <v>0</v>
      </c>
      <c r="J12500">
        <f t="shared" si="71"/>
        <v>0</v>
      </c>
    </row>
    <row r="12501" spans="6:10">
      <c r="F12501">
        <f t="shared" si="68"/>
        <v>0</v>
      </c>
      <c r="G12501">
        <f>COUNTIF($D$2:D12501,D12501)</f>
        <v>0</v>
      </c>
      <c r="H12501" t="str">
        <f t="shared" si="69"/>
        <v xml:space="preserve"> - 0</v>
      </c>
      <c r="I12501">
        <f t="shared" si="70"/>
        <v>0</v>
      </c>
      <c r="J12501">
        <f t="shared" si="71"/>
        <v>0</v>
      </c>
    </row>
    <row r="12502" spans="6:10">
      <c r="F12502">
        <f t="shared" si="68"/>
        <v>0</v>
      </c>
      <c r="G12502">
        <f>COUNTIF($D$2:D12502,D12502)</f>
        <v>0</v>
      </c>
      <c r="H12502" t="str">
        <f t="shared" si="69"/>
        <v xml:space="preserve"> - 0</v>
      </c>
      <c r="I12502">
        <f t="shared" si="70"/>
        <v>0</v>
      </c>
      <c r="J12502">
        <f t="shared" si="71"/>
        <v>0</v>
      </c>
    </row>
    <row r="12503" spans="6:10">
      <c r="F12503">
        <f t="shared" si="68"/>
        <v>0</v>
      </c>
      <c r="G12503">
        <f>COUNTIF($D$2:D12503,D12503)</f>
        <v>0</v>
      </c>
      <c r="H12503" t="str">
        <f t="shared" si="69"/>
        <v xml:space="preserve"> - 0</v>
      </c>
      <c r="I12503">
        <f t="shared" si="70"/>
        <v>0</v>
      </c>
      <c r="J12503">
        <f t="shared" si="71"/>
        <v>0</v>
      </c>
    </row>
    <row r="12504" spans="6:10">
      <c r="F12504">
        <f t="shared" si="68"/>
        <v>0</v>
      </c>
      <c r="G12504">
        <f>COUNTIF($D$2:D12504,D12504)</f>
        <v>0</v>
      </c>
      <c r="H12504" t="str">
        <f t="shared" si="69"/>
        <v xml:space="preserve"> - 0</v>
      </c>
      <c r="I12504">
        <f t="shared" si="70"/>
        <v>0</v>
      </c>
      <c r="J12504">
        <f t="shared" si="71"/>
        <v>0</v>
      </c>
    </row>
    <row r="12505" spans="6:10">
      <c r="F12505">
        <f t="shared" si="68"/>
        <v>0</v>
      </c>
      <c r="G12505">
        <f>COUNTIF($D$2:D12505,D12505)</f>
        <v>0</v>
      </c>
      <c r="H12505" t="str">
        <f t="shared" si="69"/>
        <v xml:space="preserve"> - 0</v>
      </c>
      <c r="I12505">
        <f t="shared" si="70"/>
        <v>0</v>
      </c>
      <c r="J12505">
        <f t="shared" si="71"/>
        <v>0</v>
      </c>
    </row>
    <row r="12506" spans="6:10">
      <c r="F12506">
        <f t="shared" si="68"/>
        <v>0</v>
      </c>
      <c r="G12506">
        <f>COUNTIF($D$2:D12506,D12506)</f>
        <v>0</v>
      </c>
      <c r="H12506" t="str">
        <f t="shared" si="69"/>
        <v xml:space="preserve"> - 0</v>
      </c>
      <c r="I12506">
        <f t="shared" si="70"/>
        <v>0</v>
      </c>
      <c r="J12506">
        <f t="shared" si="71"/>
        <v>0</v>
      </c>
    </row>
    <row r="12507" spans="6:10">
      <c r="F12507">
        <f t="shared" si="68"/>
        <v>0</v>
      </c>
      <c r="G12507">
        <f>COUNTIF($D$2:D12507,D12507)</f>
        <v>0</v>
      </c>
      <c r="H12507" t="str">
        <f t="shared" si="69"/>
        <v xml:space="preserve"> - 0</v>
      </c>
      <c r="I12507">
        <f t="shared" si="70"/>
        <v>0</v>
      </c>
      <c r="J12507">
        <f t="shared" si="71"/>
        <v>0</v>
      </c>
    </row>
    <row r="12508" spans="6:10">
      <c r="F12508">
        <f t="shared" si="68"/>
        <v>0</v>
      </c>
      <c r="G12508">
        <f>COUNTIF($D$2:D12508,D12508)</f>
        <v>0</v>
      </c>
      <c r="H12508" t="str">
        <f t="shared" si="69"/>
        <v xml:space="preserve"> - 0</v>
      </c>
      <c r="I12508">
        <f t="shared" si="70"/>
        <v>0</v>
      </c>
      <c r="J12508">
        <f t="shared" si="71"/>
        <v>0</v>
      </c>
    </row>
    <row r="12509" spans="6:10">
      <c r="F12509">
        <f t="shared" si="68"/>
        <v>0</v>
      </c>
      <c r="G12509">
        <f>COUNTIF($D$2:D12509,D12509)</f>
        <v>0</v>
      </c>
      <c r="H12509" t="str">
        <f t="shared" si="69"/>
        <v xml:space="preserve"> - 0</v>
      </c>
      <c r="I12509">
        <f t="shared" si="70"/>
        <v>0</v>
      </c>
      <c r="J12509">
        <f t="shared" si="71"/>
        <v>0</v>
      </c>
    </row>
    <row r="12510" spans="6:10">
      <c r="F12510">
        <f t="shared" si="68"/>
        <v>0</v>
      </c>
      <c r="G12510">
        <f>COUNTIF($D$2:D12510,D12510)</f>
        <v>0</v>
      </c>
      <c r="H12510" t="str">
        <f t="shared" si="69"/>
        <v xml:space="preserve"> - 0</v>
      </c>
      <c r="I12510">
        <f t="shared" si="70"/>
        <v>0</v>
      </c>
      <c r="J12510">
        <f t="shared" si="71"/>
        <v>0</v>
      </c>
    </row>
    <row r="12511" spans="6:10">
      <c r="F12511">
        <f t="shared" si="68"/>
        <v>0</v>
      </c>
      <c r="G12511">
        <f>COUNTIF($D$2:D12511,D12511)</f>
        <v>0</v>
      </c>
      <c r="H12511" t="str">
        <f t="shared" si="69"/>
        <v xml:space="preserve"> - 0</v>
      </c>
      <c r="I12511">
        <f t="shared" si="70"/>
        <v>0</v>
      </c>
      <c r="J12511">
        <f t="shared" si="71"/>
        <v>0</v>
      </c>
    </row>
    <row r="12512" spans="6:10">
      <c r="F12512">
        <f t="shared" si="68"/>
        <v>0</v>
      </c>
      <c r="G12512">
        <f>COUNTIF($D$2:D12512,D12512)</f>
        <v>0</v>
      </c>
      <c r="H12512" t="str">
        <f t="shared" si="69"/>
        <v xml:space="preserve"> - 0</v>
      </c>
      <c r="I12512">
        <f t="shared" si="70"/>
        <v>0</v>
      </c>
      <c r="J12512">
        <f t="shared" si="71"/>
        <v>0</v>
      </c>
    </row>
    <row r="12513" spans="6:10">
      <c r="F12513">
        <f t="shared" si="68"/>
        <v>0</v>
      </c>
      <c r="G12513">
        <f>COUNTIF($D$2:D12513,D12513)</f>
        <v>0</v>
      </c>
      <c r="H12513" t="str">
        <f t="shared" si="69"/>
        <v xml:space="preserve"> - 0</v>
      </c>
      <c r="I12513">
        <f t="shared" si="70"/>
        <v>0</v>
      </c>
      <c r="J12513">
        <f t="shared" si="71"/>
        <v>0</v>
      </c>
    </row>
    <row r="12514" spans="6:10">
      <c r="F12514">
        <f t="shared" si="68"/>
        <v>0</v>
      </c>
      <c r="G12514">
        <f>COUNTIF($D$2:D12514,D12514)</f>
        <v>0</v>
      </c>
      <c r="H12514" t="str">
        <f t="shared" si="69"/>
        <v xml:space="preserve"> - 0</v>
      </c>
      <c r="I12514">
        <f t="shared" si="70"/>
        <v>0</v>
      </c>
      <c r="J12514">
        <f t="shared" si="71"/>
        <v>0</v>
      </c>
    </row>
    <row r="12515" spans="6:10">
      <c r="F12515">
        <f t="shared" si="68"/>
        <v>0</v>
      </c>
      <c r="G12515">
        <f>COUNTIF($D$2:D12515,D12515)</f>
        <v>0</v>
      </c>
      <c r="H12515" t="str">
        <f t="shared" si="69"/>
        <v xml:space="preserve"> - 0</v>
      </c>
      <c r="I12515">
        <f t="shared" si="70"/>
        <v>0</v>
      </c>
      <c r="J12515">
        <f t="shared" si="71"/>
        <v>0</v>
      </c>
    </row>
    <row r="12516" spans="6:10">
      <c r="F12516">
        <f t="shared" si="68"/>
        <v>0</v>
      </c>
      <c r="G12516">
        <f>COUNTIF($D$2:D12516,D12516)</f>
        <v>0</v>
      </c>
      <c r="H12516" t="str">
        <f t="shared" si="69"/>
        <v xml:space="preserve"> - 0</v>
      </c>
      <c r="I12516">
        <f t="shared" si="70"/>
        <v>0</v>
      </c>
      <c r="J12516">
        <f t="shared" si="71"/>
        <v>0</v>
      </c>
    </row>
    <row r="12517" spans="6:10">
      <c r="F12517">
        <f t="shared" si="68"/>
        <v>0</v>
      </c>
      <c r="G12517">
        <f>COUNTIF($D$2:D12517,D12517)</f>
        <v>0</v>
      </c>
      <c r="H12517" t="str">
        <f t="shared" si="69"/>
        <v xml:space="preserve"> - 0</v>
      </c>
      <c r="I12517">
        <f t="shared" si="70"/>
        <v>0</v>
      </c>
      <c r="J12517">
        <f t="shared" si="71"/>
        <v>0</v>
      </c>
    </row>
    <row r="12518" spans="6:10">
      <c r="F12518">
        <f t="shared" si="68"/>
        <v>0</v>
      </c>
      <c r="G12518">
        <f>COUNTIF($D$2:D12518,D12518)</f>
        <v>0</v>
      </c>
      <c r="H12518" t="str">
        <f t="shared" si="69"/>
        <v xml:space="preserve"> - 0</v>
      </c>
      <c r="I12518">
        <f t="shared" si="70"/>
        <v>0</v>
      </c>
      <c r="J12518">
        <f t="shared" si="71"/>
        <v>0</v>
      </c>
    </row>
    <row r="12519" spans="6:10">
      <c r="F12519">
        <f t="shared" si="68"/>
        <v>0</v>
      </c>
      <c r="G12519">
        <f>COUNTIF($D$2:D12519,D12519)</f>
        <v>0</v>
      </c>
      <c r="H12519" t="str">
        <f t="shared" si="69"/>
        <v xml:space="preserve"> - 0</v>
      </c>
      <c r="I12519">
        <f t="shared" si="70"/>
        <v>0</v>
      </c>
      <c r="J12519">
        <f t="shared" si="71"/>
        <v>0</v>
      </c>
    </row>
    <row r="12520" spans="6:10">
      <c r="F12520">
        <f t="shared" si="68"/>
        <v>0</v>
      </c>
      <c r="G12520">
        <f>COUNTIF($D$2:D12520,D12520)</f>
        <v>0</v>
      </c>
      <c r="H12520" t="str">
        <f t="shared" si="69"/>
        <v xml:space="preserve"> - 0</v>
      </c>
      <c r="I12520">
        <f t="shared" si="70"/>
        <v>0</v>
      </c>
      <c r="J12520">
        <f t="shared" si="71"/>
        <v>0</v>
      </c>
    </row>
    <row r="12521" spans="6:10">
      <c r="F12521">
        <f t="shared" ref="F12521:F12568" si="72">COUNTIF($D$2:$D$35910,D12521)</f>
        <v>0</v>
      </c>
      <c r="G12521">
        <f>COUNTIF($D$2:D12521,D12521)</f>
        <v>0</v>
      </c>
      <c r="H12521" t="str">
        <f t="shared" ref="H12521:H12568" si="73">D12521&amp;" - "&amp;G12521&amp;AH12521</f>
        <v xml:space="preserve"> - 0</v>
      </c>
      <c r="I12521">
        <f t="shared" ref="I12521:I12568" si="74">A12521</f>
        <v>0</v>
      </c>
      <c r="J12521">
        <f t="shared" ref="J12521:J12568" si="75">B12521</f>
        <v>0</v>
      </c>
    </row>
    <row r="12522" spans="6:10">
      <c r="F12522">
        <f t="shared" si="72"/>
        <v>0</v>
      </c>
      <c r="G12522">
        <f>COUNTIF($D$2:D12522,D12522)</f>
        <v>0</v>
      </c>
      <c r="H12522" t="str">
        <f t="shared" si="73"/>
        <v xml:space="preserve"> - 0</v>
      </c>
      <c r="I12522">
        <f t="shared" si="74"/>
        <v>0</v>
      </c>
      <c r="J12522">
        <f t="shared" si="75"/>
        <v>0</v>
      </c>
    </row>
    <row r="12523" spans="6:10">
      <c r="F12523">
        <f t="shared" si="72"/>
        <v>0</v>
      </c>
      <c r="G12523">
        <f>COUNTIF($D$2:D12523,D12523)</f>
        <v>0</v>
      </c>
      <c r="H12523" t="str">
        <f t="shared" si="73"/>
        <v xml:space="preserve"> - 0</v>
      </c>
      <c r="I12523">
        <f t="shared" si="74"/>
        <v>0</v>
      </c>
      <c r="J12523">
        <f t="shared" si="75"/>
        <v>0</v>
      </c>
    </row>
    <row r="12524" spans="6:10">
      <c r="F12524">
        <f t="shared" si="72"/>
        <v>0</v>
      </c>
      <c r="G12524">
        <f>COUNTIF($D$2:D12524,D12524)</f>
        <v>0</v>
      </c>
      <c r="H12524" t="str">
        <f t="shared" si="73"/>
        <v xml:space="preserve"> - 0</v>
      </c>
      <c r="I12524">
        <f t="shared" si="74"/>
        <v>0</v>
      </c>
      <c r="J12524">
        <f t="shared" si="75"/>
        <v>0</v>
      </c>
    </row>
    <row r="12525" spans="6:10">
      <c r="F12525">
        <f t="shared" si="72"/>
        <v>0</v>
      </c>
      <c r="G12525">
        <f>COUNTIF($D$2:D12525,D12525)</f>
        <v>0</v>
      </c>
      <c r="H12525" t="str">
        <f t="shared" si="73"/>
        <v xml:space="preserve"> - 0</v>
      </c>
      <c r="I12525">
        <f t="shared" si="74"/>
        <v>0</v>
      </c>
      <c r="J12525">
        <f t="shared" si="75"/>
        <v>0</v>
      </c>
    </row>
    <row r="12526" spans="6:10">
      <c r="F12526">
        <f t="shared" si="72"/>
        <v>0</v>
      </c>
      <c r="G12526">
        <f>COUNTIF($D$2:D12526,D12526)</f>
        <v>0</v>
      </c>
      <c r="H12526" t="str">
        <f t="shared" si="73"/>
        <v xml:space="preserve"> - 0</v>
      </c>
      <c r="I12526">
        <f t="shared" si="74"/>
        <v>0</v>
      </c>
      <c r="J12526">
        <f t="shared" si="75"/>
        <v>0</v>
      </c>
    </row>
    <row r="12527" spans="6:10">
      <c r="F12527">
        <f t="shared" si="72"/>
        <v>0</v>
      </c>
      <c r="G12527">
        <f>COUNTIF($D$2:D12527,D12527)</f>
        <v>0</v>
      </c>
      <c r="H12527" t="str">
        <f t="shared" si="73"/>
        <v xml:space="preserve"> - 0</v>
      </c>
      <c r="I12527">
        <f t="shared" si="74"/>
        <v>0</v>
      </c>
      <c r="J12527">
        <f t="shared" si="75"/>
        <v>0</v>
      </c>
    </row>
    <row r="12528" spans="6:10">
      <c r="F12528">
        <f t="shared" si="72"/>
        <v>0</v>
      </c>
      <c r="G12528">
        <f>COUNTIF($D$2:D12528,D12528)</f>
        <v>0</v>
      </c>
      <c r="H12528" t="str">
        <f t="shared" si="73"/>
        <v xml:space="preserve"> - 0</v>
      </c>
      <c r="I12528">
        <f t="shared" si="74"/>
        <v>0</v>
      </c>
      <c r="J12528">
        <f t="shared" si="75"/>
        <v>0</v>
      </c>
    </row>
    <row r="12529" spans="6:10">
      <c r="F12529">
        <f t="shared" si="72"/>
        <v>0</v>
      </c>
      <c r="G12529">
        <f>COUNTIF($D$2:D12529,D12529)</f>
        <v>0</v>
      </c>
      <c r="H12529" t="str">
        <f t="shared" si="73"/>
        <v xml:space="preserve"> - 0</v>
      </c>
      <c r="I12529">
        <f t="shared" si="74"/>
        <v>0</v>
      </c>
      <c r="J12529">
        <f t="shared" si="75"/>
        <v>0</v>
      </c>
    </row>
    <row r="12530" spans="6:10">
      <c r="F12530">
        <f t="shared" si="72"/>
        <v>0</v>
      </c>
      <c r="G12530">
        <f>COUNTIF($D$2:D12530,D12530)</f>
        <v>0</v>
      </c>
      <c r="H12530" t="str">
        <f t="shared" si="73"/>
        <v xml:space="preserve"> - 0</v>
      </c>
      <c r="I12530">
        <f t="shared" si="74"/>
        <v>0</v>
      </c>
      <c r="J12530">
        <f t="shared" si="75"/>
        <v>0</v>
      </c>
    </row>
    <row r="12531" spans="6:10">
      <c r="F12531">
        <f t="shared" si="72"/>
        <v>0</v>
      </c>
      <c r="G12531">
        <f>COUNTIF($D$2:D12531,D12531)</f>
        <v>0</v>
      </c>
      <c r="H12531" t="str">
        <f t="shared" si="73"/>
        <v xml:space="preserve"> - 0</v>
      </c>
      <c r="I12531">
        <f t="shared" si="74"/>
        <v>0</v>
      </c>
      <c r="J12531">
        <f t="shared" si="75"/>
        <v>0</v>
      </c>
    </row>
    <row r="12532" spans="6:10">
      <c r="F12532">
        <f t="shared" si="72"/>
        <v>0</v>
      </c>
      <c r="G12532">
        <f>COUNTIF($D$2:D12532,D12532)</f>
        <v>0</v>
      </c>
      <c r="H12532" t="str">
        <f t="shared" si="73"/>
        <v xml:space="preserve"> - 0</v>
      </c>
      <c r="I12532">
        <f t="shared" si="74"/>
        <v>0</v>
      </c>
      <c r="J12532">
        <f t="shared" si="75"/>
        <v>0</v>
      </c>
    </row>
    <row r="12533" spans="6:10">
      <c r="F12533">
        <f t="shared" si="72"/>
        <v>0</v>
      </c>
      <c r="G12533">
        <f>COUNTIF($D$2:D12533,D12533)</f>
        <v>0</v>
      </c>
      <c r="H12533" t="str">
        <f t="shared" si="73"/>
        <v xml:space="preserve"> - 0</v>
      </c>
      <c r="I12533">
        <f t="shared" si="74"/>
        <v>0</v>
      </c>
      <c r="J12533">
        <f t="shared" si="75"/>
        <v>0</v>
      </c>
    </row>
    <row r="12534" spans="6:10">
      <c r="F12534">
        <f t="shared" si="72"/>
        <v>0</v>
      </c>
      <c r="G12534">
        <f>COUNTIF($D$2:D12534,D12534)</f>
        <v>0</v>
      </c>
      <c r="H12534" t="str">
        <f t="shared" si="73"/>
        <v xml:space="preserve"> - 0</v>
      </c>
      <c r="I12534">
        <f t="shared" si="74"/>
        <v>0</v>
      </c>
      <c r="J12534">
        <f t="shared" si="75"/>
        <v>0</v>
      </c>
    </row>
    <row r="12535" spans="6:10">
      <c r="F12535">
        <f t="shared" si="72"/>
        <v>0</v>
      </c>
      <c r="G12535">
        <f>COUNTIF($D$2:D12535,D12535)</f>
        <v>0</v>
      </c>
      <c r="H12535" t="str">
        <f t="shared" si="73"/>
        <v xml:space="preserve"> - 0</v>
      </c>
      <c r="I12535">
        <f t="shared" si="74"/>
        <v>0</v>
      </c>
      <c r="J12535">
        <f t="shared" si="75"/>
        <v>0</v>
      </c>
    </row>
    <row r="12536" spans="6:10">
      <c r="F12536">
        <f t="shared" si="72"/>
        <v>0</v>
      </c>
      <c r="G12536">
        <f>COUNTIF($D$2:D12536,D12536)</f>
        <v>0</v>
      </c>
      <c r="H12536" t="str">
        <f t="shared" si="73"/>
        <v xml:space="preserve"> - 0</v>
      </c>
      <c r="I12536">
        <f t="shared" si="74"/>
        <v>0</v>
      </c>
      <c r="J12536">
        <f t="shared" si="75"/>
        <v>0</v>
      </c>
    </row>
    <row r="12537" spans="6:10">
      <c r="F12537">
        <f t="shared" si="72"/>
        <v>0</v>
      </c>
      <c r="G12537">
        <f>COUNTIF($D$2:D12537,D12537)</f>
        <v>0</v>
      </c>
      <c r="H12537" t="str">
        <f t="shared" si="73"/>
        <v xml:space="preserve"> - 0</v>
      </c>
      <c r="I12537">
        <f t="shared" si="74"/>
        <v>0</v>
      </c>
      <c r="J12537">
        <f t="shared" si="75"/>
        <v>0</v>
      </c>
    </row>
    <row r="12538" spans="6:10">
      <c r="F12538">
        <f t="shared" si="72"/>
        <v>0</v>
      </c>
      <c r="G12538">
        <f>COUNTIF($D$2:D12538,D12538)</f>
        <v>0</v>
      </c>
      <c r="H12538" t="str">
        <f t="shared" si="73"/>
        <v xml:space="preserve"> - 0</v>
      </c>
      <c r="I12538">
        <f t="shared" si="74"/>
        <v>0</v>
      </c>
      <c r="J12538">
        <f t="shared" si="75"/>
        <v>0</v>
      </c>
    </row>
    <row r="12539" spans="6:10">
      <c r="F12539">
        <f t="shared" si="72"/>
        <v>0</v>
      </c>
      <c r="G12539">
        <f>COUNTIF($D$2:D12539,D12539)</f>
        <v>0</v>
      </c>
      <c r="H12539" t="str">
        <f t="shared" si="73"/>
        <v xml:space="preserve"> - 0</v>
      </c>
      <c r="I12539">
        <f t="shared" si="74"/>
        <v>0</v>
      </c>
      <c r="J12539">
        <f t="shared" si="75"/>
        <v>0</v>
      </c>
    </row>
    <row r="12540" spans="6:10">
      <c r="F12540">
        <f t="shared" si="72"/>
        <v>0</v>
      </c>
      <c r="G12540">
        <f>COUNTIF($D$2:D12540,D12540)</f>
        <v>0</v>
      </c>
      <c r="H12540" t="str">
        <f t="shared" si="73"/>
        <v xml:space="preserve"> - 0</v>
      </c>
      <c r="I12540">
        <f t="shared" si="74"/>
        <v>0</v>
      </c>
      <c r="J12540">
        <f t="shared" si="75"/>
        <v>0</v>
      </c>
    </row>
    <row r="12541" spans="6:10">
      <c r="F12541">
        <f t="shared" si="72"/>
        <v>0</v>
      </c>
      <c r="G12541">
        <f>COUNTIF($D$2:D12541,D12541)</f>
        <v>0</v>
      </c>
      <c r="H12541" t="str">
        <f t="shared" si="73"/>
        <v xml:space="preserve"> - 0</v>
      </c>
      <c r="I12541">
        <f t="shared" si="74"/>
        <v>0</v>
      </c>
      <c r="J12541">
        <f t="shared" si="75"/>
        <v>0</v>
      </c>
    </row>
    <row r="12542" spans="6:10">
      <c r="F12542">
        <f t="shared" si="72"/>
        <v>0</v>
      </c>
      <c r="G12542">
        <f>COUNTIF($D$2:D12542,D12542)</f>
        <v>0</v>
      </c>
      <c r="H12542" t="str">
        <f t="shared" si="73"/>
        <v xml:space="preserve"> - 0</v>
      </c>
      <c r="I12542">
        <f t="shared" si="74"/>
        <v>0</v>
      </c>
      <c r="J12542">
        <f t="shared" si="75"/>
        <v>0</v>
      </c>
    </row>
    <row r="12543" spans="6:10">
      <c r="F12543">
        <f t="shared" si="72"/>
        <v>0</v>
      </c>
      <c r="G12543">
        <f>COUNTIF($D$2:D12543,D12543)</f>
        <v>0</v>
      </c>
      <c r="H12543" t="str">
        <f t="shared" si="73"/>
        <v xml:space="preserve"> - 0</v>
      </c>
      <c r="I12543">
        <f t="shared" si="74"/>
        <v>0</v>
      </c>
      <c r="J12543">
        <f t="shared" si="75"/>
        <v>0</v>
      </c>
    </row>
    <row r="12544" spans="6:10">
      <c r="F12544">
        <f t="shared" si="72"/>
        <v>0</v>
      </c>
      <c r="G12544">
        <f>COUNTIF($D$2:D12544,D12544)</f>
        <v>0</v>
      </c>
      <c r="H12544" t="str">
        <f t="shared" si="73"/>
        <v xml:space="preserve"> - 0</v>
      </c>
      <c r="I12544">
        <f t="shared" si="74"/>
        <v>0</v>
      </c>
      <c r="J12544">
        <f t="shared" si="75"/>
        <v>0</v>
      </c>
    </row>
    <row r="12545" spans="6:10">
      <c r="F12545">
        <f t="shared" si="72"/>
        <v>0</v>
      </c>
      <c r="G12545">
        <f>COUNTIF($D$2:D12545,D12545)</f>
        <v>0</v>
      </c>
      <c r="H12545" t="str">
        <f t="shared" si="73"/>
        <v xml:space="preserve"> - 0</v>
      </c>
      <c r="I12545">
        <f t="shared" si="74"/>
        <v>0</v>
      </c>
      <c r="J12545">
        <f t="shared" si="75"/>
        <v>0</v>
      </c>
    </row>
    <row r="12546" spans="6:10">
      <c r="F12546">
        <f t="shared" si="72"/>
        <v>0</v>
      </c>
      <c r="G12546">
        <f>COUNTIF($D$2:D12546,D12546)</f>
        <v>0</v>
      </c>
      <c r="H12546" t="str">
        <f t="shared" si="73"/>
        <v xml:space="preserve"> - 0</v>
      </c>
      <c r="I12546">
        <f t="shared" si="74"/>
        <v>0</v>
      </c>
      <c r="J12546">
        <f t="shared" si="75"/>
        <v>0</v>
      </c>
    </row>
    <row r="12547" spans="6:10">
      <c r="F12547">
        <f t="shared" si="72"/>
        <v>0</v>
      </c>
      <c r="G12547">
        <f>COUNTIF($D$2:D12547,D12547)</f>
        <v>0</v>
      </c>
      <c r="H12547" t="str">
        <f t="shared" si="73"/>
        <v xml:space="preserve"> - 0</v>
      </c>
      <c r="I12547">
        <f t="shared" si="74"/>
        <v>0</v>
      </c>
      <c r="J12547">
        <f t="shared" si="75"/>
        <v>0</v>
      </c>
    </row>
    <row r="12548" spans="6:10">
      <c r="F12548">
        <f t="shared" si="72"/>
        <v>0</v>
      </c>
      <c r="G12548">
        <f>COUNTIF($D$2:D12548,D12548)</f>
        <v>0</v>
      </c>
      <c r="H12548" t="str">
        <f t="shared" si="73"/>
        <v xml:space="preserve"> - 0</v>
      </c>
      <c r="I12548">
        <f t="shared" si="74"/>
        <v>0</v>
      </c>
      <c r="J12548">
        <f t="shared" si="75"/>
        <v>0</v>
      </c>
    </row>
    <row r="12549" spans="6:10">
      <c r="F12549">
        <f t="shared" si="72"/>
        <v>0</v>
      </c>
      <c r="G12549">
        <f>COUNTIF($D$2:D12549,D12549)</f>
        <v>0</v>
      </c>
      <c r="H12549" t="str">
        <f t="shared" si="73"/>
        <v xml:space="preserve"> - 0</v>
      </c>
      <c r="I12549">
        <f t="shared" si="74"/>
        <v>0</v>
      </c>
      <c r="J12549">
        <f t="shared" si="75"/>
        <v>0</v>
      </c>
    </row>
    <row r="12550" spans="6:10">
      <c r="F12550">
        <f t="shared" si="72"/>
        <v>0</v>
      </c>
      <c r="G12550">
        <f>COUNTIF($D$2:D12550,D12550)</f>
        <v>0</v>
      </c>
      <c r="H12550" t="str">
        <f t="shared" si="73"/>
        <v xml:space="preserve"> - 0</v>
      </c>
      <c r="I12550">
        <f t="shared" si="74"/>
        <v>0</v>
      </c>
      <c r="J12550">
        <f t="shared" si="75"/>
        <v>0</v>
      </c>
    </row>
    <row r="12551" spans="6:10">
      <c r="F12551">
        <f t="shared" si="72"/>
        <v>0</v>
      </c>
      <c r="G12551">
        <f>COUNTIF($D$2:D12551,D12551)</f>
        <v>0</v>
      </c>
      <c r="H12551" t="str">
        <f t="shared" si="73"/>
        <v xml:space="preserve"> - 0</v>
      </c>
      <c r="I12551">
        <f t="shared" si="74"/>
        <v>0</v>
      </c>
      <c r="J12551">
        <f t="shared" si="75"/>
        <v>0</v>
      </c>
    </row>
    <row r="12552" spans="6:10">
      <c r="F12552">
        <f t="shared" si="72"/>
        <v>0</v>
      </c>
      <c r="G12552">
        <f>COUNTIF($D$2:D12552,D12552)</f>
        <v>0</v>
      </c>
      <c r="H12552" t="str">
        <f t="shared" si="73"/>
        <v xml:space="preserve"> - 0</v>
      </c>
      <c r="I12552">
        <f t="shared" si="74"/>
        <v>0</v>
      </c>
      <c r="J12552">
        <f t="shared" si="75"/>
        <v>0</v>
      </c>
    </row>
    <row r="12553" spans="6:10">
      <c r="F12553">
        <f t="shared" si="72"/>
        <v>0</v>
      </c>
      <c r="G12553">
        <f>COUNTIF($D$2:D12553,D12553)</f>
        <v>0</v>
      </c>
      <c r="H12553" t="str">
        <f t="shared" si="73"/>
        <v xml:space="preserve"> - 0</v>
      </c>
      <c r="I12553">
        <f t="shared" si="74"/>
        <v>0</v>
      </c>
      <c r="J12553">
        <f t="shared" si="75"/>
        <v>0</v>
      </c>
    </row>
    <row r="12554" spans="6:10">
      <c r="F12554">
        <f t="shared" si="72"/>
        <v>0</v>
      </c>
      <c r="G12554">
        <f>COUNTIF($D$2:D12554,D12554)</f>
        <v>0</v>
      </c>
      <c r="H12554" t="str">
        <f t="shared" si="73"/>
        <v xml:space="preserve"> - 0</v>
      </c>
      <c r="I12554">
        <f t="shared" si="74"/>
        <v>0</v>
      </c>
      <c r="J12554">
        <f t="shared" si="75"/>
        <v>0</v>
      </c>
    </row>
    <row r="12555" spans="6:10">
      <c r="F12555">
        <f t="shared" si="72"/>
        <v>0</v>
      </c>
      <c r="G12555">
        <f>COUNTIF($D$2:D12555,D12555)</f>
        <v>0</v>
      </c>
      <c r="H12555" t="str">
        <f t="shared" si="73"/>
        <v xml:space="preserve"> - 0</v>
      </c>
      <c r="I12555">
        <f t="shared" si="74"/>
        <v>0</v>
      </c>
      <c r="J12555">
        <f t="shared" si="75"/>
        <v>0</v>
      </c>
    </row>
    <row r="12556" spans="6:10">
      <c r="F12556">
        <f t="shared" si="72"/>
        <v>0</v>
      </c>
      <c r="G12556">
        <f>COUNTIF($D$2:D12556,D12556)</f>
        <v>0</v>
      </c>
      <c r="H12556" t="str">
        <f t="shared" si="73"/>
        <v xml:space="preserve"> - 0</v>
      </c>
      <c r="I12556">
        <f t="shared" si="74"/>
        <v>0</v>
      </c>
      <c r="J12556">
        <f t="shared" si="75"/>
        <v>0</v>
      </c>
    </row>
    <row r="12557" spans="6:10">
      <c r="F12557">
        <f t="shared" si="72"/>
        <v>0</v>
      </c>
      <c r="G12557">
        <f>COUNTIF($D$2:D12557,D12557)</f>
        <v>0</v>
      </c>
      <c r="H12557" t="str">
        <f t="shared" si="73"/>
        <v xml:space="preserve"> - 0</v>
      </c>
      <c r="I12557">
        <f t="shared" si="74"/>
        <v>0</v>
      </c>
      <c r="J12557">
        <f t="shared" si="75"/>
        <v>0</v>
      </c>
    </row>
    <row r="12558" spans="6:10">
      <c r="F12558">
        <f t="shared" si="72"/>
        <v>0</v>
      </c>
      <c r="G12558">
        <f>COUNTIF($D$2:D12558,D12558)</f>
        <v>0</v>
      </c>
      <c r="H12558" t="str">
        <f t="shared" si="73"/>
        <v xml:space="preserve"> - 0</v>
      </c>
      <c r="I12558">
        <f t="shared" si="74"/>
        <v>0</v>
      </c>
      <c r="J12558">
        <f t="shared" si="75"/>
        <v>0</v>
      </c>
    </row>
    <row r="12559" spans="6:10">
      <c r="F12559">
        <f t="shared" si="72"/>
        <v>0</v>
      </c>
      <c r="G12559">
        <f>COUNTIF($D$2:D12559,D12559)</f>
        <v>0</v>
      </c>
      <c r="H12559" t="str">
        <f t="shared" si="73"/>
        <v xml:space="preserve"> - 0</v>
      </c>
      <c r="I12559">
        <f t="shared" si="74"/>
        <v>0</v>
      </c>
      <c r="J12559">
        <f t="shared" si="75"/>
        <v>0</v>
      </c>
    </row>
    <row r="12560" spans="6:10">
      <c r="F12560">
        <f t="shared" si="72"/>
        <v>0</v>
      </c>
      <c r="G12560">
        <f>COUNTIF($D$2:D12560,D12560)</f>
        <v>0</v>
      </c>
      <c r="H12560" t="str">
        <f t="shared" si="73"/>
        <v xml:space="preserve"> - 0</v>
      </c>
      <c r="I12560">
        <f t="shared" si="74"/>
        <v>0</v>
      </c>
      <c r="J12560">
        <f t="shared" si="75"/>
        <v>0</v>
      </c>
    </row>
    <row r="12561" spans="6:10">
      <c r="F12561">
        <f t="shared" si="72"/>
        <v>0</v>
      </c>
      <c r="G12561">
        <f>COUNTIF($D$2:D12561,D12561)</f>
        <v>0</v>
      </c>
      <c r="H12561" t="str">
        <f t="shared" si="73"/>
        <v xml:space="preserve"> - 0</v>
      </c>
      <c r="I12561">
        <f t="shared" si="74"/>
        <v>0</v>
      </c>
      <c r="J12561">
        <f t="shared" si="75"/>
        <v>0</v>
      </c>
    </row>
    <row r="12562" spans="6:10">
      <c r="F12562">
        <f t="shared" si="72"/>
        <v>0</v>
      </c>
      <c r="G12562">
        <f>COUNTIF($D$2:D12562,D12562)</f>
        <v>0</v>
      </c>
      <c r="H12562" t="str">
        <f t="shared" si="73"/>
        <v xml:space="preserve"> - 0</v>
      </c>
      <c r="I12562">
        <f t="shared" si="74"/>
        <v>0</v>
      </c>
      <c r="J12562">
        <f t="shared" si="75"/>
        <v>0</v>
      </c>
    </row>
    <row r="12563" spans="6:10">
      <c r="F12563">
        <f t="shared" si="72"/>
        <v>0</v>
      </c>
      <c r="G12563">
        <f>COUNTIF($D$2:D12563,D12563)</f>
        <v>0</v>
      </c>
      <c r="H12563" t="str">
        <f t="shared" si="73"/>
        <v xml:space="preserve"> - 0</v>
      </c>
      <c r="I12563">
        <f t="shared" si="74"/>
        <v>0</v>
      </c>
      <c r="J12563">
        <f t="shared" si="75"/>
        <v>0</v>
      </c>
    </row>
    <row r="12564" spans="6:10">
      <c r="F12564">
        <f t="shared" si="72"/>
        <v>0</v>
      </c>
      <c r="G12564">
        <f>COUNTIF($D$2:D12564,D12564)</f>
        <v>0</v>
      </c>
      <c r="H12564" t="str">
        <f t="shared" si="73"/>
        <v xml:space="preserve"> - 0</v>
      </c>
      <c r="I12564">
        <f t="shared" si="74"/>
        <v>0</v>
      </c>
      <c r="J12564">
        <f t="shared" si="75"/>
        <v>0</v>
      </c>
    </row>
    <row r="12565" spans="6:10">
      <c r="F12565">
        <f t="shared" si="72"/>
        <v>0</v>
      </c>
      <c r="G12565">
        <f>COUNTIF($D$2:D12565,D12565)</f>
        <v>0</v>
      </c>
      <c r="H12565" t="str">
        <f t="shared" si="73"/>
        <v xml:space="preserve"> - 0</v>
      </c>
      <c r="I12565">
        <f t="shared" si="74"/>
        <v>0</v>
      </c>
      <c r="J12565">
        <f t="shared" si="75"/>
        <v>0</v>
      </c>
    </row>
    <row r="12566" spans="6:10">
      <c r="F12566">
        <f t="shared" si="72"/>
        <v>0</v>
      </c>
      <c r="G12566">
        <f>COUNTIF($D$2:D12566,D12566)</f>
        <v>0</v>
      </c>
      <c r="H12566" t="str">
        <f t="shared" si="73"/>
        <v xml:space="preserve"> - 0</v>
      </c>
      <c r="I12566">
        <f t="shared" si="74"/>
        <v>0</v>
      </c>
      <c r="J12566">
        <f t="shared" si="75"/>
        <v>0</v>
      </c>
    </row>
    <row r="12567" spans="6:10">
      <c r="F12567">
        <f t="shared" si="72"/>
        <v>0</v>
      </c>
      <c r="G12567">
        <f>COUNTIF($D$2:D12567,D12567)</f>
        <v>0</v>
      </c>
      <c r="H12567" t="str">
        <f t="shared" si="73"/>
        <v xml:space="preserve"> - 0</v>
      </c>
      <c r="I12567">
        <f t="shared" si="74"/>
        <v>0</v>
      </c>
      <c r="J12567">
        <f t="shared" si="75"/>
        <v>0</v>
      </c>
    </row>
    <row r="12568" spans="6:10">
      <c r="F12568">
        <f t="shared" si="72"/>
        <v>0</v>
      </c>
      <c r="G12568">
        <f>COUNTIF($D$2:D12568,D12568)</f>
        <v>0</v>
      </c>
      <c r="H12568" t="str">
        <f t="shared" si="73"/>
        <v xml:space="preserve"> - 0</v>
      </c>
      <c r="I12568">
        <f t="shared" si="74"/>
        <v>0</v>
      </c>
      <c r="J12568">
        <f t="shared" si="75"/>
        <v>0</v>
      </c>
    </row>
    <row r="19625" spans="15:28">
      <c r="O19625" s="1"/>
      <c r="P19625" s="1"/>
      <c r="Q19625" s="1"/>
      <c r="R19625" s="1"/>
      <c r="Z19625" s="93"/>
      <c r="AA19625" s="93"/>
      <c r="AB19625" s="1"/>
    </row>
    <row r="19626" spans="15:28">
      <c r="O19626" s="1"/>
      <c r="P19626" s="1"/>
      <c r="Q19626" s="1"/>
      <c r="R19626" s="1"/>
      <c r="Z19626" s="93"/>
      <c r="AA19626" s="93"/>
      <c r="AB19626" s="1"/>
    </row>
    <row r="19627" spans="15:28">
      <c r="O19627" s="1"/>
      <c r="P19627" s="1"/>
      <c r="Q19627" s="1"/>
      <c r="R19627" s="1"/>
      <c r="Z19627" s="93"/>
      <c r="AA19627" s="93"/>
      <c r="AB19627" s="1"/>
    </row>
    <row r="19628" spans="15:28">
      <c r="O19628" s="1"/>
      <c r="P19628" s="1"/>
      <c r="Q19628" s="1"/>
      <c r="R19628" s="1"/>
      <c r="Z19628" s="93"/>
      <c r="AA19628" s="93"/>
      <c r="AB19628" s="1"/>
    </row>
    <row r="19629" spans="15:28">
      <c r="O19629" s="1"/>
      <c r="P19629" s="1"/>
      <c r="Q19629" s="1"/>
      <c r="R19629" s="1"/>
      <c r="Z19629" s="93"/>
      <c r="AA19629" s="93"/>
      <c r="AB19629" s="1"/>
    </row>
    <row r="19630" spans="15:28">
      <c r="O19630" s="1"/>
      <c r="P19630" s="1"/>
      <c r="Q19630" s="1"/>
      <c r="R19630" s="1"/>
      <c r="Z19630" s="93"/>
      <c r="AA19630" s="93"/>
      <c r="AB19630" s="1"/>
    </row>
    <row r="19631" spans="15:28">
      <c r="O19631" s="1"/>
      <c r="P19631" s="1"/>
      <c r="Q19631" s="1"/>
      <c r="R19631" s="1"/>
      <c r="Z19631" s="93"/>
      <c r="AA19631" s="93"/>
      <c r="AB19631" s="1"/>
    </row>
    <row r="19632" spans="15:28">
      <c r="O19632" s="1"/>
      <c r="P19632" s="1"/>
      <c r="Q19632" s="1"/>
      <c r="R19632" s="1"/>
      <c r="Z19632" s="93"/>
      <c r="AA19632" s="93"/>
      <c r="AB19632" s="1"/>
    </row>
    <row r="19633" spans="15:28">
      <c r="O19633" s="1"/>
      <c r="P19633" s="1"/>
      <c r="Q19633" s="1"/>
      <c r="R19633" s="1"/>
      <c r="Z19633" s="93"/>
      <c r="AA19633" s="93"/>
      <c r="AB19633" s="1"/>
    </row>
    <row r="19634" spans="15:28">
      <c r="O19634" s="1"/>
      <c r="P19634" s="1"/>
      <c r="Q19634" s="1"/>
      <c r="R19634" s="1"/>
      <c r="Z19634" s="93"/>
      <c r="AA19634" s="93"/>
      <c r="AB19634" s="1"/>
    </row>
    <row r="19635" spans="15:28">
      <c r="O19635" s="1"/>
      <c r="P19635" s="1"/>
      <c r="Q19635" s="1"/>
      <c r="R19635" s="1"/>
      <c r="Z19635" s="93"/>
      <c r="AA19635" s="93"/>
      <c r="AB19635" s="1"/>
    </row>
    <row r="19636" spans="15:28">
      <c r="O19636" s="1"/>
      <c r="P19636" s="1"/>
      <c r="Q19636" s="1"/>
      <c r="R19636" s="1"/>
      <c r="Z19636" s="93"/>
      <c r="AA19636" s="93"/>
      <c r="AB19636" s="1"/>
    </row>
    <row r="19637" spans="15:28">
      <c r="O19637" s="1"/>
      <c r="P19637" s="1"/>
      <c r="Q19637" s="1"/>
      <c r="R19637" s="1"/>
      <c r="Z19637" s="93"/>
      <c r="AA19637" s="93"/>
      <c r="AB19637" s="1"/>
    </row>
    <row r="19638" spans="15:28">
      <c r="O19638" s="1"/>
      <c r="P19638" s="1"/>
      <c r="Q19638" s="1"/>
      <c r="R19638" s="1"/>
      <c r="Z19638" s="93"/>
      <c r="AA19638" s="93"/>
      <c r="AB19638" s="1"/>
    </row>
    <row r="19639" spans="15:28">
      <c r="O19639" s="1"/>
      <c r="P19639" s="1"/>
      <c r="Q19639" s="1"/>
      <c r="R19639" s="1"/>
      <c r="Z19639" s="93"/>
      <c r="AA19639" s="93"/>
      <c r="AB19639" s="1"/>
    </row>
    <row r="19640" spans="15:28">
      <c r="O19640" s="1"/>
      <c r="P19640" s="1"/>
      <c r="Q19640" s="1"/>
      <c r="R19640" s="1"/>
      <c r="Z19640" s="93"/>
      <c r="AA19640" s="93"/>
      <c r="AB19640" s="1"/>
    </row>
    <row r="19641" spans="15:28">
      <c r="O19641" s="1"/>
      <c r="P19641" s="1"/>
      <c r="Q19641" s="1"/>
      <c r="R19641" s="1"/>
      <c r="Z19641" s="93"/>
      <c r="AA19641" s="93"/>
      <c r="AB19641" s="1"/>
    </row>
    <row r="19642" spans="15:28">
      <c r="O19642" s="1"/>
      <c r="P19642" s="1"/>
      <c r="Q19642" s="1"/>
      <c r="R19642" s="1"/>
      <c r="Z19642" s="93"/>
      <c r="AA19642" s="93"/>
      <c r="AB19642" s="1"/>
    </row>
    <row r="19643" spans="15:28">
      <c r="O19643" s="1"/>
      <c r="P19643" s="1"/>
      <c r="Q19643" s="1"/>
      <c r="R19643" s="1"/>
      <c r="Z19643" s="93"/>
      <c r="AA19643" s="93"/>
      <c r="AB19643" s="1"/>
    </row>
    <row r="19644" spans="15:28">
      <c r="O19644" s="1"/>
      <c r="P19644" s="1"/>
      <c r="Q19644" s="1"/>
      <c r="R19644" s="1"/>
      <c r="Z19644" s="93"/>
      <c r="AA19644" s="93"/>
      <c r="AB19644" s="1"/>
    </row>
    <row r="19645" spans="15:28">
      <c r="O19645" s="1"/>
      <c r="P19645" s="1"/>
      <c r="Q19645" s="1"/>
      <c r="R19645" s="1"/>
      <c r="Z19645" s="93"/>
      <c r="AA19645" s="93"/>
      <c r="AB19645" s="1"/>
    </row>
    <row r="19646" spans="15:28">
      <c r="O19646" s="1"/>
      <c r="P19646" s="1"/>
      <c r="Q19646" s="1"/>
      <c r="R19646" s="1"/>
      <c r="Z19646" s="93"/>
      <c r="AA19646" s="93"/>
      <c r="AB19646" s="1"/>
    </row>
    <row r="19647" spans="15:28">
      <c r="O19647" s="1"/>
      <c r="P19647" s="1"/>
      <c r="Q19647" s="1"/>
      <c r="R19647" s="1"/>
      <c r="Z19647" s="93"/>
      <c r="AA19647" s="93"/>
      <c r="AB19647" s="1"/>
    </row>
    <row r="19648" spans="15:28">
      <c r="O19648" s="1"/>
      <c r="P19648" s="1"/>
      <c r="Q19648" s="1"/>
      <c r="R19648" s="1"/>
      <c r="Z19648" s="93"/>
      <c r="AA19648" s="93"/>
      <c r="AB19648" s="1"/>
    </row>
    <row r="19649" spans="15:28">
      <c r="O19649" s="1"/>
      <c r="P19649" s="1"/>
      <c r="Q19649" s="1"/>
      <c r="R19649" s="1"/>
      <c r="Z19649" s="93"/>
      <c r="AA19649" s="93"/>
      <c r="AB19649" s="1"/>
    </row>
    <row r="19650" spans="15:28">
      <c r="O19650" s="1"/>
      <c r="P19650" s="1"/>
      <c r="Q19650" s="1"/>
      <c r="R19650" s="1"/>
      <c r="Z19650" s="93"/>
      <c r="AA19650" s="93"/>
      <c r="AB19650" s="1"/>
    </row>
    <row r="19651" spans="15:28">
      <c r="O19651" s="1"/>
      <c r="P19651" s="1"/>
      <c r="Q19651" s="1"/>
      <c r="R19651" s="1"/>
      <c r="Z19651" s="93"/>
      <c r="AA19651" s="93"/>
      <c r="AB19651" s="1"/>
    </row>
    <row r="19652" spans="15:28">
      <c r="O19652" s="1"/>
      <c r="P19652" s="1"/>
      <c r="Q19652" s="1"/>
      <c r="R19652" s="1"/>
      <c r="Z19652" s="93"/>
      <c r="AA19652" s="93"/>
      <c r="AB19652" s="1"/>
    </row>
    <row r="19653" spans="15:28">
      <c r="O19653" s="1"/>
      <c r="P19653" s="1"/>
      <c r="Q19653" s="1"/>
      <c r="R19653" s="1"/>
      <c r="Z19653" s="93"/>
      <c r="AA19653" s="93"/>
      <c r="AB19653" s="1"/>
    </row>
    <row r="19654" spans="15:28">
      <c r="O19654" s="1"/>
      <c r="P19654" s="1"/>
      <c r="Q19654" s="1"/>
      <c r="R19654" s="1"/>
      <c r="Z19654" s="93"/>
      <c r="AA19654" s="93"/>
      <c r="AB19654" s="1"/>
    </row>
    <row r="19655" spans="15:28">
      <c r="O19655" s="1"/>
      <c r="P19655" s="1"/>
      <c r="Q19655" s="1"/>
      <c r="R19655" s="1"/>
      <c r="Z19655" s="93"/>
      <c r="AA19655" s="93"/>
      <c r="AB19655" s="1"/>
    </row>
    <row r="19656" spans="15:28">
      <c r="O19656" s="1"/>
      <c r="P19656" s="1"/>
      <c r="Q19656" s="1"/>
      <c r="R19656" s="1"/>
      <c r="Z19656" s="93"/>
      <c r="AA19656" s="93"/>
      <c r="AB19656" s="1"/>
    </row>
    <row r="19657" spans="15:28">
      <c r="O19657" s="1"/>
      <c r="P19657" s="1"/>
      <c r="Q19657" s="1"/>
      <c r="R19657" s="1"/>
      <c r="Z19657" s="93"/>
      <c r="AA19657" s="93"/>
      <c r="AB19657" s="1"/>
    </row>
    <row r="19658" spans="15:28">
      <c r="O19658" s="1"/>
      <c r="P19658" s="1"/>
      <c r="Q19658" s="1"/>
      <c r="R19658" s="1"/>
      <c r="Z19658" s="93"/>
      <c r="AA19658" s="93"/>
      <c r="AB19658" s="1"/>
    </row>
    <row r="19659" spans="15:28">
      <c r="O19659" s="1"/>
      <c r="P19659" s="1"/>
      <c r="Q19659" s="1"/>
      <c r="R19659" s="1"/>
      <c r="Z19659" s="93"/>
      <c r="AA19659" s="93"/>
      <c r="AB19659" s="1"/>
    </row>
    <row r="19660" spans="15:28">
      <c r="O19660" s="1"/>
      <c r="P19660" s="1"/>
      <c r="Q19660" s="1"/>
      <c r="R19660" s="1"/>
      <c r="Z19660" s="93"/>
      <c r="AA19660" s="93"/>
      <c r="AB19660" s="1"/>
    </row>
    <row r="19661" spans="15:28">
      <c r="O19661" s="1"/>
      <c r="P19661" s="1"/>
      <c r="Q19661" s="1"/>
      <c r="R19661" s="1"/>
      <c r="Z19661" s="93"/>
      <c r="AA19661" s="93"/>
      <c r="AB19661" s="1"/>
    </row>
    <row r="19662" spans="15:28">
      <c r="O19662" s="1"/>
      <c r="P19662" s="1"/>
      <c r="Q19662" s="1"/>
      <c r="R19662" s="1"/>
      <c r="Z19662" s="93"/>
      <c r="AA19662" s="93"/>
      <c r="AB19662" s="1"/>
    </row>
    <row r="19663" spans="15:28">
      <c r="O19663" s="1"/>
      <c r="P19663" s="1"/>
      <c r="Q19663" s="1"/>
      <c r="R19663" s="1"/>
      <c r="Z19663" s="93"/>
      <c r="AA19663" s="93"/>
      <c r="AB19663" s="1"/>
    </row>
    <row r="19664" spans="15:28">
      <c r="O19664" s="1"/>
      <c r="P19664" s="1"/>
      <c r="Q19664" s="1"/>
      <c r="R19664" s="1"/>
      <c r="Z19664" s="93"/>
      <c r="AA19664" s="93"/>
      <c r="AB19664" s="1"/>
    </row>
    <row r="19665" spans="15:28">
      <c r="O19665" s="1"/>
      <c r="P19665" s="1"/>
      <c r="Q19665" s="1"/>
      <c r="R19665" s="1"/>
      <c r="Z19665" s="93"/>
      <c r="AA19665" s="93"/>
      <c r="AB19665" s="1"/>
    </row>
    <row r="19666" spans="15:28">
      <c r="O19666" s="1"/>
      <c r="P19666" s="1"/>
      <c r="Q19666" s="1"/>
      <c r="R19666" s="1"/>
      <c r="Z19666" s="93"/>
      <c r="AA19666" s="93"/>
      <c r="AB19666" s="1"/>
    </row>
    <row r="19667" spans="15:28">
      <c r="O19667" s="1"/>
      <c r="P19667" s="1"/>
      <c r="Q19667" s="1"/>
      <c r="R19667" s="1"/>
      <c r="Z19667" s="93"/>
      <c r="AA19667" s="93"/>
      <c r="AB19667" s="1"/>
    </row>
    <row r="19668" spans="15:28">
      <c r="O19668" s="1"/>
      <c r="P19668" s="1"/>
      <c r="Q19668" s="1"/>
      <c r="R19668" s="1"/>
      <c r="Z19668" s="93"/>
      <c r="AA19668" s="93"/>
      <c r="AB19668" s="1"/>
    </row>
    <row r="19669" spans="15:28">
      <c r="O19669" s="1"/>
      <c r="P19669" s="1"/>
      <c r="Q19669" s="1"/>
      <c r="R19669" s="1"/>
      <c r="Z19669" s="93"/>
      <c r="AA19669" s="93"/>
      <c r="AB19669" s="1"/>
    </row>
    <row r="19670" spans="15:28">
      <c r="O19670" s="1"/>
      <c r="P19670" s="1"/>
      <c r="Q19670" s="1"/>
      <c r="R19670" s="1"/>
      <c r="Z19670" s="93"/>
      <c r="AA19670" s="93"/>
      <c r="AB19670" s="1"/>
    </row>
    <row r="19671" spans="15:28">
      <c r="O19671" s="1"/>
      <c r="P19671" s="1"/>
      <c r="Q19671" s="1"/>
      <c r="R19671" s="1"/>
      <c r="Z19671" s="93"/>
      <c r="AA19671" s="93"/>
      <c r="AB19671" s="1"/>
    </row>
    <row r="19672" spans="15:28">
      <c r="O19672" s="1"/>
      <c r="P19672" s="1"/>
      <c r="Q19672" s="1"/>
      <c r="R19672" s="1"/>
      <c r="Z19672" s="93"/>
      <c r="AA19672" s="93"/>
      <c r="AB19672" s="1"/>
    </row>
    <row r="19673" spans="15:28">
      <c r="O19673" s="1"/>
      <c r="P19673" s="1"/>
      <c r="Q19673" s="1"/>
      <c r="R19673" s="1"/>
      <c r="Z19673" s="93"/>
      <c r="AA19673" s="93"/>
      <c r="AB19673" s="1"/>
    </row>
    <row r="19674" spans="15:28">
      <c r="O19674" s="1"/>
      <c r="P19674" s="1"/>
      <c r="Q19674" s="1"/>
      <c r="R19674" s="1"/>
      <c r="Z19674" s="93"/>
      <c r="AA19674" s="93"/>
      <c r="AB19674" s="1"/>
    </row>
    <row r="19675" spans="15:28">
      <c r="O19675" s="1"/>
      <c r="P19675" s="1"/>
      <c r="Q19675" s="1"/>
      <c r="R19675" s="1"/>
      <c r="Z19675" s="93"/>
      <c r="AA19675" s="93"/>
      <c r="AB19675" s="1"/>
    </row>
    <row r="19676" spans="15:28">
      <c r="O19676" s="1"/>
      <c r="P19676" s="1"/>
      <c r="Q19676" s="1"/>
      <c r="R19676" s="1"/>
      <c r="Z19676" s="93"/>
      <c r="AA19676" s="93"/>
      <c r="AB19676" s="1"/>
    </row>
    <row r="19677" spans="15:28">
      <c r="O19677" s="1"/>
      <c r="P19677" s="1"/>
      <c r="Q19677" s="1"/>
      <c r="R19677" s="1"/>
      <c r="Z19677" s="93"/>
      <c r="AA19677" s="93"/>
      <c r="AB19677" s="1"/>
    </row>
    <row r="19678" spans="15:28">
      <c r="O19678" s="1"/>
      <c r="P19678" s="1"/>
      <c r="Q19678" s="1"/>
      <c r="R19678" s="1"/>
      <c r="Z19678" s="93"/>
      <c r="AA19678" s="93"/>
      <c r="AB19678" s="1"/>
    </row>
    <row r="19679" spans="15:28">
      <c r="O19679" s="1"/>
      <c r="P19679" s="1"/>
      <c r="Q19679" s="1"/>
      <c r="R19679" s="1"/>
      <c r="Z19679" s="93"/>
      <c r="AA19679" s="93"/>
      <c r="AB19679" s="1"/>
    </row>
    <row r="19680" spans="15:28">
      <c r="O19680" s="1"/>
      <c r="P19680" s="1"/>
      <c r="Q19680" s="1"/>
      <c r="R19680" s="1"/>
      <c r="Z19680" s="93"/>
      <c r="AA19680" s="93"/>
      <c r="AB19680" s="1"/>
    </row>
    <row r="19681" spans="15:28">
      <c r="O19681" s="1"/>
      <c r="P19681" s="1"/>
      <c r="Q19681" s="1"/>
      <c r="R19681" s="1"/>
      <c r="Z19681" s="93"/>
      <c r="AA19681" s="93"/>
      <c r="AB19681" s="1"/>
    </row>
    <row r="19682" spans="15:28">
      <c r="O19682" s="1"/>
      <c r="P19682" s="1"/>
      <c r="Q19682" s="1"/>
      <c r="R19682" s="1"/>
      <c r="Z19682" s="93"/>
      <c r="AA19682" s="93"/>
      <c r="AB19682" s="1"/>
    </row>
    <row r="19683" spans="15:28">
      <c r="O19683" s="1"/>
      <c r="P19683" s="1"/>
      <c r="Q19683" s="1"/>
      <c r="R19683" s="1"/>
      <c r="Z19683" s="93"/>
      <c r="AA19683" s="93"/>
      <c r="AB19683" s="1"/>
    </row>
    <row r="19684" spans="15:28">
      <c r="O19684" s="1"/>
      <c r="P19684" s="1"/>
      <c r="Q19684" s="1"/>
      <c r="R19684" s="1"/>
      <c r="Z19684" s="93"/>
      <c r="AA19684" s="93"/>
      <c r="AB19684" s="1"/>
    </row>
    <row r="19685" spans="15:28">
      <c r="O19685" s="1"/>
      <c r="P19685" s="1"/>
      <c r="Q19685" s="1"/>
      <c r="R19685" s="1"/>
      <c r="Z19685" s="93"/>
      <c r="AA19685" s="93"/>
      <c r="AB19685" s="1"/>
    </row>
    <row r="19686" spans="15:28">
      <c r="O19686" s="1"/>
      <c r="P19686" s="1"/>
      <c r="Q19686" s="1"/>
      <c r="R19686" s="1"/>
      <c r="Z19686" s="93"/>
      <c r="AA19686" s="93"/>
      <c r="AB19686" s="1"/>
    </row>
    <row r="19687" spans="15:28">
      <c r="O19687" s="1"/>
      <c r="P19687" s="1"/>
      <c r="Q19687" s="1"/>
      <c r="R19687" s="1"/>
      <c r="Z19687" s="93"/>
      <c r="AA19687" s="93"/>
      <c r="AB19687" s="1"/>
    </row>
    <row r="19688" spans="15:28">
      <c r="O19688" s="1"/>
      <c r="P19688" s="1"/>
      <c r="Q19688" s="1"/>
      <c r="R19688" s="1"/>
      <c r="Z19688" s="93"/>
      <c r="AA19688" s="93"/>
      <c r="AB19688" s="1"/>
    </row>
    <row r="19689" spans="15:28">
      <c r="O19689" s="1"/>
      <c r="P19689" s="1"/>
      <c r="Q19689" s="1"/>
      <c r="R19689" s="1"/>
      <c r="Z19689" s="93"/>
      <c r="AA19689" s="93"/>
      <c r="AB19689" s="1"/>
    </row>
    <row r="19690" spans="15:28">
      <c r="O19690" s="1"/>
      <c r="P19690" s="1"/>
      <c r="Q19690" s="1"/>
      <c r="R19690" s="1"/>
      <c r="Z19690" s="93"/>
      <c r="AA19690" s="93"/>
      <c r="AB19690" s="1"/>
    </row>
    <row r="19691" spans="15:28">
      <c r="O19691" s="1"/>
      <c r="P19691" s="1"/>
      <c r="Q19691" s="1"/>
      <c r="R19691" s="1"/>
      <c r="Z19691" s="93"/>
      <c r="AA19691" s="93"/>
      <c r="AB19691" s="1"/>
    </row>
    <row r="19692" spans="15:28">
      <c r="O19692" s="1"/>
      <c r="P19692" s="1"/>
      <c r="Q19692" s="1"/>
      <c r="R19692" s="1"/>
      <c r="Z19692" s="93"/>
      <c r="AA19692" s="93"/>
      <c r="AB19692" s="1"/>
    </row>
    <row r="19693" spans="15:28">
      <c r="O19693" s="1"/>
      <c r="P19693" s="1"/>
      <c r="Q19693" s="1"/>
      <c r="R19693" s="1"/>
      <c r="Z19693" s="93"/>
      <c r="AA19693" s="93"/>
      <c r="AB19693" s="1"/>
    </row>
    <row r="19694" spans="15:28">
      <c r="O19694" s="1"/>
      <c r="P19694" s="1"/>
      <c r="Q19694" s="1"/>
      <c r="R19694" s="1"/>
      <c r="Z19694" s="93"/>
      <c r="AA19694" s="93"/>
      <c r="AB19694" s="1"/>
    </row>
    <row r="19695" spans="15:28">
      <c r="O19695" s="1"/>
      <c r="P19695" s="1"/>
      <c r="Q19695" s="1"/>
      <c r="R19695" s="1"/>
      <c r="Z19695" s="93"/>
      <c r="AA19695" s="93"/>
      <c r="AB19695" s="1"/>
    </row>
    <row r="19696" spans="15:28">
      <c r="O19696" s="1"/>
      <c r="P19696" s="1"/>
      <c r="Q19696" s="1"/>
      <c r="R19696" s="1"/>
      <c r="Z19696" s="93"/>
      <c r="AA19696" s="93"/>
      <c r="AB19696" s="1"/>
    </row>
    <row r="19697" spans="15:28">
      <c r="O19697" s="1"/>
      <c r="P19697" s="1"/>
      <c r="Q19697" s="1"/>
      <c r="R19697" s="1"/>
      <c r="Z19697" s="93"/>
      <c r="AA19697" s="93"/>
      <c r="AB19697" s="1"/>
    </row>
    <row r="19698" spans="15:28">
      <c r="O19698" s="1"/>
      <c r="P19698" s="1"/>
      <c r="Q19698" s="1"/>
      <c r="R19698" s="1"/>
      <c r="Z19698" s="93"/>
      <c r="AA19698" s="93"/>
      <c r="AB19698" s="1"/>
    </row>
    <row r="19699" spans="15:28">
      <c r="O19699" s="1"/>
      <c r="P19699" s="1"/>
      <c r="Q19699" s="1"/>
      <c r="R19699" s="1"/>
      <c r="Z19699" s="93"/>
      <c r="AA19699" s="93"/>
      <c r="AB19699" s="1"/>
    </row>
    <row r="19700" spans="15:28">
      <c r="O19700" s="1"/>
      <c r="P19700" s="1"/>
      <c r="Q19700" s="1"/>
      <c r="R19700" s="1"/>
      <c r="Z19700" s="93"/>
      <c r="AA19700" s="93"/>
      <c r="AB19700" s="1"/>
    </row>
    <row r="19701" spans="15:28">
      <c r="O19701" s="1"/>
      <c r="P19701" s="1"/>
      <c r="Q19701" s="1"/>
      <c r="R19701" s="1"/>
      <c r="Z19701" s="93"/>
      <c r="AA19701" s="93"/>
      <c r="AB19701" s="1"/>
    </row>
    <row r="19702" spans="15:28">
      <c r="O19702" s="1"/>
      <c r="P19702" s="1"/>
      <c r="Q19702" s="1"/>
      <c r="R19702" s="1"/>
      <c r="Z19702" s="93"/>
      <c r="AA19702" s="93"/>
      <c r="AB19702" s="1"/>
    </row>
    <row r="19703" spans="15:28">
      <c r="O19703" s="1"/>
      <c r="P19703" s="1"/>
      <c r="Q19703" s="1"/>
      <c r="R19703" s="1"/>
      <c r="Z19703" s="93"/>
      <c r="AA19703" s="93"/>
      <c r="AB19703" s="1"/>
    </row>
    <row r="19704" spans="15:28">
      <c r="O19704" s="1"/>
      <c r="P19704" s="1"/>
      <c r="Q19704" s="1"/>
      <c r="R19704" s="1"/>
      <c r="Z19704" s="93"/>
      <c r="AA19704" s="93"/>
      <c r="AB19704" s="1"/>
    </row>
    <row r="19705" spans="15:28">
      <c r="O19705" s="1"/>
      <c r="P19705" s="1"/>
      <c r="Q19705" s="1"/>
      <c r="R19705" s="1"/>
      <c r="Z19705" s="93"/>
      <c r="AA19705" s="93"/>
      <c r="AB19705" s="1"/>
    </row>
    <row r="19706" spans="15:28">
      <c r="O19706" s="1"/>
      <c r="P19706" s="1"/>
      <c r="Q19706" s="1"/>
      <c r="R19706" s="1"/>
      <c r="Z19706" s="93"/>
      <c r="AA19706" s="93"/>
      <c r="AB19706" s="1"/>
    </row>
    <row r="19707" spans="15:28">
      <c r="O19707" s="1"/>
      <c r="P19707" s="1"/>
      <c r="Q19707" s="1"/>
      <c r="R19707" s="1"/>
      <c r="Z19707" s="93"/>
      <c r="AA19707" s="93"/>
      <c r="AB19707" s="1"/>
    </row>
    <row r="19708" spans="15:28">
      <c r="O19708" s="1"/>
      <c r="P19708" s="1"/>
      <c r="Q19708" s="1"/>
      <c r="R19708" s="1"/>
      <c r="Z19708" s="93"/>
      <c r="AA19708" s="93"/>
      <c r="AB19708" s="1"/>
    </row>
    <row r="19709" spans="15:28">
      <c r="O19709" s="1"/>
      <c r="P19709" s="1"/>
      <c r="Q19709" s="1"/>
      <c r="R19709" s="1"/>
      <c r="Z19709" s="93"/>
      <c r="AA19709" s="93"/>
      <c r="AB19709" s="1"/>
    </row>
    <row r="19710" spans="15:28">
      <c r="O19710" s="1"/>
      <c r="P19710" s="1"/>
      <c r="Q19710" s="1"/>
      <c r="R19710" s="1"/>
      <c r="Z19710" s="93"/>
      <c r="AA19710" s="93"/>
      <c r="AB19710" s="1"/>
    </row>
    <row r="19711" spans="15:28">
      <c r="O19711" s="1"/>
      <c r="P19711" s="1"/>
      <c r="Q19711" s="1"/>
      <c r="R19711" s="1"/>
      <c r="Z19711" s="93"/>
      <c r="AA19711" s="93"/>
      <c r="AB19711" s="1"/>
    </row>
    <row r="19712" spans="15:28">
      <c r="O19712" s="1"/>
      <c r="P19712" s="1"/>
      <c r="Q19712" s="1"/>
      <c r="R19712" s="1"/>
      <c r="Z19712" s="93"/>
      <c r="AA19712" s="93"/>
      <c r="AB19712" s="1"/>
    </row>
    <row r="19713" spans="15:28">
      <c r="O19713" s="1"/>
      <c r="P19713" s="1"/>
      <c r="Q19713" s="1"/>
      <c r="R19713" s="1"/>
      <c r="Z19713" s="93"/>
      <c r="AA19713" s="93"/>
      <c r="AB19713" s="1"/>
    </row>
    <row r="19714" spans="15:28">
      <c r="O19714" s="1"/>
      <c r="P19714" s="1"/>
      <c r="Q19714" s="1"/>
      <c r="R19714" s="1"/>
      <c r="Z19714" s="93"/>
      <c r="AA19714" s="93"/>
      <c r="AB19714" s="1"/>
    </row>
    <row r="19715" spans="15:28">
      <c r="O19715" s="1"/>
      <c r="P19715" s="1"/>
      <c r="Q19715" s="1"/>
      <c r="R19715" s="1"/>
      <c r="Z19715" s="93"/>
      <c r="AA19715" s="93"/>
      <c r="AB19715" s="1"/>
    </row>
    <row r="19716" spans="15:28">
      <c r="O19716" s="1"/>
      <c r="P19716" s="1"/>
      <c r="Q19716" s="1"/>
      <c r="R19716" s="1"/>
      <c r="Z19716" s="93"/>
      <c r="AA19716" s="93"/>
      <c r="AB19716" s="1"/>
    </row>
    <row r="19717" spans="15:28">
      <c r="O19717" s="1"/>
      <c r="P19717" s="1"/>
      <c r="Q19717" s="1"/>
      <c r="R19717" s="1"/>
      <c r="Z19717" s="93"/>
      <c r="AA19717" s="93"/>
      <c r="AB19717" s="1"/>
    </row>
    <row r="19718" spans="15:28">
      <c r="O19718" s="1"/>
      <c r="P19718" s="1"/>
      <c r="Q19718" s="1"/>
      <c r="R19718" s="1"/>
      <c r="Z19718" s="93"/>
      <c r="AA19718" s="93"/>
      <c r="AB19718" s="1"/>
    </row>
    <row r="19719" spans="15:28">
      <c r="O19719" s="1"/>
      <c r="P19719" s="1"/>
      <c r="Q19719" s="1"/>
      <c r="R19719" s="1"/>
      <c r="Z19719" s="93"/>
      <c r="AA19719" s="93"/>
      <c r="AB19719" s="1"/>
    </row>
    <row r="19720" spans="15:28">
      <c r="O19720" s="1"/>
      <c r="P19720" s="1"/>
      <c r="Q19720" s="1"/>
      <c r="R19720" s="1"/>
      <c r="Z19720" s="93"/>
      <c r="AA19720" s="93"/>
      <c r="AB19720" s="1"/>
    </row>
    <row r="19721" spans="15:28">
      <c r="O19721" s="1"/>
      <c r="P19721" s="1"/>
      <c r="Q19721" s="1"/>
      <c r="R19721" s="1"/>
      <c r="Z19721" s="93"/>
      <c r="AA19721" s="93"/>
      <c r="AB19721" s="1"/>
    </row>
    <row r="19722" spans="15:28">
      <c r="O19722" s="1"/>
      <c r="P19722" s="1"/>
      <c r="Q19722" s="1"/>
      <c r="R19722" s="1"/>
      <c r="Z19722" s="93"/>
      <c r="AA19722" s="93"/>
      <c r="AB19722" s="1"/>
    </row>
    <row r="19723" spans="15:28">
      <c r="O19723" s="1"/>
      <c r="P19723" s="1"/>
      <c r="Q19723" s="1"/>
      <c r="R19723" s="1"/>
      <c r="Z19723" s="93"/>
      <c r="AA19723" s="93"/>
      <c r="AB19723" s="1"/>
    </row>
    <row r="19724" spans="15:28">
      <c r="O19724" s="1"/>
      <c r="P19724" s="1"/>
      <c r="Q19724" s="1"/>
      <c r="R19724" s="1"/>
      <c r="Z19724" s="93"/>
      <c r="AA19724" s="93"/>
      <c r="AB19724" s="1"/>
    </row>
    <row r="19725" spans="15:28">
      <c r="O19725" s="1"/>
      <c r="P19725" s="1"/>
      <c r="Q19725" s="1"/>
      <c r="R19725" s="1"/>
      <c r="Z19725" s="93"/>
      <c r="AA19725" s="93"/>
      <c r="AB19725" s="1"/>
    </row>
    <row r="19726" spans="15:28">
      <c r="O19726" s="1"/>
      <c r="P19726" s="1"/>
      <c r="Q19726" s="1"/>
      <c r="R19726" s="1"/>
      <c r="Z19726" s="93"/>
      <c r="AA19726" s="93"/>
      <c r="AB19726" s="1"/>
    </row>
    <row r="19727" spans="15:28">
      <c r="O19727" s="1"/>
      <c r="P19727" s="1"/>
      <c r="Q19727" s="1"/>
      <c r="R19727" s="1"/>
      <c r="Z19727" s="93"/>
      <c r="AA19727" s="93"/>
      <c r="AB19727" s="1"/>
    </row>
    <row r="19728" spans="15:28">
      <c r="O19728" s="1"/>
      <c r="P19728" s="1"/>
      <c r="Q19728" s="1"/>
      <c r="R19728" s="1"/>
      <c r="Z19728" s="93"/>
      <c r="AA19728" s="93"/>
      <c r="AB19728" s="1"/>
    </row>
    <row r="19729" spans="15:28">
      <c r="O19729" s="1"/>
      <c r="P19729" s="1"/>
      <c r="Q19729" s="1"/>
      <c r="R19729" s="1"/>
      <c r="Z19729" s="93"/>
      <c r="AA19729" s="93"/>
      <c r="AB19729" s="1"/>
    </row>
    <row r="19730" spans="15:28">
      <c r="O19730" s="1"/>
      <c r="P19730" s="1"/>
      <c r="Q19730" s="1"/>
      <c r="R19730" s="1"/>
      <c r="Z19730" s="93"/>
      <c r="AA19730" s="93"/>
      <c r="AB19730" s="1"/>
    </row>
    <row r="19731" spans="15:28">
      <c r="O19731" s="1"/>
      <c r="P19731" s="1"/>
      <c r="Q19731" s="1"/>
      <c r="R19731" s="1"/>
      <c r="Z19731" s="93"/>
      <c r="AA19731" s="93"/>
      <c r="AB19731" s="1"/>
    </row>
    <row r="19732" spans="15:28">
      <c r="O19732" s="1"/>
      <c r="P19732" s="1"/>
      <c r="Q19732" s="1"/>
      <c r="R19732" s="1"/>
      <c r="Z19732" s="93"/>
      <c r="AA19732" s="93"/>
      <c r="AB19732" s="1"/>
    </row>
    <row r="19733" spans="15:28">
      <c r="O19733" s="1"/>
      <c r="P19733" s="1"/>
      <c r="Q19733" s="1"/>
      <c r="R19733" s="1"/>
      <c r="Z19733" s="93"/>
      <c r="AA19733" s="93"/>
      <c r="AB19733" s="1"/>
    </row>
    <row r="19734" spans="15:28">
      <c r="O19734" s="1"/>
      <c r="P19734" s="1"/>
      <c r="Q19734" s="1"/>
      <c r="R19734" s="1"/>
      <c r="Z19734" s="93"/>
      <c r="AA19734" s="93"/>
      <c r="AB19734" s="1"/>
    </row>
    <row r="19735" spans="15:28">
      <c r="O19735" s="1"/>
      <c r="P19735" s="1"/>
      <c r="Q19735" s="1"/>
      <c r="R19735" s="1"/>
      <c r="Z19735" s="93"/>
      <c r="AA19735" s="93"/>
      <c r="AB19735" s="1"/>
    </row>
    <row r="19736" spans="15:28">
      <c r="O19736" s="1"/>
      <c r="P19736" s="1"/>
      <c r="Q19736" s="1"/>
      <c r="R19736" s="1"/>
      <c r="Z19736" s="93"/>
      <c r="AA19736" s="93"/>
      <c r="AB19736" s="1"/>
    </row>
    <row r="19737" spans="15:28">
      <c r="O19737" s="1"/>
      <c r="P19737" s="1"/>
      <c r="Q19737" s="1"/>
      <c r="R19737" s="1"/>
      <c r="Z19737" s="93"/>
      <c r="AA19737" s="93"/>
      <c r="AB19737" s="1"/>
    </row>
    <row r="19738" spans="15:28">
      <c r="O19738" s="1"/>
      <c r="P19738" s="1"/>
      <c r="Q19738" s="1"/>
      <c r="R19738" s="1"/>
      <c r="Z19738" s="93"/>
      <c r="AA19738" s="93"/>
      <c r="AB19738" s="1"/>
    </row>
    <row r="19739" spans="15:28">
      <c r="O19739" s="1"/>
      <c r="P19739" s="1"/>
      <c r="Q19739" s="1"/>
      <c r="R19739" s="1"/>
      <c r="Z19739" s="93"/>
      <c r="AA19739" s="93"/>
      <c r="AB19739" s="1"/>
    </row>
    <row r="19740" spans="15:28">
      <c r="O19740" s="1"/>
      <c r="P19740" s="1"/>
      <c r="Q19740" s="1"/>
      <c r="R19740" s="1"/>
      <c r="Z19740" s="93"/>
      <c r="AA19740" s="93"/>
      <c r="AB19740" s="1"/>
    </row>
    <row r="19741" spans="15:28">
      <c r="O19741" s="1"/>
      <c r="P19741" s="1"/>
      <c r="Q19741" s="1"/>
      <c r="R19741" s="1"/>
      <c r="Z19741" s="93"/>
      <c r="AA19741" s="93"/>
      <c r="AB19741" s="1"/>
    </row>
    <row r="19742" spans="15:28">
      <c r="O19742" s="1"/>
      <c r="P19742" s="1"/>
      <c r="Q19742" s="1"/>
      <c r="R19742" s="1"/>
      <c r="Z19742" s="93"/>
      <c r="AA19742" s="93"/>
      <c r="AB19742" s="1"/>
    </row>
    <row r="19743" spans="15:28">
      <c r="O19743" s="1"/>
      <c r="P19743" s="1"/>
      <c r="Q19743" s="1"/>
      <c r="R19743" s="1"/>
      <c r="Z19743" s="93"/>
      <c r="AA19743" s="93"/>
      <c r="AB19743" s="1"/>
    </row>
    <row r="19744" spans="15:28">
      <c r="O19744" s="1"/>
      <c r="P19744" s="1"/>
      <c r="Q19744" s="1"/>
      <c r="R19744" s="1"/>
      <c r="Z19744" s="93"/>
      <c r="AA19744" s="93"/>
      <c r="AB19744" s="1"/>
    </row>
    <row r="19745" spans="15:28">
      <c r="O19745" s="1"/>
      <c r="P19745" s="1"/>
      <c r="Q19745" s="1"/>
      <c r="R19745" s="1"/>
      <c r="Z19745" s="93"/>
      <c r="AA19745" s="93"/>
      <c r="AB19745" s="1"/>
    </row>
    <row r="19746" spans="15:28">
      <c r="O19746" s="1"/>
      <c r="P19746" s="1"/>
      <c r="Q19746" s="1"/>
      <c r="R19746" s="1"/>
      <c r="Z19746" s="93"/>
      <c r="AA19746" s="93"/>
      <c r="AB19746" s="1"/>
    </row>
    <row r="19747" spans="15:28">
      <c r="O19747" s="1"/>
      <c r="P19747" s="1"/>
      <c r="Q19747" s="1"/>
      <c r="R19747" s="1"/>
      <c r="Z19747" s="93"/>
      <c r="AA19747" s="93"/>
      <c r="AB19747" s="1"/>
    </row>
    <row r="19748" spans="15:28">
      <c r="O19748" s="1"/>
      <c r="P19748" s="1"/>
      <c r="Q19748" s="1"/>
      <c r="R19748" s="1"/>
      <c r="Z19748" s="93"/>
      <c r="AA19748" s="93"/>
      <c r="AB19748" s="1"/>
    </row>
    <row r="19749" spans="15:28">
      <c r="O19749" s="1"/>
      <c r="P19749" s="1"/>
      <c r="Q19749" s="1"/>
      <c r="R19749" s="1"/>
      <c r="Z19749" s="93"/>
      <c r="AA19749" s="93"/>
      <c r="AB19749" s="1"/>
    </row>
    <row r="19750" spans="15:28">
      <c r="O19750" s="1"/>
      <c r="P19750" s="1"/>
      <c r="Q19750" s="1"/>
      <c r="R19750" s="1"/>
      <c r="Z19750" s="93"/>
      <c r="AA19750" s="93"/>
      <c r="AB19750" s="1"/>
    </row>
    <row r="19751" spans="15:28">
      <c r="O19751" s="1"/>
      <c r="P19751" s="1"/>
      <c r="Q19751" s="1"/>
      <c r="R19751" s="1"/>
      <c r="Z19751" s="93"/>
      <c r="AA19751" s="93"/>
      <c r="AB19751" s="1"/>
    </row>
    <row r="19752" spans="15:28">
      <c r="O19752" s="1"/>
      <c r="P19752" s="1"/>
      <c r="Q19752" s="1"/>
      <c r="R19752" s="1"/>
      <c r="Z19752" s="93"/>
      <c r="AA19752" s="93"/>
      <c r="AB19752" s="1"/>
    </row>
    <row r="19753" spans="15:28">
      <c r="O19753" s="1"/>
      <c r="P19753" s="1"/>
      <c r="Q19753" s="1"/>
      <c r="R19753" s="1"/>
      <c r="Z19753" s="93"/>
      <c r="AA19753" s="93"/>
      <c r="AB19753" s="1"/>
    </row>
    <row r="19754" spans="15:28">
      <c r="O19754" s="1"/>
      <c r="P19754" s="1"/>
      <c r="Q19754" s="1"/>
      <c r="R19754" s="1"/>
      <c r="Z19754" s="93"/>
      <c r="AA19754" s="93"/>
      <c r="AB19754" s="1"/>
    </row>
    <row r="19755" spans="15:28">
      <c r="O19755" s="1"/>
      <c r="P19755" s="1"/>
      <c r="Q19755" s="1"/>
      <c r="R19755" s="1"/>
      <c r="Z19755" s="93"/>
      <c r="AA19755" s="93"/>
      <c r="AB19755" s="1"/>
    </row>
    <row r="19756" spans="15:28">
      <c r="O19756" s="1"/>
      <c r="P19756" s="1"/>
      <c r="Q19756" s="1"/>
      <c r="R19756" s="1"/>
      <c r="Z19756" s="93"/>
      <c r="AA19756" s="93"/>
      <c r="AB19756" s="1"/>
    </row>
    <row r="19757" spans="15:28">
      <c r="O19757" s="1"/>
      <c r="P19757" s="1"/>
      <c r="Q19757" s="1"/>
      <c r="R19757" s="1"/>
      <c r="Z19757" s="93"/>
      <c r="AA19757" s="93"/>
      <c r="AB19757" s="1"/>
    </row>
    <row r="19758" spans="15:28">
      <c r="O19758" s="1"/>
      <c r="P19758" s="1"/>
      <c r="Q19758" s="1"/>
      <c r="R19758" s="1"/>
      <c r="Z19758" s="93"/>
      <c r="AA19758" s="93"/>
      <c r="AB19758" s="1"/>
    </row>
    <row r="19759" spans="15:28">
      <c r="O19759" s="1"/>
      <c r="P19759" s="1"/>
      <c r="Q19759" s="1"/>
      <c r="R19759" s="1"/>
      <c r="Z19759" s="93"/>
      <c r="AA19759" s="93"/>
      <c r="AB19759" s="1"/>
    </row>
    <row r="19760" spans="15:28">
      <c r="O19760" s="1"/>
      <c r="P19760" s="1"/>
      <c r="Q19760" s="1"/>
      <c r="R19760" s="1"/>
      <c r="Z19760" s="93"/>
      <c r="AA19760" s="93"/>
      <c r="AB19760" s="1"/>
    </row>
    <row r="19761" spans="15:28">
      <c r="O19761" s="1"/>
      <c r="P19761" s="1"/>
      <c r="Q19761" s="1"/>
      <c r="R19761" s="1"/>
      <c r="Z19761" s="93"/>
      <c r="AA19761" s="93"/>
      <c r="AB19761" s="1"/>
    </row>
    <row r="19762" spans="15:28">
      <c r="O19762" s="1"/>
      <c r="P19762" s="1"/>
      <c r="Q19762" s="1"/>
      <c r="R19762" s="1"/>
      <c r="Z19762" s="93"/>
      <c r="AA19762" s="93"/>
      <c r="AB19762" s="1"/>
    </row>
    <row r="19763" spans="15:28">
      <c r="O19763" s="1"/>
      <c r="P19763" s="1"/>
      <c r="Q19763" s="1"/>
      <c r="R19763" s="1"/>
      <c r="Z19763" s="93"/>
      <c r="AA19763" s="93"/>
      <c r="AB19763" s="1"/>
    </row>
    <row r="19764" spans="15:28">
      <c r="O19764" s="1"/>
      <c r="P19764" s="1"/>
      <c r="Q19764" s="1"/>
      <c r="R19764" s="1"/>
      <c r="Z19764" s="93"/>
      <c r="AA19764" s="93"/>
      <c r="AB19764" s="1"/>
    </row>
    <row r="19765" spans="15:28">
      <c r="O19765" s="1"/>
      <c r="P19765" s="1"/>
      <c r="Q19765" s="1"/>
      <c r="R19765" s="1"/>
      <c r="Z19765" s="93"/>
      <c r="AA19765" s="93"/>
      <c r="AB19765" s="1"/>
    </row>
    <row r="19766" spans="15:28">
      <c r="O19766" s="1"/>
      <c r="P19766" s="1"/>
      <c r="Q19766" s="1"/>
      <c r="R19766" s="1"/>
      <c r="Z19766" s="93"/>
      <c r="AA19766" s="93"/>
      <c r="AB19766" s="1"/>
    </row>
    <row r="19767" spans="15:28">
      <c r="O19767" s="1"/>
      <c r="P19767" s="1"/>
      <c r="Q19767" s="1"/>
      <c r="R19767" s="1"/>
      <c r="Z19767" s="93"/>
      <c r="AA19767" s="93"/>
      <c r="AB19767" s="1"/>
    </row>
    <row r="19768" spans="15:28">
      <c r="O19768" s="1"/>
      <c r="P19768" s="1"/>
      <c r="Q19768" s="1"/>
      <c r="R19768" s="1"/>
      <c r="Z19768" s="93"/>
      <c r="AA19768" s="93"/>
      <c r="AB19768" s="1"/>
    </row>
    <row r="19769" spans="15:28">
      <c r="O19769" s="1"/>
      <c r="P19769" s="1"/>
      <c r="Q19769" s="1"/>
      <c r="R19769" s="1"/>
      <c r="Z19769" s="93"/>
      <c r="AA19769" s="93"/>
      <c r="AB19769" s="1"/>
    </row>
    <row r="19770" spans="15:28">
      <c r="O19770" s="1"/>
      <c r="P19770" s="1"/>
      <c r="Q19770" s="1"/>
      <c r="R19770" s="1"/>
      <c r="Z19770" s="93"/>
      <c r="AA19770" s="93"/>
      <c r="AB19770" s="1"/>
    </row>
    <row r="19771" spans="15:28">
      <c r="O19771" s="1"/>
      <c r="P19771" s="1"/>
      <c r="Q19771" s="1"/>
      <c r="R19771" s="1"/>
      <c r="Z19771" s="93"/>
      <c r="AA19771" s="93"/>
      <c r="AB19771" s="1"/>
    </row>
    <row r="19772" spans="15:28">
      <c r="O19772" s="1"/>
      <c r="P19772" s="1"/>
      <c r="Q19772" s="1"/>
      <c r="R19772" s="1"/>
      <c r="Z19772" s="93"/>
      <c r="AA19772" s="93"/>
      <c r="AB19772" s="1"/>
    </row>
    <row r="19773" spans="15:28">
      <c r="O19773" s="1"/>
      <c r="P19773" s="1"/>
      <c r="Q19773" s="1"/>
      <c r="R19773" s="1"/>
      <c r="Z19773" s="93"/>
      <c r="AA19773" s="93"/>
      <c r="AB19773" s="1"/>
    </row>
    <row r="19774" spans="15:28">
      <c r="O19774" s="1"/>
      <c r="P19774" s="1"/>
      <c r="Q19774" s="1"/>
      <c r="R19774" s="1"/>
      <c r="Z19774" s="93"/>
      <c r="AA19774" s="93"/>
      <c r="AB19774" s="1"/>
    </row>
    <row r="19775" spans="15:28">
      <c r="O19775" s="1"/>
      <c r="P19775" s="1"/>
      <c r="Q19775" s="1"/>
      <c r="R19775" s="1"/>
      <c r="Z19775" s="93"/>
      <c r="AA19775" s="93"/>
      <c r="AB19775" s="1"/>
    </row>
    <row r="19776" spans="15:28">
      <c r="O19776" s="1"/>
      <c r="P19776" s="1"/>
      <c r="Q19776" s="1"/>
      <c r="R19776" s="1"/>
      <c r="Z19776" s="93"/>
      <c r="AA19776" s="93"/>
      <c r="AB19776" s="1"/>
    </row>
    <row r="19777" spans="15:28">
      <c r="O19777" s="1"/>
      <c r="P19777" s="1"/>
      <c r="Q19777" s="1"/>
      <c r="R19777" s="1"/>
      <c r="Z19777" s="93"/>
      <c r="AA19777" s="93"/>
      <c r="AB19777" s="1"/>
    </row>
    <row r="19778" spans="15:28">
      <c r="O19778" s="1"/>
      <c r="P19778" s="1"/>
      <c r="Q19778" s="1"/>
      <c r="R19778" s="1"/>
      <c r="Z19778" s="93"/>
      <c r="AA19778" s="93"/>
      <c r="AB19778" s="1"/>
    </row>
    <row r="19779" spans="15:28">
      <c r="O19779" s="1"/>
      <c r="P19779" s="1"/>
      <c r="Q19779" s="1"/>
      <c r="R19779" s="1"/>
      <c r="Z19779" s="93"/>
      <c r="AA19779" s="93"/>
      <c r="AB19779" s="1"/>
    </row>
    <row r="19780" spans="15:28">
      <c r="O19780" s="1"/>
      <c r="P19780" s="1"/>
      <c r="Q19780" s="1"/>
      <c r="R19780" s="1"/>
      <c r="Z19780" s="93"/>
      <c r="AA19780" s="93"/>
      <c r="AB19780" s="1"/>
    </row>
    <row r="19781" spans="15:28">
      <c r="P19781" s="1"/>
      <c r="R19781" s="1"/>
      <c r="Z19781" s="93"/>
      <c r="AA19781" s="93"/>
    </row>
    <row r="19782" spans="15:28">
      <c r="O19782" s="1"/>
      <c r="P19782" s="1"/>
      <c r="Q19782" s="1"/>
      <c r="R19782" s="1"/>
      <c r="Z19782" s="93"/>
      <c r="AA19782" s="93"/>
      <c r="AB19782" s="1"/>
    </row>
    <row r="19783" spans="15:28">
      <c r="O19783" s="1"/>
      <c r="P19783" s="1"/>
      <c r="Q19783" s="1"/>
      <c r="R19783" s="1"/>
      <c r="Z19783" s="93"/>
      <c r="AA19783" s="93"/>
      <c r="AB19783" s="1"/>
    </row>
    <row r="19784" spans="15:28">
      <c r="O19784" s="1"/>
      <c r="P19784" s="1"/>
      <c r="Q19784" s="1"/>
      <c r="R19784" s="1"/>
      <c r="Z19784" s="93"/>
      <c r="AA19784" s="93"/>
      <c r="AB19784" s="1"/>
    </row>
    <row r="19785" spans="15:28">
      <c r="O19785" s="1"/>
      <c r="P19785" s="1"/>
      <c r="Q19785" s="1"/>
      <c r="R19785" s="1"/>
      <c r="Z19785" s="93"/>
      <c r="AA19785" s="93"/>
      <c r="AB19785" s="1"/>
    </row>
    <row r="19786" spans="15:28">
      <c r="O19786" s="1"/>
      <c r="P19786" s="1"/>
      <c r="Q19786" s="1"/>
      <c r="R19786" s="1"/>
      <c r="Z19786" s="93"/>
      <c r="AA19786" s="93"/>
      <c r="AB19786" s="1"/>
    </row>
    <row r="19787" spans="15:28">
      <c r="O19787" s="1"/>
      <c r="P19787" s="1"/>
      <c r="Q19787" s="1"/>
      <c r="R19787" s="1"/>
      <c r="Z19787" s="93"/>
      <c r="AA19787" s="93"/>
      <c r="AB19787" s="1"/>
    </row>
    <row r="19788" spans="15:28">
      <c r="O19788" s="1"/>
      <c r="P19788" s="1"/>
      <c r="Q19788" s="1"/>
      <c r="R19788" s="1"/>
      <c r="Z19788" s="93"/>
      <c r="AA19788" s="93"/>
      <c r="AB19788" s="1"/>
    </row>
    <row r="19789" spans="15:28">
      <c r="O19789" s="1"/>
      <c r="P19789" s="1"/>
      <c r="Q19789" s="1"/>
      <c r="R19789" s="1"/>
      <c r="Z19789" s="93"/>
      <c r="AA19789" s="93"/>
      <c r="AB19789" s="1"/>
    </row>
    <row r="19790" spans="15:28">
      <c r="O19790" s="1"/>
      <c r="P19790" s="1"/>
      <c r="Q19790" s="1"/>
      <c r="R19790" s="1"/>
      <c r="Z19790" s="93"/>
      <c r="AA19790" s="93"/>
      <c r="AB19790" s="1"/>
    </row>
    <row r="19791" spans="15:28">
      <c r="O19791" s="1"/>
      <c r="P19791" s="1"/>
      <c r="Q19791" s="1"/>
      <c r="R19791" s="1"/>
      <c r="Z19791" s="93"/>
      <c r="AA19791" s="93"/>
      <c r="AB19791" s="1"/>
    </row>
    <row r="19792" spans="15:28">
      <c r="O19792" s="1"/>
      <c r="P19792" s="1"/>
      <c r="Q19792" s="1"/>
      <c r="R19792" s="1"/>
      <c r="Z19792" s="93"/>
      <c r="AA19792" s="93"/>
      <c r="AB19792" s="1"/>
    </row>
    <row r="19793" spans="15:28">
      <c r="O19793" s="1"/>
      <c r="P19793" s="1"/>
      <c r="Q19793" s="1"/>
      <c r="R19793" s="1"/>
      <c r="Z19793" s="93"/>
      <c r="AA19793" s="93"/>
      <c r="AB19793" s="1"/>
    </row>
    <row r="19794" spans="15:28">
      <c r="O19794" s="1"/>
      <c r="P19794" s="1"/>
      <c r="Q19794" s="1"/>
      <c r="R19794" s="1"/>
      <c r="Z19794" s="93"/>
      <c r="AA19794" s="93"/>
      <c r="AB19794" s="1"/>
    </row>
    <row r="19795" spans="15:28">
      <c r="O19795" s="1"/>
      <c r="P19795" s="1"/>
      <c r="Q19795" s="1"/>
      <c r="R19795" s="1"/>
      <c r="Z19795" s="93"/>
      <c r="AA19795" s="93"/>
      <c r="AB19795" s="1"/>
    </row>
    <row r="19796" spans="15:28">
      <c r="O19796" s="1"/>
      <c r="P19796" s="1"/>
      <c r="Q19796" s="1"/>
      <c r="R19796" s="1"/>
      <c r="Z19796" s="93"/>
      <c r="AA19796" s="93"/>
      <c r="AB19796" s="1"/>
    </row>
    <row r="19797" spans="15:28">
      <c r="O19797" s="1"/>
      <c r="P19797" s="1"/>
      <c r="Q19797" s="1"/>
      <c r="R19797" s="1"/>
      <c r="Z19797" s="93"/>
      <c r="AA19797" s="93"/>
      <c r="AB19797" s="1"/>
    </row>
    <row r="19798" spans="15:28">
      <c r="O19798" s="1"/>
      <c r="P19798" s="1"/>
      <c r="Q19798" s="1"/>
      <c r="R19798" s="1"/>
      <c r="Z19798" s="93"/>
      <c r="AA19798" s="93"/>
      <c r="AB19798" s="1"/>
    </row>
    <row r="19799" spans="15:28">
      <c r="O19799" s="1"/>
      <c r="P19799" s="1"/>
      <c r="Q19799" s="1"/>
      <c r="R19799" s="1"/>
      <c r="Z19799" s="93"/>
      <c r="AA19799" s="93"/>
      <c r="AB19799" s="1"/>
    </row>
    <row r="19800" spans="15:28">
      <c r="O19800" s="1"/>
      <c r="P19800" s="1"/>
      <c r="Q19800" s="1"/>
      <c r="R19800" s="1"/>
      <c r="Z19800" s="93"/>
      <c r="AA19800" s="93"/>
      <c r="AB19800" s="1"/>
    </row>
    <row r="19801" spans="15:28">
      <c r="O19801" s="1"/>
      <c r="P19801" s="1"/>
      <c r="Q19801" s="1"/>
      <c r="R19801" s="1"/>
      <c r="Z19801" s="93"/>
      <c r="AA19801" s="93"/>
      <c r="AB19801" s="1"/>
    </row>
    <row r="19802" spans="15:28">
      <c r="O19802" s="1"/>
      <c r="P19802" s="1"/>
      <c r="Q19802" s="1"/>
      <c r="R19802" s="1"/>
      <c r="Z19802" s="93"/>
      <c r="AA19802" s="93"/>
      <c r="AB19802" s="1"/>
    </row>
    <row r="19803" spans="15:28">
      <c r="O19803" s="1"/>
      <c r="P19803" s="1"/>
      <c r="Q19803" s="1"/>
      <c r="R19803" s="1"/>
      <c r="Z19803" s="93"/>
      <c r="AA19803" s="93"/>
      <c r="AB19803" s="1"/>
    </row>
    <row r="19804" spans="15:28">
      <c r="O19804" s="1"/>
      <c r="P19804" s="1"/>
      <c r="Q19804" s="1"/>
      <c r="R19804" s="1"/>
      <c r="Z19804" s="93"/>
      <c r="AA19804" s="93"/>
      <c r="AB19804" s="1"/>
    </row>
    <row r="19805" spans="15:28">
      <c r="O19805" s="1"/>
      <c r="P19805" s="1"/>
      <c r="Q19805" s="1"/>
      <c r="R19805" s="1"/>
      <c r="Z19805" s="93"/>
      <c r="AA19805" s="93"/>
      <c r="AB19805" s="1"/>
    </row>
    <row r="19806" spans="15:28">
      <c r="O19806" s="1"/>
      <c r="P19806" s="1"/>
      <c r="Q19806" s="1"/>
      <c r="R19806" s="1"/>
      <c r="Z19806" s="93"/>
      <c r="AA19806" s="93"/>
      <c r="AB19806" s="1"/>
    </row>
    <row r="19807" spans="15:28">
      <c r="O19807" s="1"/>
      <c r="P19807" s="1"/>
      <c r="Q19807" s="1"/>
      <c r="R19807" s="1"/>
      <c r="Z19807" s="93"/>
      <c r="AA19807" s="93"/>
      <c r="AB19807" s="1"/>
    </row>
    <row r="19808" spans="15:28">
      <c r="O19808" s="1"/>
      <c r="P19808" s="1"/>
      <c r="Q19808" s="1"/>
      <c r="R19808" s="1"/>
      <c r="Z19808" s="93"/>
      <c r="AA19808" s="93"/>
      <c r="AB19808" s="1"/>
    </row>
    <row r="19809" spans="15:28">
      <c r="O19809" s="1"/>
      <c r="P19809" s="1"/>
      <c r="Q19809" s="1"/>
      <c r="R19809" s="1"/>
      <c r="Z19809" s="93"/>
      <c r="AA19809" s="93"/>
      <c r="AB19809" s="1"/>
    </row>
    <row r="19810" spans="15:28">
      <c r="O19810" s="1"/>
      <c r="P19810" s="1"/>
      <c r="Q19810" s="1"/>
      <c r="R19810" s="1"/>
      <c r="Z19810" s="93"/>
      <c r="AA19810" s="93"/>
      <c r="AB19810" s="1"/>
    </row>
    <row r="19811" spans="15:28">
      <c r="O19811" s="1"/>
      <c r="P19811" s="1"/>
      <c r="Q19811" s="1"/>
      <c r="R19811" s="1"/>
      <c r="Z19811" s="93"/>
      <c r="AA19811" s="93"/>
      <c r="AB19811" s="1"/>
    </row>
    <row r="19812" spans="15:28">
      <c r="O19812" s="1"/>
      <c r="P19812" s="1"/>
      <c r="Q19812" s="1"/>
      <c r="R19812" s="1"/>
      <c r="Z19812" s="93"/>
      <c r="AA19812" s="93"/>
      <c r="AB19812" s="1"/>
    </row>
    <row r="19813" spans="15:28">
      <c r="O19813" s="1"/>
      <c r="P19813" s="1"/>
      <c r="Q19813" s="1"/>
      <c r="R19813" s="1"/>
      <c r="Z19813" s="93"/>
      <c r="AA19813" s="93"/>
      <c r="AB19813" s="1"/>
    </row>
    <row r="19814" spans="15:28">
      <c r="O19814" s="1"/>
      <c r="P19814" s="1"/>
      <c r="Q19814" s="1"/>
      <c r="R19814" s="1"/>
      <c r="Z19814" s="93"/>
      <c r="AA19814" s="93"/>
      <c r="AB19814" s="1"/>
    </row>
    <row r="19815" spans="15:28">
      <c r="O19815" s="1"/>
      <c r="P19815" s="1"/>
      <c r="Q19815" s="1"/>
      <c r="R19815" s="1"/>
      <c r="Z19815" s="93"/>
      <c r="AA19815" s="93"/>
      <c r="AB19815" s="1"/>
    </row>
    <row r="19816" spans="15:28">
      <c r="O19816" s="1"/>
      <c r="P19816" s="1"/>
      <c r="Q19816" s="1"/>
      <c r="R19816" s="1"/>
      <c r="Z19816" s="93"/>
      <c r="AA19816" s="93"/>
      <c r="AB19816" s="1"/>
    </row>
    <row r="19817" spans="15:28">
      <c r="O19817" s="1"/>
      <c r="P19817" s="1"/>
      <c r="Q19817" s="1"/>
      <c r="R19817" s="1"/>
      <c r="Z19817" s="93"/>
      <c r="AA19817" s="93"/>
      <c r="AB19817" s="1"/>
    </row>
    <row r="19818" spans="15:28">
      <c r="O19818" s="1"/>
      <c r="P19818" s="1"/>
      <c r="Q19818" s="1"/>
      <c r="R19818" s="1"/>
      <c r="Z19818" s="93"/>
      <c r="AA19818" s="93"/>
      <c r="AB19818" s="1"/>
    </row>
    <row r="19819" spans="15:28">
      <c r="O19819" s="1"/>
      <c r="P19819" s="1"/>
      <c r="Q19819" s="1"/>
      <c r="R19819" s="1"/>
      <c r="Z19819" s="93"/>
      <c r="AA19819" s="93"/>
      <c r="AB19819" s="1"/>
    </row>
    <row r="19820" spans="15:28">
      <c r="O19820" s="1"/>
      <c r="P19820" s="1"/>
      <c r="Q19820" s="1"/>
      <c r="R19820" s="1"/>
      <c r="Z19820" s="93"/>
      <c r="AA19820" s="93"/>
      <c r="AB19820" s="1"/>
    </row>
    <row r="19821" spans="15:28">
      <c r="O19821" s="1"/>
      <c r="P19821" s="1"/>
      <c r="Q19821" s="1"/>
      <c r="R19821" s="1"/>
      <c r="Z19821" s="93"/>
      <c r="AA19821" s="93"/>
      <c r="AB19821" s="1"/>
    </row>
    <row r="19822" spans="15:28">
      <c r="O19822" s="1"/>
      <c r="P19822" s="1"/>
      <c r="Q19822" s="1"/>
      <c r="R19822" s="1"/>
      <c r="Z19822" s="93"/>
      <c r="AA19822" s="93"/>
      <c r="AB19822" s="1"/>
    </row>
    <row r="19823" spans="15:28">
      <c r="O19823" s="1"/>
      <c r="P19823" s="1"/>
      <c r="Q19823" s="1"/>
      <c r="R19823" s="1"/>
      <c r="Z19823" s="93"/>
      <c r="AA19823" s="93"/>
      <c r="AB19823" s="1"/>
    </row>
    <row r="19824" spans="15:28">
      <c r="O19824" s="1"/>
      <c r="P19824" s="1"/>
      <c r="Q19824" s="1"/>
      <c r="R19824" s="1"/>
      <c r="Z19824" s="93"/>
      <c r="AA19824" s="93"/>
      <c r="AB19824" s="1"/>
    </row>
    <row r="19825" spans="15:28">
      <c r="O19825" s="1"/>
      <c r="P19825" s="1"/>
      <c r="Q19825" s="1"/>
      <c r="R19825" s="1"/>
      <c r="Z19825" s="93"/>
      <c r="AA19825" s="93"/>
      <c r="AB19825" s="1"/>
    </row>
    <row r="19826" spans="15:28">
      <c r="O19826" s="1"/>
      <c r="P19826" s="1"/>
      <c r="Q19826" s="1"/>
      <c r="R19826" s="1"/>
      <c r="Z19826" s="93"/>
      <c r="AA19826" s="93"/>
      <c r="AB19826" s="1"/>
    </row>
    <row r="19827" spans="15:28">
      <c r="O19827" s="1"/>
      <c r="P19827" s="1"/>
      <c r="Q19827" s="1"/>
      <c r="R19827" s="1"/>
      <c r="Z19827" s="93"/>
      <c r="AA19827" s="93"/>
      <c r="AB19827" s="1"/>
    </row>
    <row r="19828" spans="15:28">
      <c r="O19828" s="1"/>
      <c r="P19828" s="1"/>
      <c r="Q19828" s="1"/>
      <c r="R19828" s="1"/>
      <c r="Z19828" s="93"/>
      <c r="AA19828" s="93"/>
      <c r="AB19828" s="1"/>
    </row>
    <row r="19829" spans="15:28">
      <c r="O19829" s="1"/>
      <c r="P19829" s="1"/>
      <c r="Q19829" s="1"/>
      <c r="R19829" s="1"/>
      <c r="Z19829" s="93"/>
      <c r="AA19829" s="93"/>
      <c r="AB19829" s="1"/>
    </row>
    <row r="19830" spans="15:28">
      <c r="O19830" s="1"/>
      <c r="P19830" s="1"/>
      <c r="Q19830" s="1"/>
      <c r="R19830" s="1"/>
      <c r="Z19830" s="93"/>
      <c r="AA19830" s="93"/>
      <c r="AB19830" s="1"/>
    </row>
    <row r="19831" spans="15:28">
      <c r="O19831" s="1"/>
      <c r="P19831" s="1"/>
      <c r="Q19831" s="1"/>
      <c r="R19831" s="1"/>
      <c r="Z19831" s="93"/>
      <c r="AA19831" s="93"/>
      <c r="AB19831" s="1"/>
    </row>
    <row r="19832" spans="15:28">
      <c r="O19832" s="1"/>
      <c r="P19832" s="1"/>
      <c r="Q19832" s="1"/>
      <c r="R19832" s="1"/>
      <c r="Z19832" s="93"/>
      <c r="AA19832" s="93"/>
      <c r="AB19832" s="1"/>
    </row>
    <row r="19833" spans="15:28">
      <c r="O19833" s="1"/>
      <c r="P19833" s="1"/>
      <c r="Q19833" s="1"/>
      <c r="R19833" s="1"/>
      <c r="Z19833" s="93"/>
      <c r="AA19833" s="93"/>
      <c r="AB19833" s="1"/>
    </row>
    <row r="19834" spans="15:28">
      <c r="O19834" s="1"/>
      <c r="P19834" s="1"/>
      <c r="Q19834" s="1"/>
      <c r="R19834" s="1"/>
      <c r="Z19834" s="93"/>
      <c r="AA19834" s="93"/>
      <c r="AB19834" s="1"/>
    </row>
    <row r="19835" spans="15:28">
      <c r="O19835" s="1"/>
      <c r="P19835" s="1"/>
      <c r="Q19835" s="1"/>
      <c r="R19835" s="1"/>
      <c r="Z19835" s="93"/>
      <c r="AA19835" s="93"/>
      <c r="AB19835" s="1"/>
    </row>
    <row r="19836" spans="15:28">
      <c r="O19836" s="1"/>
      <c r="P19836" s="1"/>
      <c r="Q19836" s="1"/>
      <c r="R19836" s="1"/>
      <c r="Z19836" s="93"/>
      <c r="AA19836" s="93"/>
      <c r="AB19836" s="1"/>
    </row>
    <row r="19837" spans="15:28">
      <c r="O19837" s="1"/>
      <c r="P19837" s="1"/>
      <c r="Q19837" s="1"/>
      <c r="R19837" s="1"/>
      <c r="Z19837" s="93"/>
      <c r="AA19837" s="93"/>
      <c r="AB19837" s="1"/>
    </row>
    <row r="19838" spans="15:28">
      <c r="O19838" s="1"/>
      <c r="P19838" s="1"/>
      <c r="Q19838" s="1"/>
      <c r="R19838" s="1"/>
      <c r="Z19838" s="93"/>
      <c r="AA19838" s="93"/>
      <c r="AB19838" s="1"/>
    </row>
    <row r="19839" spans="15:28">
      <c r="O19839" s="1"/>
      <c r="P19839" s="1"/>
      <c r="Q19839" s="1"/>
      <c r="R19839" s="1"/>
      <c r="Z19839" s="93"/>
      <c r="AA19839" s="93"/>
      <c r="AB19839" s="1"/>
    </row>
    <row r="19840" spans="15:28">
      <c r="O19840" s="1"/>
      <c r="P19840" s="1"/>
      <c r="Q19840" s="1"/>
      <c r="R19840" s="1"/>
      <c r="Z19840" s="93"/>
      <c r="AA19840" s="93"/>
      <c r="AB19840" s="1"/>
    </row>
    <row r="19841" spans="15:28">
      <c r="O19841" s="1"/>
      <c r="P19841" s="1"/>
      <c r="Q19841" s="1"/>
      <c r="R19841" s="1"/>
      <c r="Z19841" s="93"/>
      <c r="AA19841" s="93"/>
      <c r="AB19841" s="1"/>
    </row>
    <row r="19842" spans="15:28">
      <c r="O19842" s="1"/>
      <c r="P19842" s="1"/>
      <c r="Q19842" s="1"/>
      <c r="R19842" s="1"/>
      <c r="Z19842" s="93"/>
      <c r="AA19842" s="93"/>
      <c r="AB19842" s="1"/>
    </row>
    <row r="19843" spans="15:28">
      <c r="O19843" s="1"/>
      <c r="P19843" s="1"/>
      <c r="Q19843" s="1"/>
      <c r="R19843" s="1"/>
      <c r="Z19843" s="93"/>
      <c r="AA19843" s="93"/>
      <c r="AB19843" s="1"/>
    </row>
    <row r="19844" spans="15:28">
      <c r="O19844" s="1"/>
      <c r="P19844" s="1"/>
      <c r="Q19844" s="1"/>
      <c r="R19844" s="1"/>
      <c r="Z19844" s="93"/>
      <c r="AA19844" s="93"/>
      <c r="AB19844" s="1"/>
    </row>
    <row r="19845" spans="15:28">
      <c r="O19845" s="1"/>
      <c r="P19845" s="1"/>
      <c r="Q19845" s="1"/>
      <c r="R19845" s="1"/>
      <c r="Z19845" s="93"/>
      <c r="AA19845" s="93"/>
      <c r="AB19845" s="1"/>
    </row>
    <row r="19846" spans="15:28">
      <c r="O19846" s="1"/>
      <c r="P19846" s="1"/>
      <c r="Q19846" s="1"/>
      <c r="R19846" s="1"/>
      <c r="Z19846" s="93"/>
      <c r="AA19846" s="93"/>
      <c r="AB19846" s="1"/>
    </row>
    <row r="19847" spans="15:28">
      <c r="O19847" s="1"/>
      <c r="P19847" s="1"/>
      <c r="Q19847" s="1"/>
      <c r="R19847" s="1"/>
      <c r="Z19847" s="93"/>
      <c r="AA19847" s="93"/>
      <c r="AB19847" s="1"/>
    </row>
    <row r="19848" spans="15:28">
      <c r="O19848" s="1"/>
      <c r="P19848" s="1"/>
      <c r="Q19848" s="1"/>
      <c r="R19848" s="1"/>
      <c r="Z19848" s="93"/>
      <c r="AA19848" s="93"/>
      <c r="AB19848" s="1"/>
    </row>
    <row r="19849" spans="15:28">
      <c r="O19849" s="1"/>
      <c r="P19849" s="1"/>
      <c r="Q19849" s="1"/>
      <c r="R19849" s="1"/>
      <c r="Z19849" s="93"/>
      <c r="AA19849" s="93"/>
      <c r="AB19849" s="1"/>
    </row>
    <row r="19850" spans="15:28">
      <c r="O19850" s="1"/>
      <c r="P19850" s="1"/>
      <c r="Q19850" s="1"/>
      <c r="R19850" s="1"/>
      <c r="Z19850" s="93"/>
      <c r="AA19850" s="93"/>
      <c r="AB19850" s="1"/>
    </row>
    <row r="19851" spans="15:28">
      <c r="O19851" s="1"/>
      <c r="P19851" s="1"/>
      <c r="Q19851" s="1"/>
      <c r="R19851" s="1"/>
      <c r="Z19851" s="93"/>
      <c r="AA19851" s="93"/>
      <c r="AB19851" s="1"/>
    </row>
    <row r="19852" spans="15:28">
      <c r="O19852" s="1"/>
      <c r="P19852" s="1"/>
      <c r="Q19852" s="1"/>
      <c r="R19852" s="1"/>
      <c r="Z19852" s="93"/>
      <c r="AA19852" s="93"/>
      <c r="AB19852" s="1"/>
    </row>
    <row r="19853" spans="15:28">
      <c r="O19853" s="1"/>
      <c r="P19853" s="1"/>
      <c r="Q19853" s="1"/>
      <c r="R19853" s="1"/>
      <c r="Z19853" s="93"/>
      <c r="AA19853" s="93"/>
      <c r="AB19853" s="1"/>
    </row>
    <row r="19854" spans="15:28">
      <c r="O19854" s="1"/>
      <c r="P19854" s="1"/>
      <c r="Q19854" s="1"/>
      <c r="R19854" s="1"/>
      <c r="Z19854" s="93"/>
      <c r="AA19854" s="93"/>
      <c r="AB19854" s="1"/>
    </row>
    <row r="19855" spans="15:28">
      <c r="O19855" s="1"/>
      <c r="P19855" s="1"/>
      <c r="Q19855" s="1"/>
      <c r="R19855" s="1"/>
      <c r="Z19855" s="93"/>
      <c r="AA19855" s="93"/>
      <c r="AB19855" s="1"/>
    </row>
    <row r="19856" spans="15:28">
      <c r="O19856" s="1"/>
      <c r="P19856" s="1"/>
      <c r="Q19856" s="1"/>
      <c r="R19856" s="1"/>
      <c r="Z19856" s="93"/>
      <c r="AA19856" s="93"/>
      <c r="AB19856" s="1"/>
    </row>
    <row r="19857" spans="15:28">
      <c r="O19857" s="1"/>
      <c r="P19857" s="1"/>
      <c r="Q19857" s="1"/>
      <c r="R19857" s="1"/>
      <c r="Z19857" s="93"/>
      <c r="AA19857" s="93"/>
      <c r="AB19857" s="1"/>
    </row>
    <row r="19858" spans="15:28">
      <c r="O19858" s="1"/>
      <c r="P19858" s="1"/>
      <c r="Q19858" s="1"/>
      <c r="R19858" s="1"/>
      <c r="Z19858" s="93"/>
      <c r="AA19858" s="93"/>
      <c r="AB19858" s="1"/>
    </row>
    <row r="19859" spans="15:28">
      <c r="O19859" s="1"/>
      <c r="P19859" s="1"/>
      <c r="Q19859" s="1"/>
      <c r="R19859" s="1"/>
      <c r="Z19859" s="93"/>
      <c r="AA19859" s="93"/>
      <c r="AB19859" s="1"/>
    </row>
    <row r="19860" spans="15:28">
      <c r="O19860" s="1"/>
      <c r="P19860" s="1"/>
      <c r="Q19860" s="1"/>
      <c r="R19860" s="1"/>
      <c r="Z19860" s="93"/>
      <c r="AA19860" s="93"/>
      <c r="AB19860" s="1"/>
    </row>
    <row r="19861" spans="15:28">
      <c r="O19861" s="1"/>
      <c r="P19861" s="1"/>
      <c r="Q19861" s="1"/>
      <c r="R19861" s="1"/>
      <c r="Z19861" s="93"/>
      <c r="AA19861" s="93"/>
      <c r="AB19861" s="1"/>
    </row>
    <row r="19862" spans="15:28">
      <c r="O19862" s="1"/>
      <c r="P19862" s="1"/>
      <c r="Q19862" s="1"/>
      <c r="R19862" s="1"/>
      <c r="Z19862" s="93"/>
      <c r="AA19862" s="93"/>
      <c r="AB19862" s="1"/>
    </row>
    <row r="19863" spans="15:28">
      <c r="O19863" s="1"/>
      <c r="P19863" s="1"/>
      <c r="Q19863" s="1"/>
      <c r="R19863" s="1"/>
      <c r="Z19863" s="93"/>
      <c r="AA19863" s="93"/>
      <c r="AB19863" s="1"/>
    </row>
    <row r="19864" spans="15:28">
      <c r="O19864" s="1"/>
      <c r="P19864" s="1"/>
      <c r="Q19864" s="1"/>
      <c r="R19864" s="1"/>
      <c r="Z19864" s="93"/>
      <c r="AA19864" s="93"/>
      <c r="AB19864" s="1"/>
    </row>
    <row r="19865" spans="15:28">
      <c r="O19865" s="1"/>
      <c r="P19865" s="1"/>
      <c r="Q19865" s="1"/>
      <c r="R19865" s="1"/>
      <c r="Z19865" s="93"/>
      <c r="AA19865" s="93"/>
      <c r="AB19865" s="1"/>
    </row>
    <row r="19866" spans="15:28">
      <c r="O19866" s="1"/>
      <c r="P19866" s="1"/>
      <c r="Q19866" s="1"/>
      <c r="R19866" s="1"/>
      <c r="Z19866" s="93"/>
      <c r="AA19866" s="93"/>
      <c r="AB19866" s="1"/>
    </row>
    <row r="19867" spans="15:28">
      <c r="O19867" s="1"/>
      <c r="P19867" s="1"/>
      <c r="Q19867" s="1"/>
      <c r="R19867" s="1"/>
      <c r="Z19867" s="93"/>
      <c r="AA19867" s="93"/>
      <c r="AB19867" s="1"/>
    </row>
    <row r="19868" spans="15:28">
      <c r="O19868" s="1"/>
      <c r="P19868" s="1"/>
      <c r="Q19868" s="1"/>
      <c r="R19868" s="1"/>
      <c r="Z19868" s="93"/>
      <c r="AA19868" s="93"/>
      <c r="AB19868" s="1"/>
    </row>
    <row r="19869" spans="15:28">
      <c r="O19869" s="1"/>
      <c r="P19869" s="1"/>
      <c r="Q19869" s="1"/>
      <c r="R19869" s="1"/>
      <c r="Z19869" s="93"/>
      <c r="AA19869" s="93"/>
      <c r="AB19869" s="1"/>
    </row>
    <row r="19870" spans="15:28">
      <c r="O19870" s="1"/>
      <c r="P19870" s="1"/>
      <c r="Q19870" s="1"/>
      <c r="R19870" s="1"/>
      <c r="Z19870" s="93"/>
      <c r="AA19870" s="93"/>
      <c r="AB19870" s="1"/>
    </row>
    <row r="19871" spans="15:28">
      <c r="O19871" s="1"/>
      <c r="P19871" s="1"/>
      <c r="Q19871" s="1"/>
      <c r="R19871" s="1"/>
      <c r="Z19871" s="93"/>
      <c r="AA19871" s="93"/>
      <c r="AB19871" s="1"/>
    </row>
    <row r="19872" spans="15:28">
      <c r="O19872" s="1"/>
      <c r="P19872" s="1"/>
      <c r="Q19872" s="1"/>
      <c r="R19872" s="1"/>
      <c r="Z19872" s="93"/>
      <c r="AA19872" s="93"/>
      <c r="AB19872" s="1"/>
    </row>
    <row r="19873" spans="15:28">
      <c r="O19873" s="1"/>
      <c r="P19873" s="1"/>
      <c r="Q19873" s="1"/>
      <c r="R19873" s="1"/>
      <c r="Z19873" s="93"/>
      <c r="AA19873" s="93"/>
      <c r="AB19873" s="1"/>
    </row>
    <row r="19874" spans="15:28">
      <c r="O19874" s="1"/>
      <c r="P19874" s="1"/>
      <c r="Q19874" s="1"/>
      <c r="R19874" s="1"/>
      <c r="Z19874" s="93"/>
      <c r="AA19874" s="93"/>
      <c r="AB19874" s="1"/>
    </row>
    <row r="19875" spans="15:28">
      <c r="O19875" s="1"/>
      <c r="P19875" s="1"/>
      <c r="Q19875" s="1"/>
      <c r="R19875" s="1"/>
      <c r="Z19875" s="93"/>
      <c r="AA19875" s="93"/>
      <c r="AB19875" s="1"/>
    </row>
    <row r="19876" spans="15:28">
      <c r="O19876" s="1"/>
      <c r="P19876" s="1"/>
      <c r="Q19876" s="1"/>
      <c r="R19876" s="1"/>
      <c r="Z19876" s="93"/>
      <c r="AA19876" s="93"/>
      <c r="AB19876" s="1"/>
    </row>
    <row r="19877" spans="15:28">
      <c r="O19877" s="1"/>
      <c r="P19877" s="1"/>
      <c r="Q19877" s="1"/>
      <c r="R19877" s="1"/>
      <c r="Z19877" s="93"/>
      <c r="AA19877" s="93"/>
      <c r="AB19877" s="1"/>
    </row>
    <row r="19878" spans="15:28">
      <c r="O19878" s="1"/>
      <c r="P19878" s="1"/>
      <c r="Q19878" s="1"/>
      <c r="R19878" s="1"/>
      <c r="Z19878" s="93"/>
      <c r="AA19878" s="93"/>
      <c r="AB19878" s="1"/>
    </row>
    <row r="19879" spans="15:28">
      <c r="O19879" s="1"/>
      <c r="P19879" s="1"/>
      <c r="Q19879" s="1"/>
      <c r="R19879" s="1"/>
      <c r="Z19879" s="93"/>
      <c r="AA19879" s="93"/>
      <c r="AB19879" s="1"/>
    </row>
    <row r="19880" spans="15:28">
      <c r="O19880" s="1"/>
      <c r="P19880" s="1"/>
      <c r="Q19880" s="1"/>
      <c r="R19880" s="1"/>
      <c r="Z19880" s="93"/>
      <c r="AA19880" s="93"/>
      <c r="AB19880" s="1"/>
    </row>
    <row r="19881" spans="15:28">
      <c r="O19881" s="1"/>
      <c r="P19881" s="1"/>
      <c r="Q19881" s="1"/>
      <c r="R19881" s="1"/>
      <c r="Z19881" s="93"/>
      <c r="AA19881" s="93"/>
      <c r="AB19881" s="1"/>
    </row>
    <row r="19882" spans="15:28">
      <c r="O19882" s="1"/>
      <c r="P19882" s="1"/>
      <c r="Q19882" s="1"/>
      <c r="R19882" s="1"/>
      <c r="Z19882" s="93"/>
      <c r="AA19882" s="93"/>
      <c r="AB19882" s="1"/>
    </row>
    <row r="19883" spans="15:28">
      <c r="O19883" s="1"/>
      <c r="P19883" s="1"/>
      <c r="Q19883" s="1"/>
      <c r="R19883" s="1"/>
      <c r="Z19883" s="93"/>
      <c r="AA19883" s="93"/>
      <c r="AB19883" s="1"/>
    </row>
    <row r="19884" spans="15:28">
      <c r="O19884" s="1"/>
      <c r="P19884" s="1"/>
      <c r="Q19884" s="1"/>
      <c r="R19884" s="1"/>
      <c r="Z19884" s="93"/>
      <c r="AA19884" s="93"/>
      <c r="AB19884" s="1"/>
    </row>
    <row r="19885" spans="15:28">
      <c r="O19885" s="1"/>
      <c r="P19885" s="1"/>
      <c r="Q19885" s="1"/>
      <c r="R19885" s="1"/>
      <c r="Z19885" s="93"/>
      <c r="AA19885" s="93"/>
      <c r="AB19885" s="1"/>
    </row>
    <row r="19886" spans="15:28">
      <c r="O19886" s="1"/>
      <c r="P19886" s="1"/>
      <c r="Q19886" s="1"/>
      <c r="R19886" s="1"/>
      <c r="Z19886" s="93"/>
      <c r="AA19886" s="93"/>
      <c r="AB19886" s="1"/>
    </row>
    <row r="19887" spans="15:28">
      <c r="O19887" s="1"/>
      <c r="P19887" s="1"/>
      <c r="Q19887" s="1"/>
      <c r="R19887" s="1"/>
      <c r="Z19887" s="93"/>
      <c r="AA19887" s="93"/>
      <c r="AB19887" s="1"/>
    </row>
    <row r="19888" spans="15:28">
      <c r="O19888" s="1"/>
      <c r="P19888" s="1"/>
      <c r="Q19888" s="1"/>
      <c r="R19888" s="1"/>
      <c r="Z19888" s="93"/>
      <c r="AA19888" s="93"/>
      <c r="AB19888" s="1"/>
    </row>
    <row r="19889" spans="15:28">
      <c r="O19889" s="1"/>
      <c r="P19889" s="1"/>
      <c r="Q19889" s="1"/>
      <c r="R19889" s="1"/>
      <c r="Z19889" s="93"/>
      <c r="AA19889" s="93"/>
      <c r="AB19889" s="1"/>
    </row>
    <row r="19890" spans="15:28">
      <c r="O19890" s="1"/>
      <c r="P19890" s="1"/>
      <c r="Q19890" s="1"/>
      <c r="R19890" s="1"/>
      <c r="Z19890" s="93"/>
      <c r="AA19890" s="93"/>
      <c r="AB19890" s="1"/>
    </row>
    <row r="19891" spans="15:28">
      <c r="O19891" s="1"/>
      <c r="P19891" s="1"/>
      <c r="Q19891" s="1"/>
      <c r="R19891" s="1"/>
      <c r="Z19891" s="93"/>
      <c r="AA19891" s="93"/>
      <c r="AB19891" s="1"/>
    </row>
    <row r="19892" spans="15:28">
      <c r="O19892" s="1"/>
      <c r="P19892" s="1"/>
      <c r="Q19892" s="1"/>
      <c r="R19892" s="1"/>
      <c r="Z19892" s="93"/>
      <c r="AA19892" s="93"/>
      <c r="AB19892" s="1"/>
    </row>
    <row r="19893" spans="15:28">
      <c r="O19893" s="1"/>
      <c r="P19893" s="1"/>
      <c r="Q19893" s="1"/>
      <c r="R19893" s="1"/>
      <c r="Z19893" s="93"/>
      <c r="AA19893" s="93"/>
      <c r="AB19893" s="1"/>
    </row>
    <row r="19894" spans="15:28">
      <c r="O19894" s="1"/>
      <c r="P19894" s="1"/>
      <c r="Q19894" s="1"/>
      <c r="R19894" s="1"/>
      <c r="Z19894" s="93"/>
      <c r="AA19894" s="93"/>
      <c r="AB19894" s="1"/>
    </row>
    <row r="19895" spans="15:28">
      <c r="O19895" s="1"/>
      <c r="P19895" s="1"/>
      <c r="Q19895" s="1"/>
      <c r="R19895" s="1"/>
      <c r="Z19895" s="93"/>
      <c r="AA19895" s="93"/>
      <c r="AB19895" s="1"/>
    </row>
    <row r="19896" spans="15:28">
      <c r="O19896" s="1"/>
      <c r="P19896" s="1"/>
      <c r="Q19896" s="1"/>
      <c r="R19896" s="1"/>
      <c r="Z19896" s="93"/>
      <c r="AA19896" s="93"/>
      <c r="AB19896" s="1"/>
    </row>
    <row r="19897" spans="15:28">
      <c r="O19897" s="1"/>
      <c r="P19897" s="1"/>
      <c r="Q19897" s="1"/>
      <c r="R19897" s="1"/>
      <c r="Z19897" s="93"/>
      <c r="AA19897" s="93"/>
      <c r="AB19897" s="1"/>
    </row>
    <row r="19898" spans="15:28">
      <c r="O19898" s="1"/>
      <c r="P19898" s="1"/>
      <c r="Q19898" s="1"/>
      <c r="R19898" s="1"/>
      <c r="Z19898" s="93"/>
      <c r="AA19898" s="93"/>
      <c r="AB19898" s="1"/>
    </row>
    <row r="19899" spans="15:28">
      <c r="O19899" s="1"/>
      <c r="P19899" s="1"/>
      <c r="Q19899" s="1"/>
      <c r="R19899" s="1"/>
      <c r="Z19899" s="93"/>
      <c r="AA19899" s="93"/>
      <c r="AB19899" s="1"/>
    </row>
    <row r="19900" spans="15:28">
      <c r="O19900" s="1"/>
      <c r="P19900" s="1"/>
      <c r="Q19900" s="1"/>
      <c r="R19900" s="1"/>
      <c r="Z19900" s="93"/>
      <c r="AA19900" s="93"/>
      <c r="AB19900" s="1"/>
    </row>
    <row r="19901" spans="15:28">
      <c r="O19901" s="1"/>
      <c r="P19901" s="1"/>
      <c r="Q19901" s="1"/>
      <c r="R19901" s="1"/>
      <c r="Z19901" s="93"/>
      <c r="AA19901" s="93"/>
      <c r="AB19901" s="1"/>
    </row>
    <row r="19902" spans="15:28">
      <c r="O19902" s="1"/>
      <c r="P19902" s="1"/>
      <c r="Q19902" s="1"/>
      <c r="R19902" s="1"/>
      <c r="Z19902" s="93"/>
      <c r="AA19902" s="93"/>
      <c r="AB19902" s="1"/>
    </row>
    <row r="19903" spans="15:28">
      <c r="O19903" s="1"/>
      <c r="P19903" s="1"/>
      <c r="Q19903" s="1"/>
      <c r="R19903" s="1"/>
      <c r="Z19903" s="93"/>
      <c r="AA19903" s="93"/>
      <c r="AB19903" s="1"/>
    </row>
    <row r="19904" spans="15:28">
      <c r="O19904" s="1"/>
      <c r="P19904" s="1"/>
      <c r="Q19904" s="1"/>
      <c r="R19904" s="1"/>
      <c r="Z19904" s="93"/>
      <c r="AA19904" s="93"/>
      <c r="AB19904" s="1"/>
    </row>
    <row r="19905" spans="15:28">
      <c r="O19905" s="1"/>
      <c r="P19905" s="1"/>
      <c r="Q19905" s="1"/>
      <c r="R19905" s="1"/>
      <c r="Z19905" s="93"/>
      <c r="AA19905" s="93"/>
      <c r="AB19905" s="1"/>
    </row>
    <row r="19906" spans="15:28">
      <c r="O19906" s="1"/>
      <c r="P19906" s="1"/>
      <c r="Q19906" s="1"/>
      <c r="R19906" s="1"/>
      <c r="Z19906" s="93"/>
      <c r="AA19906" s="93"/>
      <c r="AB19906" s="1"/>
    </row>
    <row r="19907" spans="15:28">
      <c r="O19907" s="1"/>
      <c r="P19907" s="1"/>
      <c r="Q19907" s="1"/>
      <c r="R19907" s="1"/>
      <c r="Z19907" s="93"/>
      <c r="AA19907" s="93"/>
      <c r="AB19907" s="1"/>
    </row>
    <row r="19908" spans="15:28">
      <c r="O19908" s="1"/>
      <c r="P19908" s="1"/>
      <c r="Q19908" s="1"/>
      <c r="R19908" s="1"/>
      <c r="Z19908" s="93"/>
      <c r="AA19908" s="93"/>
      <c r="AB19908" s="1"/>
    </row>
    <row r="19909" spans="15:28">
      <c r="O19909" s="1"/>
      <c r="P19909" s="1"/>
      <c r="Q19909" s="1"/>
      <c r="R19909" s="1"/>
      <c r="Z19909" s="93"/>
      <c r="AA19909" s="93"/>
      <c r="AB19909" s="1"/>
    </row>
    <row r="19910" spans="15:28">
      <c r="O19910" s="1"/>
      <c r="P19910" s="1"/>
      <c r="Q19910" s="1"/>
      <c r="R19910" s="1"/>
      <c r="Z19910" s="93"/>
      <c r="AA19910" s="93"/>
      <c r="AB19910" s="1"/>
    </row>
    <row r="19911" spans="15:28">
      <c r="O19911" s="1"/>
      <c r="P19911" s="1"/>
      <c r="Q19911" s="1"/>
      <c r="R19911" s="1"/>
      <c r="Z19911" s="93"/>
      <c r="AA19911" s="93"/>
      <c r="AB19911" s="1"/>
    </row>
    <row r="19912" spans="15:28">
      <c r="O19912" s="1"/>
      <c r="P19912" s="1"/>
      <c r="Q19912" s="1"/>
      <c r="R19912" s="1"/>
      <c r="Z19912" s="93"/>
      <c r="AA19912" s="93"/>
      <c r="AB19912" s="1"/>
    </row>
    <row r="19913" spans="15:28">
      <c r="O19913" s="1"/>
      <c r="P19913" s="1"/>
      <c r="Q19913" s="1"/>
      <c r="R19913" s="1"/>
      <c r="Z19913" s="93"/>
      <c r="AA19913" s="93"/>
      <c r="AB19913" s="1"/>
    </row>
    <row r="19914" spans="15:28">
      <c r="O19914" s="1"/>
      <c r="P19914" s="1"/>
      <c r="Q19914" s="1"/>
      <c r="R19914" s="1"/>
      <c r="Z19914" s="93"/>
      <c r="AA19914" s="93"/>
      <c r="AB19914" s="1"/>
    </row>
    <row r="19915" spans="15:28">
      <c r="O19915" s="1"/>
      <c r="P19915" s="1"/>
      <c r="Q19915" s="1"/>
      <c r="R19915" s="1"/>
      <c r="Z19915" s="93"/>
      <c r="AA19915" s="93"/>
      <c r="AB19915" s="1"/>
    </row>
    <row r="19916" spans="15:28">
      <c r="O19916" s="1"/>
      <c r="P19916" s="1"/>
      <c r="Q19916" s="1"/>
      <c r="R19916" s="1"/>
      <c r="Z19916" s="93"/>
      <c r="AA19916" s="93"/>
      <c r="AB19916" s="1"/>
    </row>
    <row r="19917" spans="15:28">
      <c r="O19917" s="1"/>
      <c r="P19917" s="1"/>
      <c r="Q19917" s="1"/>
      <c r="R19917" s="1"/>
      <c r="Z19917" s="93"/>
      <c r="AA19917" s="93"/>
      <c r="AB19917" s="1"/>
    </row>
    <row r="19918" spans="15:28">
      <c r="O19918" s="1"/>
      <c r="P19918" s="1"/>
      <c r="Q19918" s="1"/>
      <c r="R19918" s="1"/>
      <c r="Z19918" s="93"/>
      <c r="AA19918" s="93"/>
      <c r="AB19918" s="1"/>
    </row>
    <row r="19919" spans="15:28">
      <c r="O19919" s="1"/>
      <c r="P19919" s="1"/>
      <c r="Q19919" s="1"/>
      <c r="R19919" s="1"/>
      <c r="Z19919" s="93"/>
      <c r="AA19919" s="93"/>
      <c r="AB19919" s="1"/>
    </row>
    <row r="19920" spans="15:28">
      <c r="O19920" s="1"/>
      <c r="P19920" s="1"/>
      <c r="Q19920" s="1"/>
      <c r="R19920" s="1"/>
      <c r="Z19920" s="93"/>
      <c r="AA19920" s="93"/>
      <c r="AB19920" s="1"/>
    </row>
    <row r="19921" spans="15:28">
      <c r="O19921" s="1"/>
      <c r="P19921" s="1"/>
      <c r="Q19921" s="1"/>
      <c r="R19921" s="1"/>
      <c r="Z19921" s="93"/>
      <c r="AA19921" s="93"/>
      <c r="AB19921" s="1"/>
    </row>
    <row r="19922" spans="15:28">
      <c r="O19922" s="1"/>
      <c r="P19922" s="1"/>
      <c r="Q19922" s="1"/>
      <c r="R19922" s="1"/>
      <c r="Z19922" s="93"/>
      <c r="AA19922" s="93"/>
      <c r="AB19922" s="1"/>
    </row>
    <row r="19923" spans="15:28">
      <c r="O19923" s="1"/>
      <c r="P19923" s="1"/>
      <c r="Q19923" s="1"/>
      <c r="R19923" s="1"/>
      <c r="Z19923" s="93"/>
      <c r="AA19923" s="93"/>
      <c r="AB19923" s="1"/>
    </row>
    <row r="19924" spans="15:28">
      <c r="O19924" s="1"/>
      <c r="P19924" s="1"/>
      <c r="Q19924" s="1"/>
      <c r="R19924" s="1"/>
      <c r="Z19924" s="93"/>
      <c r="AA19924" s="93"/>
      <c r="AB19924" s="1"/>
    </row>
    <row r="19925" spans="15:28">
      <c r="O19925" s="1"/>
      <c r="P19925" s="1"/>
      <c r="Q19925" s="1"/>
      <c r="R19925" s="1"/>
      <c r="Z19925" s="93"/>
      <c r="AA19925" s="93"/>
      <c r="AB19925" s="1"/>
    </row>
    <row r="19926" spans="15:28">
      <c r="O19926" s="1"/>
      <c r="P19926" s="1"/>
      <c r="Q19926" s="1"/>
      <c r="R19926" s="1"/>
      <c r="Z19926" s="93"/>
      <c r="AA19926" s="93"/>
      <c r="AB19926" s="1"/>
    </row>
    <row r="19927" spans="15:28">
      <c r="O19927" s="1"/>
      <c r="P19927" s="1"/>
      <c r="Q19927" s="1"/>
      <c r="R19927" s="1"/>
      <c r="Z19927" s="93"/>
      <c r="AA19927" s="93"/>
      <c r="AB19927" s="1"/>
    </row>
    <row r="19928" spans="15:28">
      <c r="P19928" s="1"/>
      <c r="R19928" s="1"/>
      <c r="Z19928" s="93"/>
      <c r="AA19928" s="93"/>
    </row>
    <row r="19929" spans="15:28">
      <c r="O19929" s="1"/>
      <c r="P19929" s="1"/>
      <c r="Q19929" s="1"/>
      <c r="R19929" s="1"/>
      <c r="Z19929" s="93"/>
      <c r="AA19929" s="93"/>
      <c r="AB19929" s="1"/>
    </row>
    <row r="19930" spans="15:28">
      <c r="O19930" s="1"/>
      <c r="P19930" s="1"/>
      <c r="Q19930" s="1"/>
      <c r="R19930" s="1"/>
      <c r="Z19930" s="93"/>
      <c r="AA19930" s="93"/>
      <c r="AB19930" s="1"/>
    </row>
    <row r="19931" spans="15:28">
      <c r="O19931" s="1"/>
      <c r="P19931" s="1"/>
      <c r="Q19931" s="1"/>
      <c r="R19931" s="1"/>
      <c r="Z19931" s="93"/>
      <c r="AA19931" s="93"/>
      <c r="AB19931" s="1"/>
    </row>
    <row r="19932" spans="15:28">
      <c r="O19932" s="1"/>
      <c r="P19932" s="1"/>
      <c r="Q19932" s="1"/>
      <c r="R19932" s="1"/>
      <c r="Z19932" s="93"/>
      <c r="AA19932" s="93"/>
      <c r="AB19932" s="1"/>
    </row>
    <row r="19933" spans="15:28">
      <c r="O19933" s="1"/>
      <c r="P19933" s="1"/>
      <c r="Q19933" s="1"/>
      <c r="R19933" s="1"/>
      <c r="Z19933" s="93"/>
      <c r="AA19933" s="93"/>
      <c r="AB19933" s="1"/>
    </row>
    <row r="19934" spans="15:28">
      <c r="O19934" s="1"/>
      <c r="P19934" s="1"/>
      <c r="Q19934" s="1"/>
      <c r="R19934" s="1"/>
      <c r="Z19934" s="93"/>
      <c r="AA19934" s="93"/>
      <c r="AB19934" s="1"/>
    </row>
    <row r="19935" spans="15:28">
      <c r="O19935" s="1"/>
      <c r="P19935" s="1"/>
      <c r="Q19935" s="1"/>
      <c r="R19935" s="1"/>
      <c r="Z19935" s="93"/>
      <c r="AA19935" s="93"/>
      <c r="AB19935" s="1"/>
    </row>
    <row r="19936" spans="15:28">
      <c r="O19936" s="1"/>
      <c r="P19936" s="1"/>
      <c r="Q19936" s="1"/>
      <c r="R19936" s="1"/>
      <c r="Z19936" s="93"/>
      <c r="AA19936" s="93"/>
      <c r="AB19936" s="1"/>
    </row>
    <row r="19937" spans="15:28">
      <c r="O19937" s="1"/>
      <c r="P19937" s="1"/>
      <c r="Q19937" s="1"/>
      <c r="R19937" s="1"/>
      <c r="Z19937" s="93"/>
      <c r="AA19937" s="93"/>
      <c r="AB19937" s="1"/>
    </row>
    <row r="19938" spans="15:28">
      <c r="O19938" s="1"/>
      <c r="P19938" s="1"/>
      <c r="Q19938" s="1"/>
      <c r="R19938" s="1"/>
      <c r="Z19938" s="93"/>
      <c r="AA19938" s="93"/>
      <c r="AB19938" s="1"/>
    </row>
    <row r="19939" spans="15:28">
      <c r="O19939" s="1"/>
      <c r="P19939" s="1"/>
      <c r="Q19939" s="1"/>
      <c r="R19939" s="1"/>
      <c r="Z19939" s="93"/>
      <c r="AA19939" s="93"/>
      <c r="AB19939" s="1"/>
    </row>
    <row r="19940" spans="15:28">
      <c r="O19940" s="1"/>
      <c r="P19940" s="1"/>
      <c r="Q19940" s="1"/>
      <c r="R19940" s="1"/>
      <c r="Z19940" s="93"/>
      <c r="AA19940" s="93"/>
      <c r="AB19940" s="1"/>
    </row>
    <row r="19941" spans="15:28">
      <c r="O19941" s="1"/>
      <c r="P19941" s="1"/>
      <c r="Q19941" s="1"/>
      <c r="R19941" s="1"/>
      <c r="Z19941" s="93"/>
      <c r="AA19941" s="93"/>
      <c r="AB19941" s="1"/>
    </row>
    <row r="19942" spans="15:28">
      <c r="O19942" s="1"/>
      <c r="P19942" s="1"/>
      <c r="Q19942" s="1"/>
      <c r="R19942" s="1"/>
      <c r="Z19942" s="93"/>
      <c r="AA19942" s="93"/>
      <c r="AB19942" s="1"/>
    </row>
    <row r="19943" spans="15:28">
      <c r="O19943" s="1"/>
      <c r="P19943" s="1"/>
      <c r="Q19943" s="1"/>
      <c r="R19943" s="1"/>
      <c r="Z19943" s="93"/>
      <c r="AA19943" s="93"/>
      <c r="AB19943" s="1"/>
    </row>
    <row r="19944" spans="15:28">
      <c r="O19944" s="1"/>
      <c r="P19944" s="1"/>
      <c r="Q19944" s="1"/>
      <c r="R19944" s="1"/>
      <c r="Z19944" s="93"/>
      <c r="AA19944" s="93"/>
      <c r="AB19944" s="1"/>
    </row>
    <row r="19945" spans="15:28">
      <c r="O19945" s="1"/>
      <c r="P19945" s="1"/>
      <c r="Q19945" s="1"/>
      <c r="R19945" s="1"/>
      <c r="Z19945" s="93"/>
      <c r="AA19945" s="93"/>
      <c r="AB19945" s="1"/>
    </row>
    <row r="19946" spans="15:28">
      <c r="O19946" s="1"/>
      <c r="P19946" s="1"/>
      <c r="Q19946" s="1"/>
      <c r="R19946" s="1"/>
      <c r="Z19946" s="93"/>
      <c r="AA19946" s="93"/>
      <c r="AB19946" s="1"/>
    </row>
    <row r="19947" spans="15:28">
      <c r="O19947" s="1"/>
      <c r="P19947" s="1"/>
      <c r="Q19947" s="1"/>
      <c r="R19947" s="1"/>
      <c r="Z19947" s="93"/>
      <c r="AA19947" s="93"/>
      <c r="AB19947" s="1"/>
    </row>
    <row r="19948" spans="15:28">
      <c r="O19948" s="1"/>
      <c r="P19948" s="1"/>
      <c r="Q19948" s="1"/>
      <c r="R19948" s="1"/>
      <c r="Z19948" s="93"/>
      <c r="AA19948" s="93"/>
      <c r="AB19948" s="1"/>
    </row>
    <row r="19949" spans="15:28">
      <c r="O19949" s="1"/>
      <c r="P19949" s="1"/>
      <c r="Q19949" s="1"/>
      <c r="R19949" s="1"/>
      <c r="Z19949" s="93"/>
      <c r="AA19949" s="93"/>
      <c r="AB19949" s="1"/>
    </row>
    <row r="19950" spans="15:28">
      <c r="O19950" s="1"/>
      <c r="P19950" s="1"/>
      <c r="Q19950" s="1"/>
      <c r="R19950" s="1"/>
      <c r="Z19950" s="93"/>
      <c r="AA19950" s="93"/>
      <c r="AB19950" s="1"/>
    </row>
    <row r="19951" spans="15:28">
      <c r="O19951" s="1"/>
      <c r="P19951" s="1"/>
      <c r="Q19951" s="1"/>
      <c r="R19951" s="1"/>
      <c r="Z19951" s="93"/>
      <c r="AA19951" s="93"/>
      <c r="AB19951" s="1"/>
    </row>
    <row r="19952" spans="15:28">
      <c r="O19952" s="1"/>
      <c r="P19952" s="1"/>
      <c r="Q19952" s="1"/>
      <c r="R19952" s="1"/>
      <c r="Z19952" s="93"/>
      <c r="AA19952" s="93"/>
      <c r="AB19952" s="1"/>
    </row>
    <row r="19953" spans="15:28">
      <c r="O19953" s="1"/>
      <c r="P19953" s="1"/>
      <c r="Q19953" s="1"/>
      <c r="R19953" s="1"/>
      <c r="Z19953" s="93"/>
      <c r="AA19953" s="93"/>
      <c r="AB19953" s="1"/>
    </row>
    <row r="19954" spans="15:28">
      <c r="O19954" s="1"/>
      <c r="P19954" s="1"/>
      <c r="Q19954" s="1"/>
      <c r="R19954" s="1"/>
      <c r="Z19954" s="93"/>
      <c r="AA19954" s="93"/>
      <c r="AB19954" s="1"/>
    </row>
    <row r="19955" spans="15:28">
      <c r="O19955" s="1"/>
      <c r="P19955" s="1"/>
      <c r="Q19955" s="1"/>
      <c r="R19955" s="1"/>
      <c r="Z19955" s="93"/>
      <c r="AA19955" s="93"/>
      <c r="AB19955" s="1"/>
    </row>
    <row r="19956" spans="15:28">
      <c r="O19956" s="1"/>
      <c r="P19956" s="1"/>
      <c r="Q19956" s="1"/>
      <c r="R19956" s="1"/>
      <c r="Z19956" s="93"/>
      <c r="AA19956" s="93"/>
      <c r="AB19956" s="1"/>
    </row>
    <row r="19957" spans="15:28">
      <c r="O19957" s="1"/>
      <c r="P19957" s="1"/>
      <c r="Q19957" s="1"/>
      <c r="R19957" s="1"/>
      <c r="Z19957" s="93"/>
      <c r="AA19957" s="93"/>
      <c r="AB19957" s="1"/>
    </row>
    <row r="19958" spans="15:28">
      <c r="O19958" s="1"/>
      <c r="P19958" s="1"/>
      <c r="Q19958" s="1"/>
      <c r="R19958" s="1"/>
      <c r="Z19958" s="93"/>
      <c r="AA19958" s="93"/>
      <c r="AB19958" s="1"/>
    </row>
    <row r="19959" spans="15:28">
      <c r="O19959" s="1"/>
      <c r="P19959" s="1"/>
      <c r="Q19959" s="1"/>
      <c r="R19959" s="1"/>
      <c r="Z19959" s="93"/>
      <c r="AA19959" s="93"/>
      <c r="AB19959" s="1"/>
    </row>
    <row r="19960" spans="15:28">
      <c r="O19960" s="1"/>
      <c r="P19960" s="1"/>
      <c r="Q19960" s="1"/>
      <c r="R19960" s="1"/>
      <c r="Z19960" s="93"/>
      <c r="AA19960" s="93"/>
      <c r="AB19960" s="1"/>
    </row>
    <row r="19961" spans="15:28">
      <c r="O19961" s="1"/>
      <c r="P19961" s="1"/>
      <c r="Q19961" s="1"/>
      <c r="R19961" s="1"/>
      <c r="Z19961" s="93"/>
      <c r="AA19961" s="93"/>
      <c r="AB19961" s="1"/>
    </row>
    <row r="19962" spans="15:28">
      <c r="O19962" s="1"/>
      <c r="P19962" s="1"/>
      <c r="Q19962" s="1"/>
      <c r="R19962" s="1"/>
      <c r="Z19962" s="93"/>
      <c r="AA19962" s="93"/>
      <c r="AB19962" s="1"/>
    </row>
    <row r="19963" spans="15:28">
      <c r="O19963" s="1"/>
      <c r="P19963" s="1"/>
      <c r="Q19963" s="1"/>
      <c r="R19963" s="1"/>
      <c r="Z19963" s="93"/>
      <c r="AA19963" s="93"/>
      <c r="AB19963" s="1"/>
    </row>
    <row r="19964" spans="15:28">
      <c r="O19964" s="1"/>
      <c r="P19964" s="1"/>
      <c r="Q19964" s="1"/>
      <c r="R19964" s="1"/>
      <c r="Z19964" s="93"/>
      <c r="AA19964" s="93"/>
      <c r="AB19964" s="1"/>
    </row>
    <row r="19965" spans="15:28">
      <c r="O19965" s="1"/>
      <c r="P19965" s="1"/>
      <c r="Q19965" s="1"/>
      <c r="R19965" s="1"/>
      <c r="Z19965" s="93"/>
      <c r="AA19965" s="93"/>
      <c r="AB19965" s="1"/>
    </row>
    <row r="19966" spans="15:28">
      <c r="O19966" s="1"/>
      <c r="P19966" s="1"/>
      <c r="Q19966" s="1"/>
      <c r="R19966" s="1"/>
      <c r="Z19966" s="93"/>
      <c r="AA19966" s="93"/>
      <c r="AB19966" s="1"/>
    </row>
    <row r="19967" spans="15:28">
      <c r="O19967" s="1"/>
      <c r="P19967" s="1"/>
      <c r="Q19967" s="1"/>
      <c r="R19967" s="1"/>
      <c r="Z19967" s="93"/>
      <c r="AA19967" s="93"/>
      <c r="AB19967" s="1"/>
    </row>
    <row r="19968" spans="15:28">
      <c r="O19968" s="1"/>
      <c r="P19968" s="1"/>
      <c r="Q19968" s="1"/>
      <c r="R19968" s="1"/>
      <c r="Z19968" s="93"/>
      <c r="AA19968" s="93"/>
      <c r="AB19968" s="1"/>
    </row>
    <row r="19969" spans="15:28">
      <c r="O19969" s="1"/>
      <c r="P19969" s="1"/>
      <c r="Q19969" s="1"/>
      <c r="R19969" s="1"/>
      <c r="Z19969" s="93"/>
      <c r="AA19969" s="93"/>
      <c r="AB19969" s="1"/>
    </row>
    <row r="19970" spans="15:28">
      <c r="O19970" s="1"/>
      <c r="P19970" s="1"/>
      <c r="Q19970" s="1"/>
      <c r="R19970" s="1"/>
      <c r="Z19970" s="93"/>
      <c r="AA19970" s="93"/>
      <c r="AB19970" s="1"/>
    </row>
    <row r="19971" spans="15:28">
      <c r="O19971" s="1"/>
      <c r="P19971" s="1"/>
      <c r="Q19971" s="1"/>
      <c r="R19971" s="1"/>
      <c r="Z19971" s="93"/>
      <c r="AA19971" s="93"/>
      <c r="AB19971" s="1"/>
    </row>
    <row r="19972" spans="15:28">
      <c r="O19972" s="1"/>
      <c r="P19972" s="1"/>
      <c r="Q19972" s="1"/>
      <c r="R19972" s="1"/>
      <c r="Z19972" s="93"/>
      <c r="AA19972" s="93"/>
      <c r="AB19972" s="1"/>
    </row>
    <row r="19973" spans="15:28">
      <c r="O19973" s="1"/>
      <c r="P19973" s="1"/>
      <c r="Q19973" s="1"/>
      <c r="R19973" s="1"/>
      <c r="Z19973" s="93"/>
      <c r="AA19973" s="93"/>
      <c r="AB19973" s="1"/>
    </row>
    <row r="19974" spans="15:28">
      <c r="O19974" s="1"/>
      <c r="P19974" s="1"/>
      <c r="Q19974" s="1"/>
      <c r="R19974" s="1"/>
      <c r="Z19974" s="93"/>
      <c r="AA19974" s="93"/>
      <c r="AB19974" s="1"/>
    </row>
    <row r="19975" spans="15:28">
      <c r="O19975" s="1"/>
      <c r="P19975" s="1"/>
      <c r="Q19975" s="1"/>
      <c r="R19975" s="1"/>
      <c r="Z19975" s="93"/>
      <c r="AA19975" s="93"/>
      <c r="AB19975" s="1"/>
    </row>
    <row r="19976" spans="15:28">
      <c r="O19976" s="1"/>
      <c r="P19976" s="1"/>
      <c r="Q19976" s="1"/>
      <c r="R19976" s="1"/>
      <c r="Z19976" s="93"/>
      <c r="AA19976" s="93"/>
      <c r="AB19976" s="1"/>
    </row>
    <row r="19977" spans="15:28">
      <c r="O19977" s="1"/>
      <c r="P19977" s="1"/>
      <c r="Q19977" s="1"/>
      <c r="R19977" s="1"/>
      <c r="Z19977" s="93"/>
      <c r="AA19977" s="93"/>
      <c r="AB19977" s="1"/>
    </row>
    <row r="19978" spans="15:28">
      <c r="O19978" s="1"/>
      <c r="P19978" s="1"/>
      <c r="Q19978" s="1"/>
      <c r="R19978" s="1"/>
      <c r="Z19978" s="93"/>
      <c r="AA19978" s="93"/>
      <c r="AB19978" s="1"/>
    </row>
    <row r="19979" spans="15:28">
      <c r="O19979" s="1"/>
      <c r="P19979" s="1"/>
      <c r="Q19979" s="1"/>
      <c r="R19979" s="1"/>
      <c r="Z19979" s="93"/>
      <c r="AA19979" s="93"/>
      <c r="AB19979" s="1"/>
    </row>
    <row r="19980" spans="15:28">
      <c r="O19980" s="1"/>
      <c r="P19980" s="1"/>
      <c r="Q19980" s="1"/>
      <c r="R19980" s="1"/>
      <c r="Z19980" s="93"/>
      <c r="AA19980" s="93"/>
      <c r="AB19980" s="1"/>
    </row>
    <row r="19981" spans="15:28">
      <c r="O19981" s="1"/>
      <c r="P19981" s="1"/>
      <c r="Q19981" s="1"/>
      <c r="R19981" s="1"/>
      <c r="Z19981" s="93"/>
      <c r="AA19981" s="93"/>
      <c r="AB19981" s="1"/>
    </row>
    <row r="19982" spans="15:28">
      <c r="O19982" s="1"/>
      <c r="P19982" s="1"/>
      <c r="Q19982" s="1"/>
      <c r="R19982" s="1"/>
      <c r="Z19982" s="93"/>
      <c r="AA19982" s="93"/>
      <c r="AB19982" s="1"/>
    </row>
    <row r="19983" spans="15:28">
      <c r="O19983" s="1"/>
      <c r="P19983" s="1"/>
      <c r="Q19983" s="1"/>
      <c r="R19983" s="1"/>
      <c r="Z19983" s="93"/>
      <c r="AA19983" s="93"/>
      <c r="AB19983" s="1"/>
    </row>
    <row r="19984" spans="15:28">
      <c r="O19984" s="1"/>
      <c r="P19984" s="1"/>
      <c r="Q19984" s="1"/>
      <c r="R19984" s="1"/>
      <c r="Z19984" s="93"/>
      <c r="AA19984" s="93"/>
      <c r="AB19984" s="1"/>
    </row>
    <row r="19985" spans="15:28">
      <c r="O19985" s="1"/>
      <c r="P19985" s="1"/>
      <c r="Q19985" s="1"/>
      <c r="R19985" s="1"/>
      <c r="Z19985" s="93"/>
      <c r="AA19985" s="93"/>
      <c r="AB19985" s="1"/>
    </row>
    <row r="19986" spans="15:28">
      <c r="O19986" s="1"/>
      <c r="P19986" s="1"/>
      <c r="Q19986" s="1"/>
      <c r="R19986" s="1"/>
      <c r="Z19986" s="93"/>
      <c r="AA19986" s="93"/>
      <c r="AB19986" s="1"/>
    </row>
    <row r="19987" spans="15:28">
      <c r="O19987" s="1"/>
      <c r="P19987" s="1"/>
      <c r="Q19987" s="1"/>
      <c r="R19987" s="1"/>
      <c r="Z19987" s="93"/>
      <c r="AA19987" s="93"/>
      <c r="AB19987" s="1"/>
    </row>
    <row r="19988" spans="15:28">
      <c r="O19988" s="1"/>
      <c r="P19988" s="1"/>
      <c r="Q19988" s="1"/>
      <c r="R19988" s="1"/>
      <c r="Z19988" s="93"/>
      <c r="AA19988" s="93"/>
      <c r="AB19988" s="1"/>
    </row>
    <row r="19989" spans="15:28">
      <c r="O19989" s="1"/>
      <c r="P19989" s="1"/>
      <c r="Q19989" s="1"/>
      <c r="R19989" s="1"/>
      <c r="Z19989" s="93"/>
      <c r="AA19989" s="93"/>
      <c r="AB19989" s="1"/>
    </row>
    <row r="19990" spans="15:28">
      <c r="O19990" s="1"/>
      <c r="P19990" s="1"/>
      <c r="Q19990" s="1"/>
      <c r="R19990" s="1"/>
      <c r="Z19990" s="93"/>
      <c r="AA19990" s="93"/>
      <c r="AB19990" s="1"/>
    </row>
    <row r="19991" spans="15:28">
      <c r="O19991" s="1"/>
      <c r="P19991" s="1"/>
      <c r="Q19991" s="1"/>
      <c r="R19991" s="1"/>
      <c r="Z19991" s="93"/>
      <c r="AA19991" s="93"/>
      <c r="AB19991" s="1"/>
    </row>
    <row r="19992" spans="15:28">
      <c r="O19992" s="1"/>
      <c r="P19992" s="1"/>
      <c r="Q19992" s="1"/>
      <c r="R19992" s="1"/>
      <c r="Z19992" s="93"/>
      <c r="AA19992" s="93"/>
      <c r="AB19992" s="1"/>
    </row>
    <row r="19993" spans="15:28">
      <c r="O19993" s="1"/>
      <c r="P19993" s="1"/>
      <c r="Q19993" s="1"/>
      <c r="R19993" s="1"/>
      <c r="Z19993" s="93"/>
      <c r="AA19993" s="93"/>
      <c r="AB19993" s="1"/>
    </row>
    <row r="19994" spans="15:28">
      <c r="O19994" s="1"/>
      <c r="P19994" s="1"/>
      <c r="Q19994" s="1"/>
      <c r="R19994" s="1"/>
      <c r="Z19994" s="93"/>
      <c r="AA19994" s="93"/>
      <c r="AB19994" s="1"/>
    </row>
    <row r="19995" spans="15:28">
      <c r="O19995" s="1"/>
      <c r="P19995" s="1"/>
      <c r="Q19995" s="1"/>
      <c r="R19995" s="1"/>
      <c r="Z19995" s="93"/>
      <c r="AA19995" s="93"/>
      <c r="AB19995" s="1"/>
    </row>
    <row r="19996" spans="15:28">
      <c r="O19996" s="1"/>
      <c r="P19996" s="1"/>
      <c r="Q19996" s="1"/>
      <c r="R19996" s="1"/>
      <c r="Z19996" s="93"/>
      <c r="AA19996" s="93"/>
      <c r="AB19996" s="1"/>
    </row>
    <row r="19997" spans="15:28">
      <c r="O19997" s="1"/>
      <c r="P19997" s="1"/>
      <c r="Q19997" s="1"/>
      <c r="R19997" s="1"/>
      <c r="Z19997" s="93"/>
      <c r="AA19997" s="93"/>
      <c r="AB19997" s="1"/>
    </row>
    <row r="19998" spans="15:28">
      <c r="O19998" s="1"/>
      <c r="P19998" s="1"/>
      <c r="Q19998" s="1"/>
      <c r="R19998" s="1"/>
      <c r="Z19998" s="93"/>
      <c r="AA19998" s="93"/>
      <c r="AB19998" s="1"/>
    </row>
    <row r="19999" spans="15:28">
      <c r="O19999" s="1"/>
      <c r="P19999" s="1"/>
      <c r="Q19999" s="1"/>
      <c r="R19999" s="1"/>
      <c r="Z19999" s="93"/>
      <c r="AA19999" s="93"/>
      <c r="AB19999" s="1"/>
    </row>
    <row r="20000" spans="15:28">
      <c r="O20000" s="1"/>
      <c r="P20000" s="1"/>
      <c r="Q20000" s="1"/>
      <c r="R20000" s="1"/>
      <c r="Z20000" s="93"/>
      <c r="AA20000" s="93"/>
      <c r="AB20000" s="1"/>
    </row>
    <row r="20001" spans="15:28">
      <c r="O20001" s="1"/>
      <c r="P20001" s="1"/>
      <c r="Q20001" s="1"/>
      <c r="R20001" s="1"/>
      <c r="Z20001" s="93"/>
      <c r="AA20001" s="93"/>
      <c r="AB20001" s="1"/>
    </row>
    <row r="20002" spans="15:28">
      <c r="O20002" s="1"/>
      <c r="P20002" s="1"/>
      <c r="Q20002" s="1"/>
      <c r="R20002" s="1"/>
      <c r="Z20002" s="93"/>
      <c r="AA20002" s="93"/>
      <c r="AB20002" s="1"/>
    </row>
    <row r="20003" spans="15:28">
      <c r="O20003" s="1"/>
      <c r="P20003" s="1"/>
      <c r="Q20003" s="1"/>
      <c r="R20003" s="1"/>
      <c r="Z20003" s="93"/>
      <c r="AA20003" s="93"/>
      <c r="AB20003" s="1"/>
    </row>
    <row r="20004" spans="15:28">
      <c r="O20004" s="1"/>
      <c r="P20004" s="1"/>
      <c r="Q20004" s="1"/>
      <c r="R20004" s="1"/>
      <c r="Z20004" s="93"/>
      <c r="AA20004" s="93"/>
      <c r="AB20004" s="1"/>
    </row>
    <row r="20005" spans="15:28">
      <c r="O20005" s="1"/>
      <c r="P20005" s="1"/>
      <c r="Q20005" s="1"/>
      <c r="R20005" s="1"/>
      <c r="Z20005" s="93"/>
      <c r="AA20005" s="93"/>
      <c r="AB20005" s="1"/>
    </row>
    <row r="20006" spans="15:28">
      <c r="O20006" s="1"/>
      <c r="P20006" s="1"/>
      <c r="Q20006" s="1"/>
      <c r="R20006" s="1"/>
      <c r="Z20006" s="93"/>
      <c r="AA20006" s="93"/>
      <c r="AB20006" s="1"/>
    </row>
    <row r="20007" spans="15:28">
      <c r="O20007" s="1"/>
      <c r="P20007" s="1"/>
      <c r="Q20007" s="1"/>
      <c r="R20007" s="1"/>
      <c r="Z20007" s="93"/>
      <c r="AA20007" s="93"/>
      <c r="AB20007" s="1"/>
    </row>
    <row r="20008" spans="15:28">
      <c r="O20008" s="1"/>
      <c r="P20008" s="1"/>
      <c r="Q20008" s="1"/>
      <c r="R20008" s="1"/>
      <c r="Z20008" s="93"/>
      <c r="AA20008" s="93"/>
      <c r="AB20008" s="1"/>
    </row>
    <row r="20009" spans="15:28">
      <c r="O20009" s="1"/>
      <c r="P20009" s="1"/>
      <c r="Q20009" s="1"/>
      <c r="R20009" s="1"/>
      <c r="Z20009" s="93"/>
      <c r="AA20009" s="93"/>
      <c r="AB20009" s="1"/>
    </row>
    <row r="20010" spans="15:28">
      <c r="O20010" s="1"/>
      <c r="P20010" s="1"/>
      <c r="Q20010" s="1"/>
      <c r="R20010" s="1"/>
      <c r="Z20010" s="93"/>
      <c r="AA20010" s="93"/>
      <c r="AB20010" s="1"/>
    </row>
    <row r="20011" spans="15:28">
      <c r="O20011" s="1"/>
      <c r="P20011" s="1"/>
      <c r="Q20011" s="1"/>
      <c r="R20011" s="1"/>
      <c r="Z20011" s="93"/>
      <c r="AA20011" s="93"/>
      <c r="AB20011" s="1"/>
    </row>
    <row r="20012" spans="15:28">
      <c r="O20012" s="1"/>
      <c r="P20012" s="1"/>
      <c r="Q20012" s="1"/>
      <c r="R20012" s="1"/>
      <c r="Z20012" s="93"/>
      <c r="AA20012" s="93"/>
      <c r="AB20012" s="1"/>
    </row>
    <row r="20013" spans="15:28">
      <c r="O20013" s="1"/>
      <c r="P20013" s="1"/>
      <c r="Q20013" s="1"/>
      <c r="R20013" s="1"/>
      <c r="Z20013" s="93"/>
      <c r="AA20013" s="93"/>
      <c r="AB20013" s="1"/>
    </row>
    <row r="20014" spans="15:28">
      <c r="O20014" s="1"/>
      <c r="P20014" s="1"/>
      <c r="Q20014" s="1"/>
      <c r="R20014" s="1"/>
      <c r="Z20014" s="93"/>
      <c r="AA20014" s="93"/>
      <c r="AB20014" s="1"/>
    </row>
    <row r="20015" spans="15:28">
      <c r="O20015" s="1"/>
      <c r="P20015" s="1"/>
      <c r="Q20015" s="1"/>
      <c r="R20015" s="1"/>
      <c r="Z20015" s="93"/>
      <c r="AA20015" s="93"/>
      <c r="AB20015" s="1"/>
    </row>
    <row r="20016" spans="15:28">
      <c r="O20016" s="1"/>
      <c r="P20016" s="1"/>
      <c r="Q20016" s="1"/>
      <c r="R20016" s="1"/>
      <c r="Z20016" s="93"/>
      <c r="AA20016" s="93"/>
      <c r="AB20016" s="1"/>
    </row>
    <row r="20017" spans="15:28">
      <c r="O20017" s="1"/>
      <c r="P20017" s="1"/>
      <c r="Q20017" s="1"/>
      <c r="R20017" s="1"/>
      <c r="Z20017" s="93"/>
      <c r="AA20017" s="93"/>
      <c r="AB20017" s="1"/>
    </row>
    <row r="20018" spans="15:28">
      <c r="O20018" s="1"/>
      <c r="P20018" s="1"/>
      <c r="Q20018" s="1"/>
      <c r="R20018" s="1"/>
      <c r="Z20018" s="93"/>
      <c r="AA20018" s="93"/>
      <c r="AB20018" s="1"/>
    </row>
    <row r="20019" spans="15:28">
      <c r="O20019" s="1"/>
      <c r="P20019" s="1"/>
      <c r="Q20019" s="1"/>
      <c r="R20019" s="1"/>
      <c r="Z20019" s="93"/>
      <c r="AA20019" s="93"/>
      <c r="AB20019" s="1"/>
    </row>
    <row r="20020" spans="15:28">
      <c r="O20020" s="1"/>
      <c r="P20020" s="1"/>
      <c r="Q20020" s="1"/>
      <c r="R20020" s="1"/>
      <c r="Z20020" s="93"/>
      <c r="AA20020" s="93"/>
      <c r="AB20020" s="1"/>
    </row>
    <row r="20021" spans="15:28">
      <c r="O20021" s="1"/>
      <c r="P20021" s="1"/>
      <c r="Q20021" s="1"/>
      <c r="R20021" s="1"/>
      <c r="Z20021" s="93"/>
      <c r="AA20021" s="93"/>
      <c r="AB20021" s="1"/>
    </row>
    <row r="20022" spans="15:28">
      <c r="O20022" s="1"/>
      <c r="P20022" s="1"/>
      <c r="Q20022" s="1"/>
      <c r="R20022" s="1"/>
      <c r="Z20022" s="93"/>
      <c r="AA20022" s="93"/>
      <c r="AB20022" s="1"/>
    </row>
    <row r="20023" spans="15:28">
      <c r="O20023" s="1"/>
      <c r="P20023" s="1"/>
      <c r="Q20023" s="1"/>
      <c r="R20023" s="1"/>
      <c r="Z20023" s="93"/>
      <c r="AA20023" s="93"/>
      <c r="AB20023" s="1"/>
    </row>
    <row r="20024" spans="15:28">
      <c r="O20024" s="1"/>
      <c r="P20024" s="1"/>
      <c r="Q20024" s="1"/>
      <c r="R20024" s="1"/>
      <c r="Z20024" s="93"/>
      <c r="AA20024" s="93"/>
      <c r="AB20024" s="1"/>
    </row>
    <row r="20025" spans="15:28">
      <c r="O20025" s="1"/>
      <c r="P20025" s="1"/>
      <c r="Q20025" s="1"/>
      <c r="R20025" s="1"/>
      <c r="Z20025" s="93"/>
      <c r="AA20025" s="93"/>
      <c r="AB20025" s="1"/>
    </row>
    <row r="20026" spans="15:28">
      <c r="O20026" s="1"/>
      <c r="P20026" s="1"/>
      <c r="Q20026" s="1"/>
      <c r="R20026" s="1"/>
      <c r="Z20026" s="93"/>
      <c r="AA20026" s="93"/>
      <c r="AB20026" s="1"/>
    </row>
    <row r="20027" spans="15:28">
      <c r="O20027" s="1"/>
      <c r="P20027" s="1"/>
      <c r="Q20027" s="1"/>
      <c r="R20027" s="1"/>
      <c r="Z20027" s="93"/>
      <c r="AA20027" s="93"/>
      <c r="AB20027" s="1"/>
    </row>
    <row r="20028" spans="15:28">
      <c r="O20028" s="1"/>
      <c r="P20028" s="1"/>
      <c r="Q20028" s="1"/>
      <c r="R20028" s="1"/>
      <c r="Z20028" s="93"/>
      <c r="AA20028" s="93"/>
      <c r="AB20028" s="1"/>
    </row>
    <row r="20029" spans="15:28">
      <c r="O20029" s="1"/>
      <c r="P20029" s="1"/>
      <c r="Q20029" s="1"/>
      <c r="R20029" s="1"/>
      <c r="Z20029" s="93"/>
      <c r="AA20029" s="93"/>
      <c r="AB20029" s="1"/>
    </row>
    <row r="20030" spans="15:28">
      <c r="O20030" s="1"/>
      <c r="P20030" s="1"/>
      <c r="Q20030" s="1"/>
      <c r="R20030" s="1"/>
      <c r="Z20030" s="93"/>
      <c r="AA20030" s="93"/>
      <c r="AB20030" s="1"/>
    </row>
    <row r="20031" spans="15:28">
      <c r="O20031" s="1"/>
      <c r="P20031" s="1"/>
      <c r="Q20031" s="1"/>
      <c r="R20031" s="1"/>
      <c r="Z20031" s="93"/>
      <c r="AA20031" s="93"/>
      <c r="AB20031" s="1"/>
    </row>
    <row r="20032" spans="15:28">
      <c r="O20032" s="1"/>
      <c r="P20032" s="1"/>
      <c r="Q20032" s="1"/>
      <c r="R20032" s="1"/>
      <c r="Z20032" s="93"/>
      <c r="AA20032" s="93"/>
      <c r="AB20032" s="1"/>
    </row>
    <row r="20033" spans="15:28">
      <c r="O20033" s="1"/>
      <c r="P20033" s="1"/>
      <c r="Q20033" s="1"/>
      <c r="R20033" s="1"/>
      <c r="Z20033" s="93"/>
      <c r="AA20033" s="93"/>
      <c r="AB20033" s="1"/>
    </row>
    <row r="20034" spans="15:28">
      <c r="O20034" s="1"/>
      <c r="P20034" s="1"/>
      <c r="Q20034" s="1"/>
      <c r="R20034" s="1"/>
      <c r="Z20034" s="93"/>
      <c r="AA20034" s="93"/>
      <c r="AB20034" s="1"/>
    </row>
    <row r="20035" spans="15:28">
      <c r="O20035" s="1"/>
      <c r="P20035" s="1"/>
      <c r="Q20035" s="1"/>
      <c r="R20035" s="1"/>
      <c r="Z20035" s="93"/>
      <c r="AA20035" s="93"/>
      <c r="AB20035" s="1"/>
    </row>
    <row r="20036" spans="15:28">
      <c r="O20036" s="1"/>
      <c r="P20036" s="1"/>
      <c r="Q20036" s="1"/>
      <c r="R20036" s="1"/>
      <c r="Z20036" s="93"/>
      <c r="AA20036" s="93"/>
      <c r="AB20036" s="1"/>
    </row>
    <row r="20037" spans="15:28">
      <c r="O20037" s="1"/>
      <c r="P20037" s="1"/>
      <c r="Q20037" s="1"/>
      <c r="R20037" s="1"/>
      <c r="Z20037" s="93"/>
      <c r="AA20037" s="93"/>
      <c r="AB20037" s="1"/>
    </row>
    <row r="20038" spans="15:28">
      <c r="O20038" s="1"/>
      <c r="P20038" s="1"/>
      <c r="Q20038" s="1"/>
      <c r="R20038" s="1"/>
      <c r="Z20038" s="93"/>
      <c r="AA20038" s="93"/>
      <c r="AB20038" s="1"/>
    </row>
    <row r="20039" spans="15:28">
      <c r="O20039" s="1"/>
      <c r="P20039" s="1"/>
      <c r="Q20039" s="1"/>
      <c r="R20039" s="1"/>
      <c r="Z20039" s="93"/>
      <c r="AA20039" s="93"/>
      <c r="AB20039" s="1"/>
    </row>
    <row r="20040" spans="15:28">
      <c r="O20040" s="1"/>
      <c r="P20040" s="1"/>
      <c r="Q20040" s="1"/>
      <c r="R20040" s="1"/>
      <c r="Z20040" s="93"/>
      <c r="AA20040" s="93"/>
      <c r="AB20040" s="1"/>
    </row>
    <row r="20041" spans="15:28">
      <c r="O20041" s="1"/>
      <c r="P20041" s="1"/>
      <c r="Q20041" s="1"/>
      <c r="R20041" s="1"/>
      <c r="Z20041" s="93"/>
      <c r="AA20041" s="93"/>
      <c r="AB20041" s="1"/>
    </row>
    <row r="20042" spans="15:28">
      <c r="O20042" s="1"/>
      <c r="P20042" s="1"/>
      <c r="Q20042" s="1"/>
      <c r="R20042" s="1"/>
      <c r="Z20042" s="93"/>
      <c r="AA20042" s="93"/>
      <c r="AB20042" s="1"/>
    </row>
    <row r="20043" spans="15:28">
      <c r="O20043" s="1"/>
      <c r="P20043" s="1"/>
      <c r="Q20043" s="1"/>
      <c r="R20043" s="1"/>
      <c r="Z20043" s="93"/>
      <c r="AA20043" s="93"/>
      <c r="AB20043" s="1"/>
    </row>
    <row r="20044" spans="15:28">
      <c r="O20044" s="1"/>
      <c r="P20044" s="1"/>
      <c r="Q20044" s="1"/>
      <c r="R20044" s="1"/>
      <c r="Z20044" s="93"/>
      <c r="AA20044" s="93"/>
      <c r="AB20044" s="1"/>
    </row>
    <row r="20045" spans="15:28">
      <c r="O20045" s="1"/>
      <c r="P20045" s="1"/>
      <c r="Q20045" s="1"/>
      <c r="R20045" s="1"/>
      <c r="Z20045" s="93"/>
      <c r="AA20045" s="93"/>
      <c r="AB20045" s="1"/>
    </row>
    <row r="20046" spans="15:28">
      <c r="O20046" s="1"/>
      <c r="P20046" s="1"/>
      <c r="Q20046" s="1"/>
      <c r="R20046" s="1"/>
      <c r="Z20046" s="93"/>
      <c r="AA20046" s="93"/>
      <c r="AB20046" s="1"/>
    </row>
    <row r="20047" spans="15:28">
      <c r="O20047" s="1"/>
      <c r="P20047" s="1"/>
      <c r="Q20047" s="1"/>
      <c r="R20047" s="1"/>
      <c r="Z20047" s="93"/>
      <c r="AA20047" s="93"/>
      <c r="AB20047" s="1"/>
    </row>
    <row r="20048" spans="15:28">
      <c r="O20048" s="1"/>
      <c r="P20048" s="1"/>
      <c r="Q20048" s="1"/>
      <c r="R20048" s="1"/>
      <c r="Z20048" s="93"/>
      <c r="AA20048" s="93"/>
      <c r="AB20048" s="1"/>
    </row>
    <row r="20049" spans="15:28">
      <c r="O20049" s="1"/>
      <c r="P20049" s="1"/>
      <c r="Q20049" s="1"/>
      <c r="R20049" s="1"/>
      <c r="Z20049" s="93"/>
      <c r="AA20049" s="93"/>
      <c r="AB20049" s="1"/>
    </row>
    <row r="20050" spans="15:28">
      <c r="O20050" s="1"/>
      <c r="P20050" s="1"/>
      <c r="Q20050" s="1"/>
      <c r="R20050" s="1"/>
      <c r="Z20050" s="93"/>
      <c r="AA20050" s="93"/>
      <c r="AB20050" s="1"/>
    </row>
    <row r="20051" spans="15:28">
      <c r="O20051" s="1"/>
      <c r="P20051" s="1"/>
      <c r="Q20051" s="1"/>
      <c r="R20051" s="1"/>
      <c r="Z20051" s="93"/>
      <c r="AA20051" s="93"/>
      <c r="AB20051" s="1"/>
    </row>
    <row r="20052" spans="15:28">
      <c r="O20052" s="1"/>
      <c r="P20052" s="1"/>
      <c r="Q20052" s="1"/>
      <c r="R20052" s="1"/>
      <c r="Z20052" s="93"/>
      <c r="AA20052" s="93"/>
      <c r="AB20052" s="1"/>
    </row>
    <row r="20053" spans="15:28">
      <c r="O20053" s="1"/>
      <c r="P20053" s="1"/>
      <c r="Q20053" s="1"/>
      <c r="R20053" s="1"/>
      <c r="Z20053" s="93"/>
      <c r="AA20053" s="93"/>
      <c r="AB20053" s="1"/>
    </row>
    <row r="20054" spans="15:28">
      <c r="O20054" s="1"/>
      <c r="P20054" s="1"/>
      <c r="Q20054" s="1"/>
      <c r="R20054" s="1"/>
      <c r="Z20054" s="93"/>
      <c r="AA20054" s="93"/>
      <c r="AB20054" s="1"/>
    </row>
    <row r="20055" spans="15:28">
      <c r="O20055" s="1"/>
      <c r="P20055" s="1"/>
      <c r="Q20055" s="1"/>
      <c r="R20055" s="1"/>
      <c r="Z20055" s="93"/>
      <c r="AA20055" s="93"/>
      <c r="AB20055" s="1"/>
    </row>
    <row r="20056" spans="15:28">
      <c r="O20056" s="1"/>
      <c r="P20056" s="1"/>
      <c r="Q20056" s="1"/>
      <c r="R20056" s="1"/>
      <c r="Z20056" s="93"/>
      <c r="AA20056" s="93"/>
      <c r="AB20056" s="1"/>
    </row>
    <row r="20057" spans="15:28">
      <c r="O20057" s="1"/>
      <c r="P20057" s="1"/>
      <c r="Q20057" s="1"/>
      <c r="R20057" s="1"/>
      <c r="Z20057" s="93"/>
      <c r="AA20057" s="93"/>
      <c r="AB20057" s="1"/>
    </row>
    <row r="20058" spans="15:28">
      <c r="O20058" s="1"/>
      <c r="P20058" s="1"/>
      <c r="Q20058" s="1"/>
      <c r="R20058" s="1"/>
      <c r="Z20058" s="93"/>
      <c r="AA20058" s="93"/>
      <c r="AB20058" s="1"/>
    </row>
    <row r="20059" spans="15:28">
      <c r="P20059" s="1"/>
      <c r="R20059" s="1"/>
      <c r="Z20059" s="93"/>
      <c r="AA20059" s="93"/>
    </row>
    <row r="20060" spans="15:28">
      <c r="O20060" s="1"/>
      <c r="P20060" s="1"/>
      <c r="Q20060" s="1"/>
      <c r="R20060" s="1"/>
      <c r="Z20060" s="93"/>
      <c r="AA20060" s="93"/>
      <c r="AB20060" s="1"/>
    </row>
    <row r="20061" spans="15:28">
      <c r="O20061" s="1"/>
      <c r="P20061" s="1"/>
      <c r="Q20061" s="1"/>
      <c r="R20061" s="1"/>
      <c r="Z20061" s="93"/>
      <c r="AA20061" s="93"/>
      <c r="AB20061" s="1"/>
    </row>
    <row r="20062" spans="15:28">
      <c r="O20062" s="1"/>
      <c r="P20062" s="1"/>
      <c r="Q20062" s="1"/>
      <c r="R20062" s="1"/>
      <c r="Z20062" s="93"/>
      <c r="AA20062" s="93"/>
      <c r="AB20062" s="1"/>
    </row>
    <row r="20063" spans="15:28">
      <c r="O20063" s="1"/>
      <c r="P20063" s="1"/>
      <c r="Q20063" s="1"/>
      <c r="R20063" s="1"/>
      <c r="Z20063" s="93"/>
      <c r="AA20063" s="93"/>
      <c r="AB20063" s="1"/>
    </row>
    <row r="20064" spans="15:28">
      <c r="O20064" s="1"/>
      <c r="P20064" s="1"/>
      <c r="Q20064" s="1"/>
      <c r="R20064" s="1"/>
      <c r="Z20064" s="93"/>
      <c r="AA20064" s="93"/>
      <c r="AB20064" s="1"/>
    </row>
    <row r="20065" spans="15:28">
      <c r="O20065" s="1"/>
      <c r="P20065" s="1"/>
      <c r="Q20065" s="1"/>
      <c r="R20065" s="1"/>
      <c r="Z20065" s="93"/>
      <c r="AA20065" s="93"/>
      <c r="AB20065" s="1"/>
    </row>
    <row r="20066" spans="15:28">
      <c r="O20066" s="1"/>
      <c r="P20066" s="1"/>
      <c r="Q20066" s="1"/>
      <c r="R20066" s="1"/>
      <c r="Z20066" s="93"/>
      <c r="AA20066" s="93"/>
      <c r="AB20066" s="1"/>
    </row>
    <row r="20067" spans="15:28">
      <c r="O20067" s="1"/>
      <c r="P20067" s="1"/>
      <c r="Q20067" s="1"/>
      <c r="R20067" s="1"/>
      <c r="Z20067" s="93"/>
      <c r="AA20067" s="93"/>
      <c r="AB20067" s="1"/>
    </row>
    <row r="20068" spans="15:28">
      <c r="O20068" s="1"/>
      <c r="P20068" s="1"/>
      <c r="Q20068" s="1"/>
      <c r="R20068" s="1"/>
      <c r="Z20068" s="93"/>
      <c r="AA20068" s="93"/>
      <c r="AB20068" s="1"/>
    </row>
    <row r="20069" spans="15:28">
      <c r="O20069" s="1"/>
      <c r="P20069" s="1"/>
      <c r="Q20069" s="1"/>
      <c r="R20069" s="1"/>
      <c r="Z20069" s="93"/>
      <c r="AA20069" s="93"/>
      <c r="AB20069" s="1"/>
    </row>
    <row r="20070" spans="15:28">
      <c r="O20070" s="1"/>
      <c r="P20070" s="1"/>
      <c r="Q20070" s="1"/>
      <c r="R20070" s="1"/>
      <c r="Z20070" s="93"/>
      <c r="AA20070" s="93"/>
      <c r="AB20070" s="1"/>
    </row>
    <row r="20071" spans="15:28">
      <c r="O20071" s="1"/>
      <c r="P20071" s="1"/>
      <c r="Q20071" s="1"/>
      <c r="R20071" s="1"/>
      <c r="Z20071" s="93"/>
      <c r="AA20071" s="93"/>
      <c r="AB20071" s="1"/>
    </row>
    <row r="20072" spans="15:28">
      <c r="O20072" s="1"/>
      <c r="P20072" s="1"/>
      <c r="Q20072" s="1"/>
      <c r="R20072" s="1"/>
      <c r="Z20072" s="93"/>
      <c r="AA20072" s="93"/>
      <c r="AB20072" s="1"/>
    </row>
    <row r="20073" spans="15:28">
      <c r="O20073" s="1"/>
      <c r="P20073" s="1"/>
      <c r="Q20073" s="1"/>
      <c r="R20073" s="1"/>
      <c r="Z20073" s="93"/>
      <c r="AA20073" s="93"/>
      <c r="AB20073" s="1"/>
    </row>
    <row r="20074" spans="15:28">
      <c r="O20074" s="1"/>
      <c r="P20074" s="1"/>
      <c r="Q20074" s="1"/>
      <c r="R20074" s="1"/>
      <c r="Z20074" s="93"/>
      <c r="AA20074" s="93"/>
      <c r="AB20074" s="1"/>
    </row>
    <row r="20075" spans="15:28">
      <c r="O20075" s="1"/>
      <c r="P20075" s="1"/>
      <c r="Q20075" s="1"/>
      <c r="R20075" s="1"/>
      <c r="Z20075" s="93"/>
      <c r="AA20075" s="93"/>
      <c r="AB20075" s="1"/>
    </row>
    <row r="20076" spans="15:28">
      <c r="O20076" s="1"/>
      <c r="P20076" s="1"/>
      <c r="Q20076" s="1"/>
      <c r="R20076" s="1"/>
      <c r="Z20076" s="93"/>
      <c r="AA20076" s="93"/>
      <c r="AB20076" s="1"/>
    </row>
    <row r="20077" spans="15:28">
      <c r="O20077" s="1"/>
      <c r="P20077" s="1"/>
      <c r="Q20077" s="1"/>
      <c r="R20077" s="1"/>
      <c r="Z20077" s="93"/>
      <c r="AA20077" s="93"/>
      <c r="AB20077" s="1"/>
    </row>
    <row r="20078" spans="15:28">
      <c r="O20078" s="1"/>
      <c r="P20078" s="1"/>
      <c r="Q20078" s="1"/>
      <c r="R20078" s="1"/>
      <c r="Z20078" s="93"/>
      <c r="AA20078" s="93"/>
      <c r="AB20078" s="1"/>
    </row>
    <row r="20079" spans="15:28">
      <c r="O20079" s="1"/>
      <c r="P20079" s="1"/>
      <c r="Q20079" s="1"/>
      <c r="R20079" s="1"/>
      <c r="Z20079" s="93"/>
      <c r="AA20079" s="93"/>
      <c r="AB20079" s="1"/>
    </row>
    <row r="20080" spans="15:28">
      <c r="O20080" s="1"/>
      <c r="P20080" s="1"/>
      <c r="Q20080" s="1"/>
      <c r="R20080" s="1"/>
      <c r="Z20080" s="93"/>
      <c r="AA20080" s="93"/>
      <c r="AB20080" s="1"/>
    </row>
    <row r="20081" spans="15:28">
      <c r="O20081" s="1"/>
      <c r="P20081" s="1"/>
      <c r="Q20081" s="1"/>
      <c r="R20081" s="1"/>
      <c r="Z20081" s="93"/>
      <c r="AA20081" s="93"/>
      <c r="AB20081" s="1"/>
    </row>
    <row r="20082" spans="15:28">
      <c r="O20082" s="1"/>
      <c r="P20082" s="1"/>
      <c r="Q20082" s="1"/>
      <c r="R20082" s="1"/>
      <c r="Z20082" s="93"/>
      <c r="AA20082" s="93"/>
      <c r="AB20082" s="1"/>
    </row>
    <row r="20083" spans="15:28">
      <c r="O20083" s="1"/>
      <c r="P20083" s="1"/>
      <c r="Q20083" s="1"/>
      <c r="R20083" s="1"/>
      <c r="Z20083" s="93"/>
      <c r="AA20083" s="93"/>
      <c r="AB20083" s="1"/>
    </row>
    <row r="20084" spans="15:28">
      <c r="O20084" s="1"/>
      <c r="P20084" s="1"/>
      <c r="Q20084" s="1"/>
      <c r="R20084" s="1"/>
      <c r="Z20084" s="93"/>
      <c r="AA20084" s="93"/>
      <c r="AB20084" s="1"/>
    </row>
    <row r="20085" spans="15:28">
      <c r="O20085" s="1"/>
      <c r="P20085" s="1"/>
      <c r="Q20085" s="1"/>
      <c r="R20085" s="1"/>
      <c r="Z20085" s="93"/>
      <c r="AA20085" s="93"/>
      <c r="AB20085" s="1"/>
    </row>
    <row r="20086" spans="15:28">
      <c r="O20086" s="1"/>
      <c r="P20086" s="1"/>
      <c r="Q20086" s="1"/>
      <c r="R20086" s="1"/>
      <c r="Z20086" s="93"/>
      <c r="AA20086" s="93"/>
      <c r="AB20086" s="1"/>
    </row>
    <row r="20087" spans="15:28">
      <c r="O20087" s="1"/>
      <c r="P20087" s="1"/>
      <c r="Q20087" s="1"/>
      <c r="R20087" s="1"/>
      <c r="Z20087" s="93"/>
      <c r="AA20087" s="93"/>
      <c r="AB20087" s="1"/>
    </row>
    <row r="20088" spans="15:28">
      <c r="O20088" s="1"/>
      <c r="P20088" s="1"/>
      <c r="Q20088" s="1"/>
      <c r="R20088" s="1"/>
      <c r="Z20088" s="93"/>
      <c r="AA20088" s="93"/>
      <c r="AB20088" s="1"/>
    </row>
    <row r="20089" spans="15:28">
      <c r="O20089" s="1"/>
      <c r="P20089" s="1"/>
      <c r="Q20089" s="1"/>
      <c r="R20089" s="1"/>
      <c r="Z20089" s="93"/>
      <c r="AA20089" s="93"/>
      <c r="AB20089" s="1"/>
    </row>
    <row r="20090" spans="15:28">
      <c r="O20090" s="1"/>
      <c r="P20090" s="1"/>
      <c r="Q20090" s="1"/>
      <c r="R20090" s="1"/>
      <c r="Z20090" s="93"/>
      <c r="AA20090" s="93"/>
      <c r="AB20090" s="1"/>
    </row>
    <row r="20091" spans="15:28">
      <c r="O20091" s="1"/>
      <c r="P20091" s="1"/>
      <c r="Q20091" s="1"/>
      <c r="R20091" s="1"/>
      <c r="Z20091" s="93"/>
      <c r="AA20091" s="93"/>
      <c r="AB20091" s="1"/>
    </row>
    <row r="20092" spans="15:28">
      <c r="O20092" s="1"/>
      <c r="P20092" s="1"/>
      <c r="Q20092" s="1"/>
      <c r="R20092" s="1"/>
      <c r="Z20092" s="93"/>
      <c r="AA20092" s="93"/>
      <c r="AB20092" s="1"/>
    </row>
    <row r="20093" spans="15:28">
      <c r="O20093" s="1"/>
      <c r="P20093" s="1"/>
      <c r="Q20093" s="1"/>
      <c r="R20093" s="1"/>
      <c r="Z20093" s="93"/>
      <c r="AA20093" s="93"/>
      <c r="AB20093" s="1"/>
    </row>
    <row r="20094" spans="15:28">
      <c r="O20094" s="1"/>
      <c r="P20094" s="1"/>
      <c r="Q20094" s="1"/>
      <c r="R20094" s="1"/>
      <c r="Z20094" s="93"/>
      <c r="AA20094" s="93"/>
      <c r="AB20094" s="1"/>
    </row>
    <row r="20095" spans="15:28">
      <c r="O20095" s="1"/>
      <c r="P20095" s="1"/>
      <c r="Q20095" s="1"/>
      <c r="R20095" s="1"/>
      <c r="Z20095" s="93"/>
      <c r="AA20095" s="93"/>
      <c r="AB20095" s="1"/>
    </row>
    <row r="20096" spans="15:28">
      <c r="O20096" s="1"/>
      <c r="P20096" s="1"/>
      <c r="Q20096" s="1"/>
      <c r="R20096" s="1"/>
      <c r="Z20096" s="93"/>
      <c r="AA20096" s="93"/>
      <c r="AB20096" s="1"/>
    </row>
    <row r="20097" spans="15:28">
      <c r="O20097" s="1"/>
      <c r="P20097" s="1"/>
      <c r="Q20097" s="1"/>
      <c r="R20097" s="1"/>
      <c r="Z20097" s="93"/>
      <c r="AA20097" s="93"/>
      <c r="AB20097" s="1"/>
    </row>
    <row r="20098" spans="15:28">
      <c r="O20098" s="1"/>
      <c r="P20098" s="1"/>
      <c r="Q20098" s="1"/>
      <c r="R20098" s="1"/>
      <c r="Z20098" s="93"/>
      <c r="AA20098" s="93"/>
      <c r="AB20098" s="1"/>
    </row>
    <row r="20099" spans="15:28">
      <c r="O20099" s="1"/>
      <c r="P20099" s="1"/>
      <c r="Q20099" s="1"/>
      <c r="R20099" s="1"/>
      <c r="Z20099" s="93"/>
      <c r="AA20099" s="93"/>
      <c r="AB20099" s="1"/>
    </row>
    <row r="20100" spans="15:28">
      <c r="O20100" s="1"/>
      <c r="P20100" s="1"/>
      <c r="Q20100" s="1"/>
      <c r="R20100" s="1"/>
      <c r="Z20100" s="93"/>
      <c r="AA20100" s="93"/>
      <c r="AB20100" s="1"/>
    </row>
    <row r="20101" spans="15:28">
      <c r="O20101" s="1"/>
      <c r="P20101" s="1"/>
      <c r="Q20101" s="1"/>
      <c r="R20101" s="1"/>
      <c r="Z20101" s="93"/>
      <c r="AA20101" s="93"/>
      <c r="AB20101" s="1"/>
    </row>
    <row r="20102" spans="15:28">
      <c r="O20102" s="1"/>
      <c r="P20102" s="1"/>
      <c r="Q20102" s="1"/>
      <c r="R20102" s="1"/>
      <c r="Z20102" s="93"/>
      <c r="AA20102" s="93"/>
      <c r="AB20102" s="1"/>
    </row>
    <row r="20103" spans="15:28">
      <c r="O20103" s="1"/>
      <c r="P20103" s="1"/>
      <c r="Q20103" s="1"/>
      <c r="R20103" s="1"/>
      <c r="Z20103" s="93"/>
      <c r="AA20103" s="93"/>
      <c r="AB20103" s="1"/>
    </row>
    <row r="20104" spans="15:28">
      <c r="O20104" s="1"/>
      <c r="P20104" s="1"/>
      <c r="Q20104" s="1"/>
      <c r="R20104" s="1"/>
      <c r="Z20104" s="93"/>
      <c r="AA20104" s="93"/>
      <c r="AB20104" s="1"/>
    </row>
    <row r="20105" spans="15:28">
      <c r="O20105" s="1"/>
      <c r="P20105" s="1"/>
      <c r="Q20105" s="1"/>
      <c r="R20105" s="1"/>
      <c r="Z20105" s="93"/>
      <c r="AA20105" s="93"/>
      <c r="AB20105" s="1"/>
    </row>
    <row r="20106" spans="15:28">
      <c r="O20106" s="1"/>
      <c r="P20106" s="1"/>
      <c r="Q20106" s="1"/>
      <c r="R20106" s="1"/>
      <c r="Z20106" s="93"/>
      <c r="AA20106" s="93"/>
      <c r="AB20106" s="1"/>
    </row>
    <row r="20107" spans="15:28">
      <c r="O20107" s="1"/>
      <c r="P20107" s="1"/>
      <c r="Q20107" s="1"/>
      <c r="R20107" s="1"/>
      <c r="Z20107" s="93"/>
      <c r="AA20107" s="93"/>
      <c r="AB20107" s="1"/>
    </row>
    <row r="20108" spans="15:28">
      <c r="O20108" s="1"/>
      <c r="P20108" s="1"/>
      <c r="Q20108" s="1"/>
      <c r="R20108" s="1"/>
      <c r="Z20108" s="93"/>
      <c r="AA20108" s="93"/>
      <c r="AB20108" s="1"/>
    </row>
    <row r="20109" spans="15:28">
      <c r="O20109" s="1"/>
      <c r="P20109" s="1"/>
      <c r="Q20109" s="1"/>
      <c r="R20109" s="1"/>
      <c r="Z20109" s="93"/>
      <c r="AA20109" s="93"/>
      <c r="AB20109" s="1"/>
    </row>
    <row r="20110" spans="15:28">
      <c r="O20110" s="1"/>
      <c r="P20110" s="1"/>
      <c r="Q20110" s="1"/>
      <c r="R20110" s="1"/>
      <c r="Z20110" s="93"/>
      <c r="AA20110" s="93"/>
      <c r="AB20110" s="1"/>
    </row>
    <row r="20111" spans="15:28">
      <c r="O20111" s="1"/>
      <c r="P20111" s="1"/>
      <c r="Q20111" s="1"/>
      <c r="R20111" s="1"/>
      <c r="Z20111" s="93"/>
      <c r="AA20111" s="93"/>
      <c r="AB20111" s="1"/>
    </row>
    <row r="20112" spans="15:28">
      <c r="O20112" s="1"/>
      <c r="P20112" s="1"/>
      <c r="Q20112" s="1"/>
      <c r="R20112" s="1"/>
      <c r="Z20112" s="93"/>
      <c r="AA20112" s="93"/>
      <c r="AB20112" s="1"/>
    </row>
    <row r="20113" spans="15:28">
      <c r="O20113" s="1"/>
      <c r="P20113" s="1"/>
      <c r="Q20113" s="1"/>
      <c r="R20113" s="1"/>
      <c r="Z20113" s="93"/>
      <c r="AA20113" s="93"/>
      <c r="AB20113" s="1"/>
    </row>
    <row r="20114" spans="15:28">
      <c r="O20114" s="1"/>
      <c r="P20114" s="1"/>
      <c r="Q20114" s="1"/>
      <c r="R20114" s="1"/>
      <c r="Z20114" s="93"/>
      <c r="AA20114" s="93"/>
      <c r="AB20114" s="1"/>
    </row>
    <row r="20115" spans="15:28">
      <c r="O20115" s="1"/>
      <c r="P20115" s="1"/>
      <c r="Q20115" s="1"/>
      <c r="R20115" s="1"/>
      <c r="Z20115" s="93"/>
      <c r="AA20115" s="93"/>
      <c r="AB20115" s="1"/>
    </row>
    <row r="20116" spans="15:28">
      <c r="O20116" s="1"/>
      <c r="P20116" s="1"/>
      <c r="Q20116" s="1"/>
      <c r="R20116" s="1"/>
      <c r="Z20116" s="93"/>
      <c r="AA20116" s="93"/>
      <c r="AB20116" s="1"/>
    </row>
    <row r="20117" spans="15:28">
      <c r="O20117" s="1"/>
      <c r="P20117" s="1"/>
      <c r="Q20117" s="1"/>
      <c r="R20117" s="1"/>
      <c r="Z20117" s="93"/>
      <c r="AA20117" s="93"/>
      <c r="AB20117" s="1"/>
    </row>
    <row r="20118" spans="15:28">
      <c r="O20118" s="1"/>
      <c r="P20118" s="1"/>
      <c r="Q20118" s="1"/>
      <c r="R20118" s="1"/>
      <c r="Z20118" s="93"/>
      <c r="AA20118" s="93"/>
      <c r="AB20118" s="1"/>
    </row>
    <row r="20119" spans="15:28">
      <c r="O20119" s="1"/>
      <c r="P20119" s="1"/>
      <c r="Q20119" s="1"/>
      <c r="R20119" s="1"/>
      <c r="Z20119" s="93"/>
      <c r="AA20119" s="93"/>
      <c r="AB20119" s="1"/>
    </row>
    <row r="20120" spans="15:28">
      <c r="O20120" s="1"/>
      <c r="P20120" s="1"/>
      <c r="Q20120" s="1"/>
      <c r="R20120" s="1"/>
      <c r="Z20120" s="93"/>
      <c r="AA20120" s="93"/>
      <c r="AB20120" s="1"/>
    </row>
    <row r="20121" spans="15:28">
      <c r="O20121" s="1"/>
      <c r="P20121" s="1"/>
      <c r="Q20121" s="1"/>
      <c r="R20121" s="1"/>
      <c r="Z20121" s="93"/>
      <c r="AA20121" s="93"/>
      <c r="AB20121" s="1"/>
    </row>
    <row r="20122" spans="15:28">
      <c r="O20122" s="1"/>
      <c r="P20122" s="1"/>
      <c r="Q20122" s="1"/>
      <c r="R20122" s="1"/>
      <c r="Z20122" s="93"/>
      <c r="AA20122" s="93"/>
      <c r="AB20122" s="1"/>
    </row>
    <row r="20123" spans="15:28">
      <c r="O20123" s="1"/>
      <c r="P20123" s="1"/>
      <c r="Q20123" s="1"/>
      <c r="R20123" s="1"/>
      <c r="Z20123" s="93"/>
      <c r="AA20123" s="93"/>
      <c r="AB20123" s="1"/>
    </row>
    <row r="20124" spans="15:28">
      <c r="O20124" s="1"/>
      <c r="P20124" s="1"/>
      <c r="Q20124" s="1"/>
      <c r="R20124" s="1"/>
      <c r="Z20124" s="93"/>
      <c r="AA20124" s="93"/>
      <c r="AB20124" s="1"/>
    </row>
    <row r="20125" spans="15:28">
      <c r="O20125" s="1"/>
      <c r="P20125" s="1"/>
      <c r="Q20125" s="1"/>
      <c r="R20125" s="1"/>
      <c r="Z20125" s="93"/>
      <c r="AA20125" s="93"/>
      <c r="AB20125" s="1"/>
    </row>
    <row r="20126" spans="15:28">
      <c r="O20126" s="1"/>
      <c r="P20126" s="1"/>
      <c r="Q20126" s="1"/>
      <c r="R20126" s="1"/>
      <c r="Z20126" s="93"/>
      <c r="AA20126" s="93"/>
      <c r="AB20126" s="1"/>
    </row>
    <row r="20127" spans="15:28">
      <c r="O20127" s="1"/>
      <c r="P20127" s="1"/>
      <c r="Q20127" s="1"/>
      <c r="R20127" s="1"/>
      <c r="Z20127" s="93"/>
      <c r="AA20127" s="93"/>
      <c r="AB20127" s="1"/>
    </row>
    <row r="20128" spans="15:28">
      <c r="O20128" s="1"/>
      <c r="P20128" s="1"/>
      <c r="Q20128" s="1"/>
      <c r="R20128" s="1"/>
      <c r="Z20128" s="93"/>
      <c r="AA20128" s="93"/>
      <c r="AB20128" s="1"/>
    </row>
    <row r="20129" spans="15:28">
      <c r="O20129" s="1"/>
      <c r="P20129" s="1"/>
      <c r="Q20129" s="1"/>
      <c r="R20129" s="1"/>
      <c r="Z20129" s="93"/>
      <c r="AA20129" s="93"/>
      <c r="AB20129" s="1"/>
    </row>
    <row r="20130" spans="15:28">
      <c r="O20130" s="1"/>
      <c r="P20130" s="1"/>
      <c r="Q20130" s="1"/>
      <c r="R20130" s="1"/>
      <c r="Z20130" s="93"/>
      <c r="AA20130" s="93"/>
      <c r="AB20130" s="1"/>
    </row>
    <row r="20131" spans="15:28">
      <c r="O20131" s="1"/>
      <c r="P20131" s="1"/>
      <c r="Q20131" s="1"/>
      <c r="R20131" s="1"/>
      <c r="Z20131" s="93"/>
      <c r="AA20131" s="93"/>
      <c r="AB20131" s="1"/>
    </row>
    <row r="20132" spans="15:28">
      <c r="O20132" s="1"/>
      <c r="P20132" s="1"/>
      <c r="Q20132" s="1"/>
      <c r="R20132" s="1"/>
      <c r="Z20132" s="93"/>
      <c r="AA20132" s="93"/>
      <c r="AB20132" s="1"/>
    </row>
    <row r="20133" spans="15:28">
      <c r="O20133" s="1"/>
      <c r="P20133" s="1"/>
      <c r="Q20133" s="1"/>
      <c r="R20133" s="1"/>
      <c r="Z20133" s="93"/>
      <c r="AA20133" s="93"/>
      <c r="AB20133" s="1"/>
    </row>
    <row r="20134" spans="15:28">
      <c r="O20134" s="1"/>
      <c r="P20134" s="1"/>
      <c r="Q20134" s="1"/>
      <c r="R20134" s="1"/>
      <c r="Z20134" s="93"/>
      <c r="AA20134" s="93"/>
      <c r="AB20134" s="1"/>
    </row>
    <row r="20135" spans="15:28">
      <c r="O20135" s="1"/>
      <c r="P20135" s="1"/>
      <c r="Q20135" s="1"/>
      <c r="R20135" s="1"/>
      <c r="Z20135" s="93"/>
      <c r="AA20135" s="93"/>
      <c r="AB20135" s="1"/>
    </row>
    <row r="20136" spans="15:28">
      <c r="O20136" s="1"/>
      <c r="P20136" s="1"/>
      <c r="Q20136" s="1"/>
      <c r="R20136" s="1"/>
      <c r="Z20136" s="93"/>
      <c r="AA20136" s="93"/>
      <c r="AB20136" s="1"/>
    </row>
    <row r="20137" spans="15:28">
      <c r="O20137" s="1"/>
      <c r="P20137" s="1"/>
      <c r="Q20137" s="1"/>
      <c r="R20137" s="1"/>
      <c r="Z20137" s="93"/>
      <c r="AA20137" s="93"/>
      <c r="AB20137" s="1"/>
    </row>
    <row r="20138" spans="15:28">
      <c r="O20138" s="1"/>
      <c r="P20138" s="1"/>
      <c r="Q20138" s="1"/>
      <c r="R20138" s="1"/>
      <c r="Z20138" s="93"/>
      <c r="AA20138" s="93"/>
      <c r="AB20138" s="1"/>
    </row>
    <row r="20139" spans="15:28">
      <c r="O20139" s="1"/>
      <c r="P20139" s="1"/>
      <c r="Q20139" s="1"/>
      <c r="R20139" s="1"/>
      <c r="Z20139" s="93"/>
      <c r="AA20139" s="93"/>
      <c r="AB20139" s="1"/>
    </row>
    <row r="20140" spans="15:28">
      <c r="O20140" s="1"/>
      <c r="P20140" s="1"/>
      <c r="Q20140" s="1"/>
      <c r="R20140" s="1"/>
      <c r="Z20140" s="93"/>
      <c r="AA20140" s="93"/>
      <c r="AB20140" s="1"/>
    </row>
    <row r="20141" spans="15:28">
      <c r="O20141" s="1"/>
      <c r="P20141" s="1"/>
      <c r="Q20141" s="1"/>
      <c r="R20141" s="1"/>
      <c r="Z20141" s="93"/>
      <c r="AA20141" s="93"/>
      <c r="AB20141" s="1"/>
    </row>
    <row r="20142" spans="15:28">
      <c r="O20142" s="1"/>
      <c r="P20142" s="1"/>
      <c r="Q20142" s="1"/>
      <c r="R20142" s="1"/>
      <c r="Z20142" s="93"/>
      <c r="AA20142" s="93"/>
      <c r="AB20142" s="1"/>
    </row>
    <row r="20143" spans="15:28">
      <c r="O20143" s="1"/>
      <c r="P20143" s="1"/>
      <c r="Q20143" s="1"/>
      <c r="R20143" s="1"/>
      <c r="Z20143" s="93"/>
      <c r="AA20143" s="93"/>
      <c r="AB20143" s="1"/>
    </row>
    <row r="20144" spans="15:28">
      <c r="O20144" s="1"/>
      <c r="P20144" s="1"/>
      <c r="Q20144" s="1"/>
      <c r="R20144" s="1"/>
      <c r="Z20144" s="93"/>
      <c r="AA20144" s="93"/>
      <c r="AB20144" s="1"/>
    </row>
    <row r="20145" spans="15:28">
      <c r="O20145" s="1"/>
      <c r="P20145" s="1"/>
      <c r="Q20145" s="1"/>
      <c r="R20145" s="1"/>
      <c r="Z20145" s="93"/>
      <c r="AA20145" s="93"/>
      <c r="AB20145" s="1"/>
    </row>
    <row r="20146" spans="15:28">
      <c r="O20146" s="1"/>
      <c r="P20146" s="1"/>
      <c r="Q20146" s="1"/>
      <c r="R20146" s="1"/>
      <c r="Z20146" s="93"/>
      <c r="AA20146" s="93"/>
      <c r="AB20146" s="1"/>
    </row>
    <row r="20147" spans="15:28">
      <c r="O20147" s="1"/>
      <c r="P20147" s="1"/>
      <c r="Q20147" s="1"/>
      <c r="R20147" s="1"/>
      <c r="Z20147" s="93"/>
      <c r="AA20147" s="93"/>
      <c r="AB20147" s="1"/>
    </row>
    <row r="20148" spans="15:28">
      <c r="O20148" s="1"/>
      <c r="P20148" s="1"/>
      <c r="Q20148" s="1"/>
      <c r="R20148" s="1"/>
      <c r="Z20148" s="93"/>
      <c r="AA20148" s="93"/>
      <c r="AB20148" s="1"/>
    </row>
    <row r="20149" spans="15:28">
      <c r="O20149" s="1"/>
      <c r="P20149" s="1"/>
      <c r="Q20149" s="1"/>
      <c r="R20149" s="1"/>
      <c r="Z20149" s="93"/>
      <c r="AA20149" s="93"/>
      <c r="AB20149" s="1"/>
    </row>
    <row r="20150" spans="15:28">
      <c r="O20150" s="1"/>
      <c r="P20150" s="1"/>
      <c r="Q20150" s="1"/>
      <c r="R20150" s="1"/>
      <c r="Z20150" s="93"/>
      <c r="AA20150" s="93"/>
      <c r="AB20150" s="1"/>
    </row>
    <row r="20151" spans="15:28">
      <c r="O20151" s="1"/>
      <c r="P20151" s="1"/>
      <c r="Q20151" s="1"/>
      <c r="R20151" s="1"/>
      <c r="Z20151" s="93"/>
      <c r="AA20151" s="93"/>
      <c r="AB20151" s="1"/>
    </row>
    <row r="20152" spans="15:28">
      <c r="O20152" s="1"/>
      <c r="P20152" s="1"/>
      <c r="Q20152" s="1"/>
      <c r="R20152" s="1"/>
      <c r="Z20152" s="93"/>
      <c r="AA20152" s="93"/>
      <c r="AB20152" s="1"/>
    </row>
    <row r="20153" spans="15:28">
      <c r="O20153" s="1"/>
      <c r="P20153" s="1"/>
      <c r="Q20153" s="1"/>
      <c r="R20153" s="1"/>
      <c r="Z20153" s="93"/>
      <c r="AA20153" s="93"/>
      <c r="AB20153" s="1"/>
    </row>
    <row r="20154" spans="15:28">
      <c r="O20154" s="1"/>
      <c r="P20154" s="1"/>
      <c r="Q20154" s="1"/>
      <c r="R20154" s="1"/>
      <c r="Z20154" s="93"/>
      <c r="AA20154" s="93"/>
      <c r="AB20154" s="1"/>
    </row>
    <row r="20155" spans="15:28">
      <c r="O20155" s="1"/>
      <c r="P20155" s="1"/>
      <c r="Q20155" s="1"/>
      <c r="R20155" s="1"/>
      <c r="Z20155" s="93"/>
      <c r="AA20155" s="93"/>
      <c r="AB20155" s="1"/>
    </row>
    <row r="20156" spans="15:28">
      <c r="O20156" s="1"/>
      <c r="P20156" s="1"/>
      <c r="Q20156" s="1"/>
      <c r="R20156" s="1"/>
      <c r="Z20156" s="93"/>
      <c r="AA20156" s="93"/>
      <c r="AB20156" s="1"/>
    </row>
    <row r="20157" spans="15:28">
      <c r="O20157" s="1"/>
      <c r="P20157" s="1"/>
      <c r="Q20157" s="1"/>
      <c r="R20157" s="1"/>
      <c r="Z20157" s="93"/>
      <c r="AA20157" s="93"/>
      <c r="AB20157" s="1"/>
    </row>
    <row r="20158" spans="15:28">
      <c r="O20158" s="1"/>
      <c r="P20158" s="1"/>
      <c r="Q20158" s="1"/>
      <c r="R20158" s="1"/>
      <c r="Z20158" s="93"/>
      <c r="AA20158" s="93"/>
      <c r="AB20158" s="1"/>
    </row>
    <row r="20159" spans="15:28">
      <c r="O20159" s="1"/>
      <c r="P20159" s="1"/>
      <c r="Q20159" s="1"/>
      <c r="R20159" s="1"/>
      <c r="Z20159" s="93"/>
      <c r="AA20159" s="93"/>
      <c r="AB20159" s="1"/>
    </row>
    <row r="20160" spans="15:28">
      <c r="O20160" s="1"/>
      <c r="P20160" s="1"/>
      <c r="Q20160" s="1"/>
      <c r="R20160" s="1"/>
      <c r="Z20160" s="93"/>
      <c r="AA20160" s="93"/>
      <c r="AB20160" s="1"/>
    </row>
    <row r="20161" spans="15:28">
      <c r="O20161" s="1"/>
      <c r="P20161" s="1"/>
      <c r="Q20161" s="1"/>
      <c r="R20161" s="1"/>
      <c r="Z20161" s="93"/>
      <c r="AA20161" s="93"/>
      <c r="AB20161" s="1"/>
    </row>
    <row r="20162" spans="15:28">
      <c r="O20162" s="1"/>
      <c r="P20162" s="1"/>
      <c r="Q20162" s="1"/>
      <c r="R20162" s="1"/>
      <c r="Z20162" s="93"/>
      <c r="AA20162" s="93"/>
      <c r="AB20162" s="1"/>
    </row>
    <row r="20163" spans="15:28">
      <c r="O20163" s="1"/>
      <c r="P20163" s="1"/>
      <c r="Q20163" s="1"/>
      <c r="R20163" s="1"/>
      <c r="Z20163" s="93"/>
      <c r="AA20163" s="93"/>
      <c r="AB20163" s="1"/>
    </row>
    <row r="20164" spans="15:28">
      <c r="O20164" s="1"/>
      <c r="P20164" s="1"/>
      <c r="Q20164" s="1"/>
      <c r="R20164" s="1"/>
      <c r="Z20164" s="93"/>
      <c r="AA20164" s="93"/>
      <c r="AB20164" s="1"/>
    </row>
    <row r="20165" spans="15:28">
      <c r="O20165" s="1"/>
      <c r="P20165" s="1"/>
      <c r="Q20165" s="1"/>
      <c r="R20165" s="1"/>
      <c r="Z20165" s="93"/>
      <c r="AA20165" s="93"/>
      <c r="AB20165" s="1"/>
    </row>
    <row r="20166" spans="15:28">
      <c r="O20166" s="1"/>
      <c r="P20166" s="1"/>
      <c r="Q20166" s="1"/>
      <c r="R20166" s="1"/>
      <c r="Z20166" s="93"/>
      <c r="AA20166" s="93"/>
      <c r="AB20166" s="1"/>
    </row>
    <row r="20167" spans="15:28">
      <c r="O20167" s="1"/>
      <c r="P20167" s="1"/>
      <c r="Q20167" s="1"/>
      <c r="R20167" s="1"/>
      <c r="Z20167" s="93"/>
      <c r="AA20167" s="93"/>
      <c r="AB20167" s="1"/>
    </row>
    <row r="20168" spans="15:28">
      <c r="O20168" s="1"/>
      <c r="P20168" s="1"/>
      <c r="Q20168" s="1"/>
      <c r="R20168" s="1"/>
      <c r="Z20168" s="93"/>
      <c r="AA20168" s="93"/>
      <c r="AB20168" s="1"/>
    </row>
    <row r="20169" spans="15:28">
      <c r="O20169" s="1"/>
      <c r="P20169" s="1"/>
      <c r="Q20169" s="1"/>
      <c r="R20169" s="1"/>
      <c r="Z20169" s="93"/>
      <c r="AA20169" s="93"/>
      <c r="AB20169" s="1"/>
    </row>
    <row r="20170" spans="15:28">
      <c r="O20170" s="1"/>
      <c r="P20170" s="1"/>
      <c r="Q20170" s="1"/>
      <c r="R20170" s="1"/>
      <c r="Z20170" s="93"/>
      <c r="AA20170" s="93"/>
      <c r="AB20170" s="1"/>
    </row>
    <row r="20171" spans="15:28">
      <c r="O20171" s="1"/>
      <c r="P20171" s="1"/>
      <c r="Q20171" s="1"/>
      <c r="R20171" s="1"/>
      <c r="Z20171" s="93"/>
      <c r="AA20171" s="93"/>
      <c r="AB20171" s="1"/>
    </row>
    <row r="20172" spans="15:28">
      <c r="O20172" s="1"/>
      <c r="P20172" s="1"/>
      <c r="Q20172" s="1"/>
      <c r="R20172" s="1"/>
      <c r="Z20172" s="93"/>
      <c r="AA20172" s="93"/>
      <c r="AB20172" s="1"/>
    </row>
    <row r="20173" spans="15:28">
      <c r="O20173" s="1"/>
      <c r="P20173" s="1"/>
      <c r="Q20173" s="1"/>
      <c r="R20173" s="1"/>
      <c r="Z20173" s="93"/>
      <c r="AA20173" s="93"/>
      <c r="AB20173" s="1"/>
    </row>
    <row r="20174" spans="15:28">
      <c r="O20174" s="1"/>
      <c r="P20174" s="1"/>
      <c r="Q20174" s="1"/>
      <c r="R20174" s="1"/>
      <c r="Z20174" s="93"/>
      <c r="AA20174" s="93"/>
      <c r="AB20174" s="1"/>
    </row>
    <row r="20175" spans="15:28">
      <c r="O20175" s="1"/>
      <c r="P20175" s="1"/>
      <c r="Q20175" s="1"/>
      <c r="R20175" s="1"/>
      <c r="Z20175" s="93"/>
      <c r="AA20175" s="93"/>
      <c r="AB20175" s="1"/>
    </row>
    <row r="20176" spans="15:28">
      <c r="O20176" s="1"/>
      <c r="P20176" s="1"/>
      <c r="Q20176" s="1"/>
      <c r="R20176" s="1"/>
      <c r="Z20176" s="93"/>
      <c r="AA20176" s="93"/>
      <c r="AB20176" s="1"/>
    </row>
    <row r="20177" spans="15:28">
      <c r="O20177" s="1"/>
      <c r="P20177" s="1"/>
      <c r="Q20177" s="1"/>
      <c r="R20177" s="1"/>
      <c r="Z20177" s="93"/>
      <c r="AA20177" s="93"/>
      <c r="AB20177" s="1"/>
    </row>
    <row r="20178" spans="15:28">
      <c r="O20178" s="1"/>
      <c r="P20178" s="1"/>
      <c r="Q20178" s="1"/>
      <c r="R20178" s="1"/>
      <c r="Z20178" s="93"/>
      <c r="AA20178" s="93"/>
      <c r="AB20178" s="1"/>
    </row>
    <row r="20179" spans="15:28">
      <c r="O20179" s="1"/>
      <c r="P20179" s="1"/>
      <c r="Q20179" s="1"/>
      <c r="R20179" s="1"/>
      <c r="Z20179" s="93"/>
      <c r="AA20179" s="93"/>
      <c r="AB20179" s="1"/>
    </row>
    <row r="20180" spans="15:28">
      <c r="O20180" s="1"/>
      <c r="P20180" s="1"/>
      <c r="Q20180" s="1"/>
      <c r="R20180" s="1"/>
      <c r="Z20180" s="93"/>
      <c r="AA20180" s="93"/>
      <c r="AB20180" s="1"/>
    </row>
    <row r="20181" spans="15:28">
      <c r="O20181" s="1"/>
      <c r="P20181" s="1"/>
      <c r="Q20181" s="1"/>
      <c r="R20181" s="1"/>
      <c r="Z20181" s="93"/>
      <c r="AA20181" s="93"/>
      <c r="AB20181" s="1"/>
    </row>
    <row r="20182" spans="15:28">
      <c r="O20182" s="1"/>
      <c r="P20182" s="1"/>
      <c r="Q20182" s="1"/>
      <c r="R20182" s="1"/>
      <c r="Z20182" s="93"/>
      <c r="AA20182" s="93"/>
      <c r="AB20182" s="1"/>
    </row>
    <row r="20183" spans="15:28">
      <c r="O20183" s="1"/>
      <c r="P20183" s="1"/>
      <c r="Q20183" s="1"/>
      <c r="R20183" s="1"/>
      <c r="Z20183" s="93"/>
      <c r="AA20183" s="93"/>
      <c r="AB20183" s="1"/>
    </row>
    <row r="20184" spans="15:28">
      <c r="O20184" s="1"/>
      <c r="P20184" s="1"/>
      <c r="Q20184" s="1"/>
      <c r="R20184" s="1"/>
      <c r="Z20184" s="93"/>
      <c r="AA20184" s="93"/>
      <c r="AB20184" s="1"/>
    </row>
    <row r="20185" spans="15:28">
      <c r="O20185" s="1"/>
      <c r="P20185" s="1"/>
      <c r="Q20185" s="1"/>
      <c r="R20185" s="1"/>
      <c r="Z20185" s="93"/>
      <c r="AA20185" s="93"/>
      <c r="AB20185" s="1"/>
    </row>
    <row r="20186" spans="15:28">
      <c r="O20186" s="1"/>
      <c r="P20186" s="1"/>
      <c r="Q20186" s="1"/>
      <c r="R20186" s="1"/>
      <c r="Z20186" s="93"/>
      <c r="AA20186" s="93"/>
      <c r="AB20186" s="1"/>
    </row>
    <row r="20187" spans="15:28">
      <c r="O20187" s="1"/>
      <c r="P20187" s="1"/>
      <c r="Q20187" s="1"/>
      <c r="R20187" s="1"/>
      <c r="Z20187" s="93"/>
      <c r="AA20187" s="93"/>
      <c r="AB20187" s="1"/>
    </row>
    <row r="20188" spans="15:28">
      <c r="O20188" s="1"/>
      <c r="P20188" s="1"/>
      <c r="Q20188" s="1"/>
      <c r="R20188" s="1"/>
      <c r="Z20188" s="93"/>
      <c r="AA20188" s="93"/>
      <c r="AB20188" s="1"/>
    </row>
    <row r="20189" spans="15:28">
      <c r="O20189" s="1"/>
      <c r="P20189" s="1"/>
      <c r="Q20189" s="1"/>
      <c r="R20189" s="1"/>
      <c r="Z20189" s="93"/>
      <c r="AA20189" s="93"/>
      <c r="AB20189" s="1"/>
    </row>
    <row r="20190" spans="15:28">
      <c r="O20190" s="1"/>
      <c r="P20190" s="1"/>
      <c r="Q20190" s="1"/>
      <c r="R20190" s="1"/>
      <c r="Z20190" s="93"/>
      <c r="AA20190" s="93"/>
      <c r="AB20190" s="1"/>
    </row>
    <row r="20191" spans="15:28">
      <c r="O20191" s="1"/>
      <c r="P20191" s="1"/>
      <c r="Q20191" s="1"/>
      <c r="R20191" s="1"/>
      <c r="Z20191" s="93"/>
      <c r="AA20191" s="93"/>
      <c r="AB20191" s="1"/>
    </row>
    <row r="20192" spans="15:28">
      <c r="O20192" s="1"/>
      <c r="P20192" s="1"/>
      <c r="Q20192" s="1"/>
      <c r="R20192" s="1"/>
      <c r="Z20192" s="93"/>
      <c r="AA20192" s="93"/>
      <c r="AB20192" s="1"/>
    </row>
    <row r="20193" spans="15:28">
      <c r="O20193" s="1"/>
      <c r="P20193" s="1"/>
      <c r="Q20193" s="1"/>
      <c r="R20193" s="1"/>
      <c r="Z20193" s="93"/>
      <c r="AA20193" s="93"/>
      <c r="AB20193" s="1"/>
    </row>
    <row r="20194" spans="15:28">
      <c r="O20194" s="1"/>
      <c r="P20194" s="1"/>
      <c r="Q20194" s="1"/>
      <c r="R20194" s="1"/>
      <c r="Z20194" s="93"/>
      <c r="AA20194" s="93"/>
      <c r="AB20194" s="1"/>
    </row>
    <row r="20195" spans="15:28">
      <c r="O20195" s="1"/>
      <c r="P20195" s="1"/>
      <c r="Q20195" s="1"/>
      <c r="R20195" s="1"/>
      <c r="Z20195" s="93"/>
      <c r="AA20195" s="93"/>
      <c r="AB20195" s="1"/>
    </row>
    <row r="20196" spans="15:28">
      <c r="O20196" s="1"/>
      <c r="P20196" s="1"/>
      <c r="Q20196" s="1"/>
      <c r="R20196" s="1"/>
      <c r="Z20196" s="93"/>
      <c r="AA20196" s="93"/>
      <c r="AB20196" s="1"/>
    </row>
    <row r="20197" spans="15:28">
      <c r="O20197" s="1"/>
      <c r="P20197" s="1"/>
      <c r="Q20197" s="1"/>
      <c r="R20197" s="1"/>
      <c r="Z20197" s="93"/>
      <c r="AA20197" s="93"/>
      <c r="AB20197" s="1"/>
    </row>
    <row r="20198" spans="15:28">
      <c r="O20198" s="1"/>
      <c r="P20198" s="1"/>
      <c r="Q20198" s="1"/>
      <c r="R20198" s="1"/>
      <c r="Z20198" s="93"/>
      <c r="AA20198" s="93"/>
      <c r="AB20198" s="1"/>
    </row>
    <row r="20199" spans="15:28">
      <c r="O20199" s="1"/>
      <c r="P20199" s="1"/>
      <c r="Q20199" s="1"/>
      <c r="R20199" s="1"/>
      <c r="Z20199" s="93"/>
      <c r="AA20199" s="93"/>
      <c r="AB20199" s="1"/>
    </row>
    <row r="20200" spans="15:28">
      <c r="O20200" s="1"/>
      <c r="P20200" s="1"/>
      <c r="Q20200" s="1"/>
      <c r="R20200" s="1"/>
      <c r="Z20200" s="93"/>
      <c r="AA20200" s="93"/>
      <c r="AB20200" s="1"/>
    </row>
    <row r="20201" spans="15:28">
      <c r="O20201" s="1"/>
      <c r="P20201" s="1"/>
      <c r="Q20201" s="1"/>
      <c r="R20201" s="1"/>
      <c r="Z20201" s="93"/>
      <c r="AA20201" s="93"/>
      <c r="AB20201" s="1"/>
    </row>
    <row r="20202" spans="15:28">
      <c r="O20202" s="1"/>
      <c r="P20202" s="1"/>
      <c r="Q20202" s="1"/>
      <c r="R20202" s="1"/>
      <c r="Z20202" s="93"/>
      <c r="AA20202" s="93"/>
      <c r="AB20202" s="1"/>
    </row>
    <row r="20203" spans="15:28">
      <c r="O20203" s="1"/>
      <c r="P20203" s="1"/>
      <c r="Q20203" s="1"/>
      <c r="R20203" s="1"/>
      <c r="Z20203" s="93"/>
      <c r="AA20203" s="93"/>
      <c r="AB20203" s="1"/>
    </row>
    <row r="20204" spans="15:28">
      <c r="O20204" s="1"/>
      <c r="P20204" s="1"/>
      <c r="Q20204" s="1"/>
      <c r="R20204" s="1"/>
      <c r="Z20204" s="93"/>
      <c r="AA20204" s="93"/>
      <c r="AB20204" s="1"/>
    </row>
    <row r="20205" spans="15:28">
      <c r="O20205" s="1"/>
      <c r="P20205" s="1"/>
      <c r="Q20205" s="1"/>
      <c r="R20205" s="1"/>
      <c r="Z20205" s="93"/>
      <c r="AA20205" s="93"/>
      <c r="AB20205" s="1"/>
    </row>
    <row r="20206" spans="15:28">
      <c r="O20206" s="1"/>
      <c r="P20206" s="1"/>
      <c r="Q20206" s="1"/>
      <c r="R20206" s="1"/>
      <c r="Z20206" s="93"/>
      <c r="AA20206" s="93"/>
      <c r="AB20206" s="1"/>
    </row>
    <row r="20207" spans="15:28">
      <c r="O20207" s="1"/>
      <c r="P20207" s="1"/>
      <c r="Q20207" s="1"/>
      <c r="R20207" s="1"/>
      <c r="Z20207" s="93"/>
      <c r="AA20207" s="93"/>
      <c r="AB20207" s="1"/>
    </row>
    <row r="20208" spans="15:28">
      <c r="O20208" s="1"/>
      <c r="P20208" s="1"/>
      <c r="Q20208" s="1"/>
      <c r="R20208" s="1"/>
      <c r="Z20208" s="93"/>
      <c r="AA20208" s="93"/>
      <c r="AB20208" s="1"/>
    </row>
    <row r="20209" spans="15:28">
      <c r="O20209" s="1"/>
      <c r="P20209" s="1"/>
      <c r="Q20209" s="1"/>
      <c r="R20209" s="1"/>
      <c r="Z20209" s="93"/>
      <c r="AA20209" s="93"/>
      <c r="AB20209" s="1"/>
    </row>
    <row r="20210" spans="15:28">
      <c r="O20210" s="1"/>
      <c r="P20210" s="1"/>
      <c r="Q20210" s="1"/>
      <c r="R20210" s="1"/>
      <c r="Z20210" s="93"/>
      <c r="AA20210" s="93"/>
      <c r="AB20210" s="1"/>
    </row>
    <row r="20211" spans="15:28">
      <c r="O20211" s="1"/>
      <c r="P20211" s="1"/>
      <c r="Q20211" s="1"/>
      <c r="R20211" s="1"/>
      <c r="Z20211" s="93"/>
      <c r="AA20211" s="93"/>
      <c r="AB20211" s="1"/>
    </row>
    <row r="20212" spans="15:28">
      <c r="O20212" s="1"/>
      <c r="P20212" s="1"/>
      <c r="Q20212" s="1"/>
      <c r="R20212" s="1"/>
      <c r="Z20212" s="93"/>
      <c r="AA20212" s="93"/>
      <c r="AB20212" s="1"/>
    </row>
    <row r="20213" spans="15:28">
      <c r="O20213" s="1"/>
      <c r="P20213" s="1"/>
      <c r="Q20213" s="1"/>
      <c r="R20213" s="1"/>
      <c r="Z20213" s="93"/>
      <c r="AA20213" s="93"/>
      <c r="AB20213" s="1"/>
    </row>
    <row r="20214" spans="15:28">
      <c r="O20214" s="1"/>
      <c r="P20214" s="1"/>
      <c r="Q20214" s="1"/>
      <c r="R20214" s="1"/>
      <c r="Z20214" s="93"/>
      <c r="AA20214" s="93"/>
      <c r="AB20214" s="1"/>
    </row>
    <row r="20215" spans="15:28">
      <c r="O20215" s="1"/>
      <c r="P20215" s="1"/>
      <c r="Q20215" s="1"/>
      <c r="R20215" s="1"/>
      <c r="Z20215" s="93"/>
      <c r="AA20215" s="93"/>
      <c r="AB20215" s="1"/>
    </row>
    <row r="20216" spans="15:28">
      <c r="O20216" s="1"/>
      <c r="P20216" s="1"/>
      <c r="Q20216" s="1"/>
      <c r="R20216" s="1"/>
      <c r="Z20216" s="93"/>
      <c r="AA20216" s="93"/>
      <c r="AB20216" s="1"/>
    </row>
    <row r="20217" spans="15:28">
      <c r="O20217" s="1"/>
      <c r="P20217" s="1"/>
      <c r="Q20217" s="1"/>
      <c r="R20217" s="1"/>
      <c r="Z20217" s="93"/>
      <c r="AA20217" s="93"/>
      <c r="AB20217" s="1"/>
    </row>
    <row r="20218" spans="15:28">
      <c r="O20218" s="1"/>
      <c r="P20218" s="1"/>
      <c r="Q20218" s="1"/>
      <c r="R20218" s="1"/>
      <c r="Z20218" s="93"/>
      <c r="AA20218" s="93"/>
      <c r="AB20218" s="1"/>
    </row>
    <row r="20219" spans="15:28">
      <c r="O20219" s="1"/>
      <c r="P20219" s="1"/>
      <c r="Q20219" s="1"/>
      <c r="R20219" s="1"/>
      <c r="Z20219" s="93"/>
      <c r="AA20219" s="93"/>
      <c r="AB20219" s="1"/>
    </row>
    <row r="20220" spans="15:28">
      <c r="O20220" s="1"/>
      <c r="P20220" s="1"/>
      <c r="Q20220" s="1"/>
      <c r="R20220" s="1"/>
      <c r="Z20220" s="93"/>
      <c r="AA20220" s="93"/>
      <c r="AB20220" s="1"/>
    </row>
    <row r="20221" spans="15:28">
      <c r="O20221" s="1"/>
      <c r="P20221" s="1"/>
      <c r="Q20221" s="1"/>
      <c r="R20221" s="1"/>
      <c r="Z20221" s="93"/>
      <c r="AA20221" s="93"/>
      <c r="AB20221" s="1"/>
    </row>
    <row r="20222" spans="15:28">
      <c r="O20222" s="1"/>
      <c r="P20222" s="1"/>
      <c r="Q20222" s="1"/>
      <c r="R20222" s="1"/>
      <c r="Z20222" s="93"/>
      <c r="AA20222" s="93"/>
      <c r="AB20222" s="1"/>
    </row>
    <row r="20223" spans="15:28">
      <c r="O20223" s="1"/>
      <c r="P20223" s="1"/>
      <c r="Q20223" s="1"/>
      <c r="R20223" s="1"/>
      <c r="Z20223" s="93"/>
      <c r="AA20223" s="93"/>
      <c r="AB20223" s="1"/>
    </row>
    <row r="20224" spans="15:28">
      <c r="O20224" s="1"/>
      <c r="P20224" s="1"/>
      <c r="Q20224" s="1"/>
      <c r="R20224" s="1"/>
      <c r="Z20224" s="93"/>
      <c r="AA20224" s="93"/>
      <c r="AB20224" s="1"/>
    </row>
    <row r="20225" spans="15:28">
      <c r="O20225" s="1"/>
      <c r="P20225" s="1"/>
      <c r="Q20225" s="1"/>
      <c r="R20225" s="1"/>
      <c r="Z20225" s="93"/>
      <c r="AA20225" s="93"/>
      <c r="AB20225" s="1"/>
    </row>
    <row r="20226" spans="15:28">
      <c r="O20226" s="1"/>
      <c r="P20226" s="1"/>
      <c r="Q20226" s="1"/>
      <c r="R20226" s="1"/>
      <c r="Z20226" s="93"/>
      <c r="AA20226" s="93"/>
      <c r="AB20226" s="1"/>
    </row>
    <row r="20227" spans="15:28">
      <c r="O20227" s="1"/>
      <c r="P20227" s="1"/>
      <c r="Q20227" s="1"/>
      <c r="R20227" s="1"/>
      <c r="Z20227" s="93"/>
      <c r="AA20227" s="93"/>
      <c r="AB20227" s="1"/>
    </row>
    <row r="20228" spans="15:28">
      <c r="O20228" s="1"/>
      <c r="P20228" s="1"/>
      <c r="Q20228" s="1"/>
      <c r="R20228" s="1"/>
      <c r="Z20228" s="93"/>
      <c r="AA20228" s="93"/>
      <c r="AB20228" s="1"/>
    </row>
    <row r="20229" spans="15:28">
      <c r="O20229" s="1"/>
      <c r="P20229" s="1"/>
      <c r="Q20229" s="1"/>
      <c r="R20229" s="1"/>
      <c r="Z20229" s="93"/>
      <c r="AA20229" s="93"/>
      <c r="AB20229" s="1"/>
    </row>
    <row r="20230" spans="15:28">
      <c r="O20230" s="1"/>
      <c r="P20230" s="1"/>
      <c r="Q20230" s="1"/>
      <c r="R20230" s="1"/>
      <c r="Z20230" s="93"/>
      <c r="AA20230" s="93"/>
      <c r="AB20230" s="1"/>
    </row>
    <row r="20231" spans="15:28">
      <c r="O20231" s="1"/>
      <c r="P20231" s="1"/>
      <c r="Q20231" s="1"/>
      <c r="R20231" s="1"/>
      <c r="Z20231" s="93"/>
      <c r="AA20231" s="93"/>
      <c r="AB20231" s="1"/>
    </row>
    <row r="20232" spans="15:28">
      <c r="O20232" s="1"/>
      <c r="P20232" s="1"/>
      <c r="Q20232" s="1"/>
      <c r="R20232" s="1"/>
      <c r="Z20232" s="93"/>
      <c r="AA20232" s="93"/>
      <c r="AB20232" s="1"/>
    </row>
    <row r="20233" spans="15:28">
      <c r="O20233" s="1"/>
      <c r="P20233" s="1"/>
      <c r="Q20233" s="1"/>
      <c r="R20233" s="1"/>
      <c r="Z20233" s="93"/>
      <c r="AA20233" s="93"/>
      <c r="AB20233" s="1"/>
    </row>
    <row r="20234" spans="15:28">
      <c r="O20234" s="1"/>
      <c r="P20234" s="1"/>
      <c r="Q20234" s="1"/>
      <c r="R20234" s="1"/>
      <c r="Z20234" s="93"/>
      <c r="AA20234" s="93"/>
      <c r="AB20234" s="1"/>
    </row>
    <row r="20235" spans="15:28">
      <c r="O20235" s="1"/>
      <c r="P20235" s="1"/>
      <c r="Q20235" s="1"/>
      <c r="R20235" s="1"/>
      <c r="Z20235" s="93"/>
      <c r="AA20235" s="93"/>
      <c r="AB20235" s="1"/>
    </row>
    <row r="20236" spans="15:28">
      <c r="O20236" s="1"/>
      <c r="P20236" s="1"/>
      <c r="Q20236" s="1"/>
      <c r="R20236" s="1"/>
      <c r="Z20236" s="93"/>
      <c r="AA20236" s="93"/>
      <c r="AB20236" s="1"/>
    </row>
    <row r="20237" spans="15:28">
      <c r="O20237" s="1"/>
      <c r="P20237" s="1"/>
      <c r="Q20237" s="1"/>
      <c r="R20237" s="1"/>
      <c r="Z20237" s="93"/>
      <c r="AA20237" s="93"/>
      <c r="AB20237" s="1"/>
    </row>
    <row r="20238" spans="15:28">
      <c r="O20238" s="1"/>
      <c r="P20238" s="1"/>
      <c r="Q20238" s="1"/>
      <c r="R20238" s="1"/>
      <c r="Z20238" s="93"/>
      <c r="AA20238" s="93"/>
      <c r="AB20238" s="1"/>
    </row>
    <row r="20239" spans="15:28">
      <c r="O20239" s="1"/>
      <c r="P20239" s="1"/>
      <c r="Q20239" s="1"/>
      <c r="R20239" s="1"/>
      <c r="Z20239" s="93"/>
      <c r="AA20239" s="93"/>
      <c r="AB20239" s="1"/>
    </row>
    <row r="20240" spans="15:28">
      <c r="O20240" s="1"/>
      <c r="P20240" s="1"/>
      <c r="Q20240" s="1"/>
      <c r="R20240" s="1"/>
      <c r="Z20240" s="93"/>
      <c r="AA20240" s="93"/>
      <c r="AB20240" s="1"/>
    </row>
    <row r="20241" spans="15:28">
      <c r="O20241" s="1"/>
      <c r="P20241" s="1"/>
      <c r="Q20241" s="1"/>
      <c r="R20241" s="1"/>
      <c r="Z20241" s="93"/>
      <c r="AA20241" s="93"/>
      <c r="AB20241" s="1"/>
    </row>
    <row r="20242" spans="15:28">
      <c r="O20242" s="1"/>
      <c r="P20242" s="1"/>
      <c r="Q20242" s="1"/>
      <c r="R20242" s="1"/>
      <c r="Z20242" s="93"/>
      <c r="AA20242" s="93"/>
      <c r="AB20242" s="1"/>
    </row>
    <row r="20243" spans="15:28">
      <c r="O20243" s="1"/>
      <c r="P20243" s="1"/>
      <c r="Q20243" s="1"/>
      <c r="R20243" s="1"/>
      <c r="Z20243" s="93"/>
      <c r="AA20243" s="93"/>
      <c r="AB20243" s="1"/>
    </row>
    <row r="20244" spans="15:28">
      <c r="O20244" s="1"/>
      <c r="P20244" s="1"/>
      <c r="Q20244" s="1"/>
      <c r="R20244" s="1"/>
      <c r="Z20244" s="93"/>
      <c r="AA20244" s="93"/>
      <c r="AB20244" s="1"/>
    </row>
    <row r="20245" spans="15:28">
      <c r="O20245" s="1"/>
      <c r="P20245" s="1"/>
      <c r="Q20245" s="1"/>
      <c r="R20245" s="1"/>
      <c r="Z20245" s="93"/>
      <c r="AA20245" s="93"/>
      <c r="AB20245" s="1"/>
    </row>
    <row r="20246" spans="15:28">
      <c r="O20246" s="1"/>
      <c r="P20246" s="1"/>
      <c r="Q20246" s="1"/>
      <c r="R20246" s="1"/>
      <c r="Z20246" s="93"/>
      <c r="AA20246" s="93"/>
      <c r="AB20246" s="1"/>
    </row>
    <row r="20247" spans="15:28">
      <c r="O20247" s="1"/>
      <c r="P20247" s="1"/>
      <c r="Q20247" s="1"/>
      <c r="R20247" s="1"/>
      <c r="Z20247" s="93"/>
      <c r="AA20247" s="93"/>
      <c r="AB20247" s="1"/>
    </row>
    <row r="20248" spans="15:28">
      <c r="O20248" s="1"/>
      <c r="P20248" s="1"/>
      <c r="Q20248" s="1"/>
      <c r="R20248" s="1"/>
      <c r="Z20248" s="93"/>
      <c r="AA20248" s="93"/>
      <c r="AB20248" s="1"/>
    </row>
    <row r="20249" spans="15:28">
      <c r="O20249" s="1"/>
      <c r="P20249" s="1"/>
      <c r="Q20249" s="1"/>
      <c r="R20249" s="1"/>
      <c r="Z20249" s="93"/>
      <c r="AA20249" s="93"/>
      <c r="AB20249" s="1"/>
    </row>
    <row r="20250" spans="15:28">
      <c r="O20250" s="1"/>
      <c r="P20250" s="1"/>
      <c r="Q20250" s="1"/>
      <c r="R20250" s="1"/>
      <c r="Z20250" s="93"/>
      <c r="AA20250" s="93"/>
      <c r="AB20250" s="1"/>
    </row>
    <row r="20251" spans="15:28">
      <c r="O20251" s="1"/>
      <c r="P20251" s="1"/>
      <c r="Q20251" s="1"/>
      <c r="R20251" s="1"/>
      <c r="Z20251" s="93"/>
      <c r="AA20251" s="93"/>
      <c r="AB20251" s="1"/>
    </row>
    <row r="20252" spans="15:28">
      <c r="O20252" s="1"/>
      <c r="P20252" s="1"/>
      <c r="Q20252" s="1"/>
      <c r="R20252" s="1"/>
      <c r="Z20252" s="93"/>
      <c r="AA20252" s="93"/>
      <c r="AB20252" s="1"/>
    </row>
    <row r="20253" spans="15:28">
      <c r="O20253" s="1"/>
      <c r="P20253" s="1"/>
      <c r="Q20253" s="1"/>
      <c r="R20253" s="1"/>
      <c r="Z20253" s="93"/>
      <c r="AA20253" s="93"/>
      <c r="AB20253" s="1"/>
    </row>
    <row r="20254" spans="15:28">
      <c r="O20254" s="1"/>
      <c r="P20254" s="1"/>
      <c r="Q20254" s="1"/>
      <c r="R20254" s="1"/>
      <c r="Z20254" s="93"/>
      <c r="AA20254" s="93"/>
      <c r="AB20254" s="1"/>
    </row>
    <row r="20255" spans="15:28">
      <c r="O20255" s="1"/>
      <c r="P20255" s="1"/>
      <c r="Q20255" s="1"/>
      <c r="R20255" s="1"/>
      <c r="Z20255" s="93"/>
      <c r="AA20255" s="93"/>
      <c r="AB20255" s="1"/>
    </row>
    <row r="20256" spans="15:28">
      <c r="O20256" s="1"/>
      <c r="P20256" s="1"/>
      <c r="Q20256" s="1"/>
      <c r="R20256" s="1"/>
      <c r="Z20256" s="93"/>
      <c r="AA20256" s="93"/>
      <c r="AB20256" s="1"/>
    </row>
    <row r="20257" spans="15:28">
      <c r="O20257" s="1"/>
      <c r="P20257" s="1"/>
      <c r="Q20257" s="1"/>
      <c r="R20257" s="1"/>
      <c r="Z20257" s="93"/>
      <c r="AA20257" s="93"/>
      <c r="AB20257" s="1"/>
    </row>
    <row r="20258" spans="15:28">
      <c r="O20258" s="1"/>
      <c r="P20258" s="1"/>
      <c r="Q20258" s="1"/>
      <c r="R20258" s="1"/>
      <c r="Z20258" s="93"/>
      <c r="AA20258" s="93"/>
      <c r="AB20258" s="1"/>
    </row>
    <row r="20259" spans="15:28">
      <c r="O20259" s="1"/>
      <c r="P20259" s="1"/>
      <c r="Q20259" s="1"/>
      <c r="R20259" s="1"/>
      <c r="Z20259" s="93"/>
      <c r="AA20259" s="93"/>
      <c r="AB20259" s="1"/>
    </row>
    <row r="20260" spans="15:28">
      <c r="O20260" s="1"/>
      <c r="P20260" s="1"/>
      <c r="Q20260" s="1"/>
      <c r="R20260" s="1"/>
      <c r="Z20260" s="93"/>
      <c r="AA20260" s="93"/>
      <c r="AB20260" s="1"/>
    </row>
    <row r="20261" spans="15:28">
      <c r="O20261" s="1"/>
      <c r="P20261" s="1"/>
      <c r="Q20261" s="1"/>
      <c r="R20261" s="1"/>
      <c r="Z20261" s="93"/>
      <c r="AA20261" s="93"/>
      <c r="AB20261" s="1"/>
    </row>
    <row r="20262" spans="15:28">
      <c r="O20262" s="1"/>
      <c r="P20262" s="1"/>
      <c r="Q20262" s="1"/>
      <c r="R20262" s="1"/>
      <c r="Z20262" s="93"/>
      <c r="AA20262" s="93"/>
      <c r="AB20262" s="1"/>
    </row>
    <row r="20263" spans="15:28">
      <c r="O20263" s="1"/>
      <c r="P20263" s="1"/>
      <c r="Q20263" s="1"/>
      <c r="R20263" s="1"/>
      <c r="Z20263" s="93"/>
      <c r="AA20263" s="93"/>
      <c r="AB20263" s="1"/>
    </row>
    <row r="20264" spans="15:28">
      <c r="O20264" s="1"/>
      <c r="P20264" s="1"/>
      <c r="Q20264" s="1"/>
      <c r="R20264" s="1"/>
      <c r="Z20264" s="93"/>
      <c r="AA20264" s="93"/>
      <c r="AB20264" s="1"/>
    </row>
    <row r="20265" spans="15:28">
      <c r="O20265" s="1"/>
      <c r="P20265" s="1"/>
      <c r="Q20265" s="1"/>
      <c r="R20265" s="1"/>
      <c r="Z20265" s="93"/>
      <c r="AA20265" s="93"/>
      <c r="AB20265" s="1"/>
    </row>
    <row r="20266" spans="15:28">
      <c r="O20266" s="1"/>
      <c r="P20266" s="1"/>
      <c r="Q20266" s="1"/>
      <c r="R20266" s="1"/>
      <c r="Z20266" s="93"/>
      <c r="AA20266" s="93"/>
      <c r="AB20266" s="1"/>
    </row>
    <row r="20267" spans="15:28">
      <c r="O20267" s="1"/>
      <c r="P20267" s="1"/>
      <c r="Q20267" s="1"/>
      <c r="R20267" s="1"/>
      <c r="Z20267" s="93"/>
      <c r="AA20267" s="93"/>
      <c r="AB20267" s="1"/>
    </row>
    <row r="20268" spans="15:28">
      <c r="O20268" s="1"/>
      <c r="P20268" s="1"/>
      <c r="Q20268" s="1"/>
      <c r="R20268" s="1"/>
      <c r="Z20268" s="93"/>
      <c r="AA20268" s="93"/>
      <c r="AB20268" s="1"/>
    </row>
    <row r="20269" spans="15:28">
      <c r="O20269" s="1"/>
      <c r="P20269" s="1"/>
      <c r="Q20269" s="1"/>
      <c r="R20269" s="1"/>
      <c r="Z20269" s="93"/>
      <c r="AA20269" s="93"/>
      <c r="AB20269" s="1"/>
    </row>
    <row r="20270" spans="15:28">
      <c r="O20270" s="1"/>
      <c r="P20270" s="1"/>
      <c r="Q20270" s="1"/>
      <c r="R20270" s="1"/>
      <c r="Z20270" s="93"/>
      <c r="AA20270" s="93"/>
      <c r="AB20270" s="1"/>
    </row>
    <row r="20271" spans="15:28">
      <c r="O20271" s="1"/>
      <c r="P20271" s="1"/>
      <c r="Q20271" s="1"/>
      <c r="R20271" s="1"/>
      <c r="Z20271" s="93"/>
      <c r="AA20271" s="93"/>
      <c r="AB20271" s="1"/>
    </row>
    <row r="20272" spans="15:28">
      <c r="O20272" s="1"/>
      <c r="P20272" s="1"/>
      <c r="Q20272" s="1"/>
      <c r="R20272" s="1"/>
      <c r="Z20272" s="93"/>
      <c r="AA20272" s="93"/>
      <c r="AB20272" s="1"/>
    </row>
    <row r="20273" spans="15:28">
      <c r="O20273" s="1"/>
      <c r="P20273" s="1"/>
      <c r="Q20273" s="1"/>
      <c r="R20273" s="1"/>
      <c r="Z20273" s="93"/>
      <c r="AA20273" s="93"/>
      <c r="AB20273" s="1"/>
    </row>
    <row r="20274" spans="15:28">
      <c r="O20274" s="1"/>
      <c r="P20274" s="1"/>
      <c r="Q20274" s="1"/>
      <c r="R20274" s="1"/>
      <c r="Z20274" s="93"/>
      <c r="AA20274" s="93"/>
      <c r="AB20274" s="1"/>
    </row>
    <row r="20275" spans="15:28">
      <c r="O20275" s="1"/>
      <c r="P20275" s="1"/>
      <c r="Q20275" s="1"/>
      <c r="R20275" s="1"/>
      <c r="Z20275" s="93"/>
      <c r="AA20275" s="93"/>
      <c r="AB20275" s="1"/>
    </row>
    <row r="20276" spans="15:28">
      <c r="O20276" s="1"/>
      <c r="P20276" s="1"/>
      <c r="Q20276" s="1"/>
      <c r="R20276" s="1"/>
      <c r="Z20276" s="93"/>
      <c r="AA20276" s="93"/>
      <c r="AB20276" s="1"/>
    </row>
    <row r="20277" spans="15:28">
      <c r="O20277" s="1"/>
      <c r="P20277" s="1"/>
      <c r="Q20277" s="1"/>
      <c r="R20277" s="1"/>
      <c r="Z20277" s="93"/>
      <c r="AA20277" s="93"/>
      <c r="AB20277" s="1"/>
    </row>
    <row r="20278" spans="15:28">
      <c r="O20278" s="1"/>
      <c r="P20278" s="1"/>
      <c r="Q20278" s="1"/>
      <c r="R20278" s="1"/>
      <c r="Z20278" s="93"/>
      <c r="AA20278" s="93"/>
      <c r="AB20278" s="1"/>
    </row>
    <row r="20279" spans="15:28">
      <c r="O20279" s="1"/>
      <c r="P20279" s="1"/>
      <c r="Q20279" s="1"/>
      <c r="R20279" s="1"/>
      <c r="Z20279" s="93"/>
      <c r="AA20279" s="93"/>
      <c r="AB20279" s="1"/>
    </row>
    <row r="20280" spans="15:28">
      <c r="O20280" s="1"/>
      <c r="P20280" s="1"/>
      <c r="Q20280" s="1"/>
      <c r="R20280" s="1"/>
      <c r="Z20280" s="93"/>
      <c r="AA20280" s="93"/>
      <c r="AB20280" s="1"/>
    </row>
    <row r="20281" spans="15:28">
      <c r="O20281" s="1"/>
      <c r="P20281" s="1"/>
      <c r="Q20281" s="1"/>
      <c r="R20281" s="1"/>
      <c r="Z20281" s="93"/>
      <c r="AA20281" s="93"/>
      <c r="AB20281" s="1"/>
    </row>
    <row r="20282" spans="15:28">
      <c r="O20282" s="1"/>
      <c r="P20282" s="1"/>
      <c r="Q20282" s="1"/>
      <c r="R20282" s="1"/>
      <c r="Z20282" s="93"/>
      <c r="AA20282" s="93"/>
      <c r="AB20282" s="1"/>
    </row>
    <row r="20283" spans="15:28">
      <c r="O20283" s="1"/>
      <c r="P20283" s="1"/>
      <c r="Q20283" s="1"/>
      <c r="R20283" s="1"/>
      <c r="Z20283" s="93"/>
      <c r="AA20283" s="93"/>
      <c r="AB20283" s="1"/>
    </row>
    <row r="20284" spans="15:28">
      <c r="O20284" s="1"/>
      <c r="P20284" s="1"/>
      <c r="Q20284" s="1"/>
      <c r="R20284" s="1"/>
      <c r="Z20284" s="93"/>
      <c r="AA20284" s="93"/>
      <c r="AB20284" s="1"/>
    </row>
    <row r="20285" spans="15:28">
      <c r="O20285" s="1"/>
      <c r="P20285" s="1"/>
      <c r="Q20285" s="1"/>
      <c r="R20285" s="1"/>
      <c r="Z20285" s="93"/>
      <c r="AA20285" s="93"/>
      <c r="AB20285" s="1"/>
    </row>
    <row r="20286" spans="15:28">
      <c r="O20286" s="1"/>
      <c r="P20286" s="1"/>
      <c r="Q20286" s="1"/>
      <c r="R20286" s="1"/>
      <c r="Z20286" s="93"/>
      <c r="AA20286" s="93"/>
      <c r="AB20286" s="1"/>
    </row>
    <row r="20287" spans="15:28">
      <c r="O20287" s="1"/>
      <c r="P20287" s="1"/>
      <c r="Q20287" s="1"/>
      <c r="R20287" s="1"/>
      <c r="Z20287" s="93"/>
      <c r="AA20287" s="93"/>
      <c r="AB20287" s="1"/>
    </row>
    <row r="20288" spans="15:28">
      <c r="O20288" s="1"/>
      <c r="P20288" s="1"/>
      <c r="Q20288" s="1"/>
      <c r="R20288" s="1"/>
      <c r="Z20288" s="93"/>
      <c r="AA20288" s="93"/>
      <c r="AB20288" s="1"/>
    </row>
    <row r="20289" spans="15:28">
      <c r="O20289" s="1"/>
      <c r="P20289" s="1"/>
      <c r="Q20289" s="1"/>
      <c r="R20289" s="1"/>
      <c r="Z20289" s="93"/>
      <c r="AA20289" s="93"/>
      <c r="AB20289" s="1"/>
    </row>
    <row r="20290" spans="15:28">
      <c r="O20290" s="1"/>
      <c r="P20290" s="1"/>
      <c r="Q20290" s="1"/>
      <c r="R20290" s="1"/>
      <c r="Z20290" s="93"/>
      <c r="AA20290" s="93"/>
      <c r="AB20290" s="1"/>
    </row>
    <row r="20291" spans="15:28">
      <c r="O20291" s="1"/>
      <c r="P20291" s="1"/>
      <c r="Q20291" s="1"/>
      <c r="R20291" s="1"/>
      <c r="Z20291" s="93"/>
      <c r="AA20291" s="93"/>
      <c r="AB20291" s="1"/>
    </row>
    <row r="20292" spans="15:28">
      <c r="O20292" s="1"/>
      <c r="P20292" s="1"/>
      <c r="Q20292" s="1"/>
      <c r="R20292" s="1"/>
      <c r="Z20292" s="93"/>
      <c r="AA20292" s="93"/>
      <c r="AB20292" s="1"/>
    </row>
    <row r="20293" spans="15:28">
      <c r="O20293" s="1"/>
      <c r="P20293" s="1"/>
      <c r="Q20293" s="1"/>
      <c r="R20293" s="1"/>
      <c r="Z20293" s="93"/>
      <c r="AA20293" s="93"/>
      <c r="AB20293" s="1"/>
    </row>
    <row r="20294" spans="15:28">
      <c r="O20294" s="1"/>
      <c r="P20294" s="1"/>
      <c r="Q20294" s="1"/>
      <c r="R20294" s="1"/>
      <c r="Z20294" s="93"/>
      <c r="AA20294" s="93"/>
      <c r="AB20294" s="1"/>
    </row>
    <row r="20295" spans="15:28">
      <c r="O20295" s="1"/>
      <c r="P20295" s="1"/>
      <c r="Q20295" s="1"/>
      <c r="R20295" s="1"/>
      <c r="Z20295" s="93"/>
      <c r="AA20295" s="93"/>
      <c r="AB20295" s="1"/>
    </row>
    <row r="20296" spans="15:28">
      <c r="O20296" s="1"/>
      <c r="P20296" s="1"/>
      <c r="Q20296" s="1"/>
      <c r="R20296" s="1"/>
      <c r="Z20296" s="93"/>
      <c r="AA20296" s="93"/>
      <c r="AB20296" s="1"/>
    </row>
    <row r="20297" spans="15:28">
      <c r="O20297" s="1"/>
      <c r="P20297" s="1"/>
      <c r="Q20297" s="1"/>
      <c r="R20297" s="1"/>
      <c r="Z20297" s="93"/>
      <c r="AA20297" s="93"/>
      <c r="AB20297" s="1"/>
    </row>
    <row r="20298" spans="15:28">
      <c r="O20298" s="1"/>
      <c r="P20298" s="1"/>
      <c r="Q20298" s="1"/>
      <c r="R20298" s="1"/>
      <c r="Z20298" s="93"/>
      <c r="AA20298" s="93"/>
      <c r="AB20298" s="1"/>
    </row>
    <row r="20299" spans="15:28">
      <c r="O20299" s="1"/>
      <c r="P20299" s="1"/>
      <c r="Q20299" s="1"/>
      <c r="R20299" s="1"/>
      <c r="Z20299" s="93"/>
      <c r="AA20299" s="93"/>
      <c r="AB20299" s="1"/>
    </row>
    <row r="20300" spans="15:28">
      <c r="O20300" s="1"/>
      <c r="P20300" s="1"/>
      <c r="Q20300" s="1"/>
      <c r="R20300" s="1"/>
      <c r="Z20300" s="93"/>
      <c r="AA20300" s="93"/>
      <c r="AB20300" s="1"/>
    </row>
    <row r="20301" spans="15:28">
      <c r="O20301" s="1"/>
      <c r="P20301" s="1"/>
      <c r="Q20301" s="1"/>
      <c r="R20301" s="1"/>
      <c r="Z20301" s="93"/>
      <c r="AA20301" s="93"/>
      <c r="AB20301" s="1"/>
    </row>
    <row r="20302" spans="15:28">
      <c r="O20302" s="1"/>
      <c r="P20302" s="1"/>
      <c r="Q20302" s="1"/>
      <c r="R20302" s="1"/>
      <c r="Z20302" s="93"/>
      <c r="AA20302" s="93"/>
      <c r="AB20302" s="1"/>
    </row>
    <row r="20303" spans="15:28">
      <c r="O20303" s="1"/>
      <c r="P20303" s="1"/>
      <c r="Q20303" s="1"/>
      <c r="R20303" s="1"/>
      <c r="Z20303" s="93"/>
      <c r="AA20303" s="93"/>
      <c r="AB20303" s="1"/>
    </row>
    <row r="20304" spans="15:28">
      <c r="O20304" s="1"/>
      <c r="P20304" s="1"/>
      <c r="Q20304" s="1"/>
      <c r="R20304" s="1"/>
      <c r="Z20304" s="93"/>
      <c r="AA20304" s="93"/>
      <c r="AB20304" s="1"/>
    </row>
    <row r="20305" spans="15:28">
      <c r="O20305" s="1"/>
      <c r="P20305" s="1"/>
      <c r="Q20305" s="1"/>
      <c r="R20305" s="1"/>
      <c r="Z20305" s="93"/>
      <c r="AA20305" s="93"/>
      <c r="AB20305" s="1"/>
    </row>
    <row r="20306" spans="15:28">
      <c r="O20306" s="1"/>
      <c r="P20306" s="1"/>
      <c r="Q20306" s="1"/>
      <c r="R20306" s="1"/>
      <c r="Z20306" s="93"/>
      <c r="AA20306" s="93"/>
      <c r="AB20306" s="1"/>
    </row>
    <row r="20307" spans="15:28">
      <c r="O20307" s="1"/>
      <c r="P20307" s="1"/>
      <c r="Q20307" s="1"/>
      <c r="R20307" s="1"/>
      <c r="Z20307" s="93"/>
      <c r="AA20307" s="93"/>
      <c r="AB20307" s="1"/>
    </row>
    <row r="20308" spans="15:28">
      <c r="O20308" s="1"/>
      <c r="P20308" s="1"/>
      <c r="Q20308" s="1"/>
      <c r="R20308" s="1"/>
      <c r="Z20308" s="93"/>
      <c r="AA20308" s="93"/>
      <c r="AB20308" s="1"/>
    </row>
    <row r="20309" spans="15:28">
      <c r="O20309" s="1"/>
      <c r="P20309" s="1"/>
      <c r="Q20309" s="1"/>
      <c r="R20309" s="1"/>
      <c r="Z20309" s="93"/>
      <c r="AA20309" s="93"/>
      <c r="AB20309" s="1"/>
    </row>
    <row r="20310" spans="15:28">
      <c r="O20310" s="1"/>
      <c r="P20310" s="1"/>
      <c r="Q20310" s="1"/>
      <c r="R20310" s="1"/>
      <c r="Z20310" s="93"/>
      <c r="AA20310" s="93"/>
      <c r="AB20310" s="1"/>
    </row>
    <row r="20311" spans="15:28">
      <c r="O20311" s="1"/>
      <c r="P20311" s="1"/>
      <c r="Q20311" s="1"/>
      <c r="R20311" s="1"/>
      <c r="Z20311" s="93"/>
      <c r="AA20311" s="93"/>
      <c r="AB20311" s="1"/>
    </row>
    <row r="20312" spans="15:28">
      <c r="O20312" s="1"/>
      <c r="P20312" s="1"/>
      <c r="Q20312" s="1"/>
      <c r="R20312" s="1"/>
      <c r="Z20312" s="93"/>
      <c r="AA20312" s="93"/>
      <c r="AB20312" s="1"/>
    </row>
    <row r="20313" spans="15:28">
      <c r="O20313" s="1"/>
      <c r="P20313" s="1"/>
      <c r="Q20313" s="1"/>
      <c r="R20313" s="1"/>
      <c r="Z20313" s="93"/>
      <c r="AA20313" s="93"/>
      <c r="AB20313" s="1"/>
    </row>
    <row r="20314" spans="15:28">
      <c r="O20314" s="1"/>
      <c r="P20314" s="1"/>
      <c r="Q20314" s="1"/>
      <c r="R20314" s="1"/>
      <c r="Z20314" s="93"/>
      <c r="AA20314" s="93"/>
      <c r="AB20314" s="1"/>
    </row>
    <row r="20315" spans="15:28">
      <c r="O20315" s="1"/>
      <c r="P20315" s="1"/>
      <c r="Q20315" s="1"/>
      <c r="R20315" s="1"/>
      <c r="Z20315" s="93"/>
      <c r="AA20315" s="93"/>
      <c r="AB20315" s="1"/>
    </row>
    <row r="20316" spans="15:28">
      <c r="O20316" s="1"/>
      <c r="P20316" s="1"/>
      <c r="Q20316" s="1"/>
      <c r="R20316" s="1"/>
      <c r="Z20316" s="93"/>
      <c r="AA20316" s="93"/>
      <c r="AB20316" s="1"/>
    </row>
    <row r="20317" spans="15:28">
      <c r="O20317" s="1"/>
      <c r="P20317" s="1"/>
      <c r="Q20317" s="1"/>
      <c r="R20317" s="1"/>
      <c r="Z20317" s="93"/>
      <c r="AA20317" s="93"/>
      <c r="AB20317" s="1"/>
    </row>
    <row r="20318" spans="15:28">
      <c r="O20318" s="1"/>
      <c r="P20318" s="1"/>
      <c r="Q20318" s="1"/>
      <c r="R20318" s="1"/>
      <c r="Z20318" s="93"/>
      <c r="AA20318" s="93"/>
      <c r="AB20318" s="1"/>
    </row>
    <row r="20319" spans="15:28">
      <c r="O20319" s="1"/>
      <c r="P20319" s="1"/>
      <c r="Q20319" s="1"/>
      <c r="R20319" s="1"/>
      <c r="Z20319" s="93"/>
      <c r="AA20319" s="93"/>
      <c r="AB20319" s="1"/>
    </row>
    <row r="20320" spans="15:28">
      <c r="O20320" s="1"/>
      <c r="P20320" s="1"/>
      <c r="Q20320" s="1"/>
      <c r="R20320" s="1"/>
      <c r="Z20320" s="93"/>
      <c r="AA20320" s="93"/>
      <c r="AB20320" s="1"/>
    </row>
    <row r="20321" spans="15:28">
      <c r="O20321" s="1"/>
      <c r="P20321" s="1"/>
      <c r="Q20321" s="1"/>
      <c r="R20321" s="1"/>
      <c r="Z20321" s="93"/>
      <c r="AA20321" s="93"/>
      <c r="AB20321" s="1"/>
    </row>
    <row r="20322" spans="15:28">
      <c r="O20322" s="1"/>
      <c r="P20322" s="1"/>
      <c r="Q20322" s="1"/>
      <c r="R20322" s="1"/>
      <c r="Z20322" s="93"/>
      <c r="AA20322" s="93"/>
      <c r="AB20322" s="1"/>
    </row>
    <row r="20323" spans="15:28">
      <c r="O20323" s="1"/>
      <c r="P20323" s="1"/>
      <c r="Q20323" s="1"/>
      <c r="R20323" s="1"/>
      <c r="Z20323" s="93"/>
      <c r="AA20323" s="93"/>
      <c r="AB20323" s="1"/>
    </row>
    <row r="20324" spans="15:28">
      <c r="O20324" s="1"/>
      <c r="P20324" s="1"/>
      <c r="Q20324" s="1"/>
      <c r="R20324" s="1"/>
      <c r="Z20324" s="93"/>
      <c r="AA20324" s="93"/>
      <c r="AB20324" s="1"/>
    </row>
    <row r="20325" spans="15:28">
      <c r="O20325" s="1"/>
      <c r="P20325" s="1"/>
      <c r="Q20325" s="1"/>
      <c r="R20325" s="1"/>
      <c r="Z20325" s="93"/>
      <c r="AA20325" s="93"/>
      <c r="AB20325" s="1"/>
    </row>
    <row r="20326" spans="15:28">
      <c r="O20326" s="1"/>
      <c r="P20326" s="1"/>
      <c r="Q20326" s="1"/>
      <c r="R20326" s="1"/>
      <c r="Z20326" s="93"/>
      <c r="AA20326" s="93"/>
      <c r="AB20326" s="1"/>
    </row>
    <row r="20327" spans="15:28">
      <c r="O20327" s="1"/>
      <c r="P20327" s="1"/>
      <c r="Q20327" s="1"/>
      <c r="R20327" s="1"/>
      <c r="Z20327" s="93"/>
      <c r="AA20327" s="93"/>
      <c r="AB20327" s="1"/>
    </row>
    <row r="20328" spans="15:28">
      <c r="O20328" s="1"/>
      <c r="P20328" s="1"/>
      <c r="Q20328" s="1"/>
      <c r="R20328" s="1"/>
      <c r="Z20328" s="93"/>
      <c r="AA20328" s="93"/>
      <c r="AB20328" s="1"/>
    </row>
    <row r="20329" spans="15:28">
      <c r="O20329" s="1"/>
      <c r="P20329" s="1"/>
      <c r="Q20329" s="1"/>
      <c r="R20329" s="1"/>
      <c r="Z20329" s="93"/>
      <c r="AA20329" s="93"/>
      <c r="AB20329" s="1"/>
    </row>
    <row r="20330" spans="15:28">
      <c r="O20330" s="1"/>
      <c r="P20330" s="1"/>
      <c r="Q20330" s="1"/>
      <c r="R20330" s="1"/>
      <c r="Z20330" s="93"/>
      <c r="AA20330" s="93"/>
      <c r="AB20330" s="1"/>
    </row>
    <row r="20331" spans="15:28">
      <c r="O20331" s="1"/>
      <c r="P20331" s="1"/>
      <c r="Q20331" s="1"/>
      <c r="R20331" s="1"/>
      <c r="Z20331" s="93"/>
      <c r="AA20331" s="93"/>
      <c r="AB20331" s="1"/>
    </row>
    <row r="20332" spans="15:28">
      <c r="O20332" s="1"/>
      <c r="P20332" s="1"/>
      <c r="Q20332" s="1"/>
      <c r="R20332" s="1"/>
      <c r="Z20332" s="93"/>
      <c r="AA20332" s="93"/>
      <c r="AB20332" s="1"/>
    </row>
    <row r="20333" spans="15:28">
      <c r="O20333" s="1"/>
      <c r="P20333" s="1"/>
      <c r="Q20333" s="1"/>
      <c r="R20333" s="1"/>
      <c r="Z20333" s="93"/>
      <c r="AA20333" s="93"/>
      <c r="AB20333" s="1"/>
    </row>
    <row r="20334" spans="15:28">
      <c r="O20334" s="1"/>
      <c r="P20334" s="1"/>
      <c r="Q20334" s="1"/>
      <c r="R20334" s="1"/>
      <c r="Z20334" s="93"/>
      <c r="AA20334" s="93"/>
      <c r="AB20334" s="1"/>
    </row>
    <row r="20335" spans="15:28">
      <c r="O20335" s="1"/>
      <c r="P20335" s="1"/>
      <c r="Q20335" s="1"/>
      <c r="R20335" s="1"/>
      <c r="Z20335" s="93"/>
      <c r="AA20335" s="93"/>
      <c r="AB20335" s="1"/>
    </row>
    <row r="20336" spans="15:28">
      <c r="O20336" s="1"/>
      <c r="P20336" s="1"/>
      <c r="Q20336" s="1"/>
      <c r="R20336" s="1"/>
      <c r="Z20336" s="93"/>
      <c r="AA20336" s="93"/>
      <c r="AB20336" s="1"/>
    </row>
    <row r="20337" spans="15:28">
      <c r="O20337" s="1"/>
      <c r="P20337" s="1"/>
      <c r="Q20337" s="1"/>
      <c r="R20337" s="1"/>
      <c r="Z20337" s="93"/>
      <c r="AA20337" s="93"/>
      <c r="AB20337" s="1"/>
    </row>
    <row r="20338" spans="15:28">
      <c r="O20338" s="1"/>
      <c r="P20338" s="1"/>
      <c r="Q20338" s="1"/>
      <c r="R20338" s="1"/>
      <c r="Z20338" s="93"/>
      <c r="AA20338" s="93"/>
      <c r="AB20338" s="1"/>
    </row>
    <row r="20339" spans="15:28">
      <c r="O20339" s="1"/>
      <c r="P20339" s="1"/>
      <c r="Q20339" s="1"/>
      <c r="R20339" s="1"/>
      <c r="Z20339" s="93"/>
      <c r="AA20339" s="93"/>
      <c r="AB20339" s="1"/>
    </row>
    <row r="20340" spans="15:28">
      <c r="O20340" s="1"/>
      <c r="P20340" s="1"/>
      <c r="Q20340" s="1"/>
      <c r="R20340" s="1"/>
      <c r="Z20340" s="93"/>
      <c r="AA20340" s="93"/>
      <c r="AB20340" s="1"/>
    </row>
    <row r="20341" spans="15:28">
      <c r="O20341" s="1"/>
      <c r="P20341" s="1"/>
      <c r="Q20341" s="1"/>
      <c r="R20341" s="1"/>
      <c r="Z20341" s="93"/>
      <c r="AA20341" s="93"/>
      <c r="AB20341" s="1"/>
    </row>
    <row r="20342" spans="15:28">
      <c r="O20342" s="1"/>
      <c r="P20342" s="1"/>
      <c r="Q20342" s="1"/>
      <c r="R20342" s="1"/>
      <c r="Z20342" s="93"/>
      <c r="AA20342" s="93"/>
      <c r="AB20342" s="1"/>
    </row>
    <row r="20343" spans="15:28">
      <c r="O20343" s="1"/>
      <c r="P20343" s="1"/>
      <c r="Q20343" s="1"/>
      <c r="R20343" s="1"/>
      <c r="Z20343" s="93"/>
      <c r="AA20343" s="93"/>
      <c r="AB20343" s="1"/>
    </row>
    <row r="20344" spans="15:28">
      <c r="O20344" s="1"/>
      <c r="P20344" s="1"/>
      <c r="Q20344" s="1"/>
      <c r="R20344" s="1"/>
      <c r="Z20344" s="93"/>
      <c r="AA20344" s="93"/>
      <c r="AB20344" s="1"/>
    </row>
    <row r="20345" spans="15:28">
      <c r="O20345" s="1"/>
      <c r="P20345" s="1"/>
      <c r="Q20345" s="1"/>
      <c r="R20345" s="1"/>
      <c r="Z20345" s="93"/>
      <c r="AA20345" s="93"/>
      <c r="AB20345" s="1"/>
    </row>
    <row r="20346" spans="15:28">
      <c r="O20346" s="1"/>
      <c r="P20346" s="1"/>
      <c r="Q20346" s="1"/>
      <c r="R20346" s="1"/>
      <c r="Z20346" s="93"/>
      <c r="AA20346" s="93"/>
      <c r="AB20346" s="1"/>
    </row>
    <row r="20347" spans="15:28">
      <c r="O20347" s="1"/>
      <c r="P20347" s="1"/>
      <c r="Q20347" s="1"/>
      <c r="R20347" s="1"/>
      <c r="Z20347" s="93"/>
      <c r="AA20347" s="93"/>
      <c r="AB20347" s="1"/>
    </row>
    <row r="20348" spans="15:28">
      <c r="O20348" s="1"/>
      <c r="P20348" s="1"/>
      <c r="Q20348" s="1"/>
      <c r="R20348" s="1"/>
      <c r="Z20348" s="93"/>
      <c r="AA20348" s="93"/>
      <c r="AB20348" s="1"/>
    </row>
    <row r="20349" spans="15:28">
      <c r="O20349" s="1"/>
      <c r="P20349" s="1"/>
      <c r="Q20349" s="1"/>
      <c r="R20349" s="1"/>
      <c r="Z20349" s="93"/>
      <c r="AA20349" s="93"/>
      <c r="AB20349" s="1"/>
    </row>
    <row r="20350" spans="15:28">
      <c r="O20350" s="1"/>
      <c r="P20350" s="1"/>
      <c r="Q20350" s="1"/>
      <c r="R20350" s="1"/>
      <c r="Z20350" s="93"/>
      <c r="AA20350" s="93"/>
      <c r="AB20350" s="1"/>
    </row>
    <row r="20351" spans="15:28">
      <c r="O20351" s="1"/>
      <c r="P20351" s="1"/>
      <c r="Q20351" s="1"/>
      <c r="R20351" s="1"/>
      <c r="Z20351" s="93"/>
      <c r="AA20351" s="93"/>
      <c r="AB20351" s="1"/>
    </row>
    <row r="20352" spans="15:28">
      <c r="O20352" s="1"/>
      <c r="P20352" s="1"/>
      <c r="Q20352" s="1"/>
      <c r="R20352" s="1"/>
      <c r="Z20352" s="93"/>
      <c r="AA20352" s="93"/>
      <c r="AB20352" s="1"/>
    </row>
    <row r="20353" spans="15:28">
      <c r="O20353" s="1"/>
      <c r="P20353" s="1"/>
      <c r="Q20353" s="1"/>
      <c r="R20353" s="1"/>
      <c r="Z20353" s="93"/>
      <c r="AA20353" s="93"/>
      <c r="AB20353" s="1"/>
    </row>
    <row r="20354" spans="15:28">
      <c r="O20354" s="1"/>
      <c r="P20354" s="1"/>
      <c r="Q20354" s="1"/>
      <c r="R20354" s="1"/>
      <c r="Z20354" s="93"/>
      <c r="AA20354" s="93"/>
      <c r="AB20354" s="1"/>
    </row>
    <row r="20355" spans="15:28">
      <c r="O20355" s="1"/>
      <c r="P20355" s="1"/>
      <c r="Q20355" s="1"/>
      <c r="R20355" s="1"/>
      <c r="Z20355" s="93"/>
      <c r="AA20355" s="93"/>
      <c r="AB20355" s="1"/>
    </row>
    <row r="20356" spans="15:28">
      <c r="O20356" s="1"/>
      <c r="P20356" s="1"/>
      <c r="Q20356" s="1"/>
      <c r="R20356" s="1"/>
      <c r="Z20356" s="93"/>
      <c r="AA20356" s="93"/>
      <c r="AB20356" s="1"/>
    </row>
    <row r="20357" spans="15:28">
      <c r="O20357" s="1"/>
      <c r="P20357" s="1"/>
      <c r="Q20357" s="1"/>
      <c r="R20357" s="1"/>
      <c r="Z20357" s="93"/>
      <c r="AA20357" s="93"/>
      <c r="AB20357" s="1"/>
    </row>
    <row r="20358" spans="15:28">
      <c r="O20358" s="1"/>
      <c r="P20358" s="1"/>
      <c r="Q20358" s="1"/>
      <c r="R20358" s="1"/>
      <c r="Z20358" s="93"/>
      <c r="AA20358" s="93"/>
      <c r="AB20358" s="1"/>
    </row>
    <row r="20359" spans="15:28">
      <c r="O20359" s="1"/>
      <c r="P20359" s="1"/>
      <c r="Q20359" s="1"/>
      <c r="R20359" s="1"/>
      <c r="Z20359" s="93"/>
      <c r="AA20359" s="93"/>
      <c r="AB20359" s="1"/>
    </row>
    <row r="20360" spans="15:28">
      <c r="O20360" s="1"/>
      <c r="P20360" s="1"/>
      <c r="Q20360" s="1"/>
      <c r="R20360" s="1"/>
      <c r="Z20360" s="93"/>
      <c r="AA20360" s="93"/>
      <c r="AB20360" s="1"/>
    </row>
    <row r="20361" spans="15:28">
      <c r="O20361" s="1"/>
      <c r="P20361" s="1"/>
      <c r="Q20361" s="1"/>
      <c r="R20361" s="1"/>
      <c r="Z20361" s="93"/>
      <c r="AA20361" s="93"/>
      <c r="AB20361" s="1"/>
    </row>
    <row r="20362" spans="15:28">
      <c r="O20362" s="1"/>
      <c r="P20362" s="1"/>
      <c r="Q20362" s="1"/>
      <c r="R20362" s="1"/>
      <c r="Z20362" s="93"/>
      <c r="AA20362" s="93"/>
      <c r="AB20362" s="1"/>
    </row>
    <row r="20363" spans="15:28">
      <c r="O20363" s="1"/>
      <c r="P20363" s="1"/>
      <c r="Q20363" s="1"/>
      <c r="R20363" s="1"/>
      <c r="Z20363" s="93"/>
      <c r="AA20363" s="93"/>
      <c r="AB20363" s="1"/>
    </row>
    <row r="20364" spans="15:28">
      <c r="O20364" s="1"/>
      <c r="P20364" s="1"/>
      <c r="Q20364" s="1"/>
      <c r="R20364" s="1"/>
      <c r="Z20364" s="93"/>
      <c r="AA20364" s="93"/>
      <c r="AB20364" s="1"/>
    </row>
    <row r="20365" spans="15:28">
      <c r="O20365" s="1"/>
      <c r="P20365" s="1"/>
      <c r="Q20365" s="1"/>
      <c r="R20365" s="1"/>
      <c r="Z20365" s="93"/>
      <c r="AA20365" s="93"/>
      <c r="AB20365" s="1"/>
    </row>
    <row r="20366" spans="15:28">
      <c r="O20366" s="1"/>
      <c r="P20366" s="1"/>
      <c r="Q20366" s="1"/>
      <c r="R20366" s="1"/>
      <c r="Z20366" s="93"/>
      <c r="AA20366" s="93"/>
      <c r="AB20366" s="1"/>
    </row>
    <row r="20367" spans="15:28">
      <c r="O20367" s="1"/>
      <c r="P20367" s="1"/>
      <c r="Q20367" s="1"/>
      <c r="R20367" s="1"/>
      <c r="Z20367" s="93"/>
      <c r="AA20367" s="93"/>
      <c r="AB20367" s="1"/>
    </row>
    <row r="20368" spans="15:28">
      <c r="O20368" s="1"/>
      <c r="P20368" s="1"/>
      <c r="Q20368" s="1"/>
      <c r="R20368" s="1"/>
      <c r="Z20368" s="93"/>
      <c r="AA20368" s="93"/>
      <c r="AB20368" s="1"/>
    </row>
    <row r="20369" spans="15:28">
      <c r="O20369" s="1"/>
      <c r="P20369" s="1"/>
      <c r="Q20369" s="1"/>
      <c r="R20369" s="1"/>
      <c r="Z20369" s="93"/>
      <c r="AA20369" s="93"/>
      <c r="AB20369" s="1"/>
    </row>
    <row r="20370" spans="15:28">
      <c r="O20370" s="1"/>
      <c r="P20370" s="1"/>
      <c r="Q20370" s="1"/>
      <c r="R20370" s="1"/>
      <c r="Z20370" s="93"/>
      <c r="AA20370" s="93"/>
      <c r="AB20370" s="1"/>
    </row>
    <row r="20371" spans="15:28">
      <c r="O20371" s="1"/>
      <c r="P20371" s="1"/>
      <c r="Q20371" s="1"/>
      <c r="R20371" s="1"/>
      <c r="Z20371" s="93"/>
      <c r="AA20371" s="93"/>
      <c r="AB20371" s="1"/>
    </row>
    <row r="20372" spans="15:28">
      <c r="O20372" s="1"/>
      <c r="P20372" s="1"/>
      <c r="Q20372" s="1"/>
      <c r="R20372" s="1"/>
      <c r="Z20372" s="93"/>
      <c r="AA20372" s="93"/>
      <c r="AB20372" s="1"/>
    </row>
    <row r="20373" spans="15:28">
      <c r="O20373" s="1"/>
      <c r="P20373" s="1"/>
      <c r="Q20373" s="1"/>
      <c r="R20373" s="1"/>
      <c r="Z20373" s="93"/>
      <c r="AA20373" s="93"/>
      <c r="AB20373" s="1"/>
    </row>
    <row r="20374" spans="15:28">
      <c r="O20374" s="1"/>
      <c r="P20374" s="1"/>
      <c r="Q20374" s="1"/>
      <c r="R20374" s="1"/>
      <c r="Z20374" s="93"/>
      <c r="AA20374" s="93"/>
      <c r="AB20374" s="1"/>
    </row>
    <row r="20375" spans="15:28">
      <c r="O20375" s="1"/>
      <c r="P20375" s="1"/>
      <c r="Q20375" s="1"/>
      <c r="R20375" s="1"/>
      <c r="Z20375" s="93"/>
      <c r="AA20375" s="93"/>
      <c r="AB20375" s="1"/>
    </row>
    <row r="20376" spans="15:28">
      <c r="O20376" s="1"/>
      <c r="P20376" s="1"/>
      <c r="Q20376" s="1"/>
      <c r="R20376" s="1"/>
      <c r="Z20376" s="93"/>
      <c r="AA20376" s="93"/>
      <c r="AB20376" s="1"/>
    </row>
    <row r="20377" spans="15:28">
      <c r="O20377" s="1"/>
      <c r="P20377" s="1"/>
      <c r="Q20377" s="1"/>
      <c r="R20377" s="1"/>
      <c r="Z20377" s="93"/>
      <c r="AA20377" s="93"/>
      <c r="AB20377" s="1"/>
    </row>
    <row r="20378" spans="15:28">
      <c r="O20378" s="1"/>
      <c r="P20378" s="1"/>
      <c r="Q20378" s="1"/>
      <c r="R20378" s="1"/>
      <c r="Z20378" s="93"/>
      <c r="AA20378" s="93"/>
      <c r="AB20378" s="1"/>
    </row>
    <row r="20379" spans="15:28">
      <c r="O20379" s="1"/>
      <c r="P20379" s="1"/>
      <c r="Q20379" s="1"/>
      <c r="R20379" s="1"/>
      <c r="Z20379" s="93"/>
      <c r="AA20379" s="93"/>
      <c r="AB20379" s="1"/>
    </row>
    <row r="20380" spans="15:28">
      <c r="O20380" s="1"/>
      <c r="P20380" s="1"/>
      <c r="Q20380" s="1"/>
      <c r="R20380" s="1"/>
      <c r="Z20380" s="93"/>
      <c r="AA20380" s="93"/>
      <c r="AB20380" s="1"/>
    </row>
    <row r="20381" spans="15:28">
      <c r="O20381" s="1"/>
      <c r="P20381" s="1"/>
      <c r="Q20381" s="1"/>
      <c r="R20381" s="1"/>
      <c r="Z20381" s="93"/>
      <c r="AA20381" s="93"/>
      <c r="AB20381" s="1"/>
    </row>
    <row r="20382" spans="15:28">
      <c r="O20382" s="1"/>
      <c r="P20382" s="1"/>
      <c r="Q20382" s="1"/>
      <c r="R20382" s="1"/>
      <c r="Z20382" s="93"/>
      <c r="AA20382" s="93"/>
      <c r="AB20382" s="1"/>
    </row>
    <row r="20383" spans="15:28">
      <c r="O20383" s="1"/>
      <c r="P20383" s="1"/>
      <c r="Q20383" s="1"/>
      <c r="R20383" s="1"/>
      <c r="Z20383" s="93"/>
      <c r="AA20383" s="93"/>
      <c r="AB20383" s="1"/>
    </row>
    <row r="20384" spans="15:28">
      <c r="O20384" s="1"/>
      <c r="P20384" s="1"/>
      <c r="Q20384" s="1"/>
      <c r="R20384" s="1"/>
      <c r="Z20384" s="93"/>
      <c r="AA20384" s="93"/>
      <c r="AB20384" s="1"/>
    </row>
    <row r="20385" spans="15:28">
      <c r="O20385" s="1"/>
      <c r="P20385" s="1"/>
      <c r="Q20385" s="1"/>
      <c r="R20385" s="1"/>
      <c r="Z20385" s="93"/>
      <c r="AA20385" s="93"/>
      <c r="AB20385" s="1"/>
    </row>
    <row r="20386" spans="15:28">
      <c r="O20386" s="1"/>
      <c r="P20386" s="1"/>
      <c r="Q20386" s="1"/>
      <c r="R20386" s="1"/>
      <c r="Z20386" s="93"/>
      <c r="AA20386" s="93"/>
      <c r="AB20386" s="1"/>
    </row>
    <row r="20387" spans="15:28">
      <c r="O20387" s="1"/>
      <c r="P20387" s="1"/>
      <c r="Q20387" s="1"/>
      <c r="R20387" s="1"/>
      <c r="Z20387" s="93"/>
      <c r="AA20387" s="93"/>
      <c r="AB20387" s="1"/>
    </row>
    <row r="20388" spans="15:28">
      <c r="O20388" s="1"/>
      <c r="P20388" s="1"/>
      <c r="Q20388" s="1"/>
      <c r="R20388" s="1"/>
      <c r="Z20388" s="93"/>
      <c r="AA20388" s="93"/>
      <c r="AB20388" s="1"/>
    </row>
    <row r="20389" spans="15:28">
      <c r="O20389" s="1"/>
      <c r="P20389" s="1"/>
      <c r="Q20389" s="1"/>
      <c r="R20389" s="1"/>
      <c r="Z20389" s="93"/>
      <c r="AA20389" s="93"/>
      <c r="AB20389" s="1"/>
    </row>
    <row r="20390" spans="15:28">
      <c r="O20390" s="1"/>
      <c r="P20390" s="1"/>
      <c r="Q20390" s="1"/>
      <c r="R20390" s="1"/>
      <c r="Z20390" s="93"/>
      <c r="AA20390" s="93"/>
      <c r="AB20390" s="1"/>
    </row>
    <row r="20391" spans="15:28">
      <c r="O20391" s="1"/>
      <c r="P20391" s="1"/>
      <c r="Q20391" s="1"/>
      <c r="R20391" s="1"/>
      <c r="Z20391" s="93"/>
      <c r="AA20391" s="93"/>
      <c r="AB20391" s="1"/>
    </row>
    <row r="20392" spans="15:28">
      <c r="O20392" s="1"/>
      <c r="P20392" s="1"/>
      <c r="Q20392" s="1"/>
      <c r="R20392" s="1"/>
      <c r="Z20392" s="93"/>
      <c r="AA20392" s="93"/>
      <c r="AB20392" s="1"/>
    </row>
    <row r="20393" spans="15:28">
      <c r="O20393" s="1"/>
      <c r="P20393" s="1"/>
      <c r="Q20393" s="1"/>
      <c r="R20393" s="1"/>
      <c r="Z20393" s="93"/>
      <c r="AA20393" s="93"/>
      <c r="AB20393" s="1"/>
    </row>
    <row r="20394" spans="15:28">
      <c r="O20394" s="1"/>
      <c r="P20394" s="1"/>
      <c r="Q20394" s="1"/>
      <c r="R20394" s="1"/>
      <c r="Z20394" s="93"/>
      <c r="AA20394" s="93"/>
      <c r="AB20394" s="1"/>
    </row>
    <row r="20395" spans="15:28">
      <c r="O20395" s="1"/>
      <c r="P20395" s="1"/>
      <c r="Q20395" s="1"/>
      <c r="R20395" s="1"/>
      <c r="Z20395" s="93"/>
      <c r="AA20395" s="93"/>
      <c r="AB20395" s="1"/>
    </row>
    <row r="20396" spans="15:28">
      <c r="O20396" s="1"/>
      <c r="P20396" s="1"/>
      <c r="Q20396" s="1"/>
      <c r="R20396" s="1"/>
      <c r="Z20396" s="93"/>
      <c r="AA20396" s="93"/>
      <c r="AB20396" s="1"/>
    </row>
    <row r="20397" spans="15:28">
      <c r="O20397" s="1"/>
      <c r="P20397" s="1"/>
      <c r="Q20397" s="1"/>
      <c r="R20397" s="1"/>
      <c r="Z20397" s="93"/>
      <c r="AA20397" s="93"/>
      <c r="AB20397" s="1"/>
    </row>
    <row r="20398" spans="15:28">
      <c r="O20398" s="1"/>
      <c r="P20398" s="1"/>
      <c r="Q20398" s="1"/>
      <c r="R20398" s="1"/>
      <c r="Z20398" s="93"/>
      <c r="AA20398" s="93"/>
      <c r="AB20398" s="1"/>
    </row>
    <row r="20399" spans="15:28">
      <c r="O20399" s="1"/>
      <c r="P20399" s="1"/>
      <c r="Q20399" s="1"/>
      <c r="R20399" s="1"/>
      <c r="Z20399" s="93"/>
      <c r="AA20399" s="93"/>
      <c r="AB20399" s="1"/>
    </row>
    <row r="20400" spans="15:28">
      <c r="O20400" s="1"/>
      <c r="P20400" s="1"/>
      <c r="Q20400" s="1"/>
      <c r="R20400" s="1"/>
      <c r="Z20400" s="93"/>
      <c r="AA20400" s="93"/>
      <c r="AB20400" s="1"/>
    </row>
    <row r="20401" spans="15:28">
      <c r="O20401" s="1"/>
      <c r="P20401" s="1"/>
      <c r="Q20401" s="1"/>
      <c r="R20401" s="1"/>
      <c r="Z20401" s="93"/>
      <c r="AA20401" s="93"/>
      <c r="AB20401" s="1"/>
    </row>
    <row r="20402" spans="15:28">
      <c r="O20402" s="1"/>
      <c r="P20402" s="1"/>
      <c r="Q20402" s="1"/>
      <c r="R20402" s="1"/>
      <c r="Z20402" s="93"/>
      <c r="AA20402" s="93"/>
      <c r="AB20402" s="1"/>
    </row>
    <row r="20403" spans="15:28">
      <c r="O20403" s="1"/>
      <c r="P20403" s="1"/>
      <c r="Q20403" s="1"/>
      <c r="R20403" s="1"/>
      <c r="Z20403" s="93"/>
      <c r="AA20403" s="93"/>
      <c r="AB20403" s="1"/>
    </row>
    <row r="20404" spans="15:28">
      <c r="O20404" s="1"/>
      <c r="P20404" s="1"/>
      <c r="Q20404" s="1"/>
      <c r="R20404" s="1"/>
      <c r="Z20404" s="93"/>
      <c r="AA20404" s="93"/>
      <c r="AB20404" s="1"/>
    </row>
    <row r="20405" spans="15:28">
      <c r="O20405" s="1"/>
      <c r="P20405" s="1"/>
      <c r="Q20405" s="1"/>
      <c r="R20405" s="1"/>
      <c r="Z20405" s="93"/>
      <c r="AA20405" s="93"/>
      <c r="AB20405" s="1"/>
    </row>
    <row r="20406" spans="15:28">
      <c r="O20406" s="1"/>
      <c r="P20406" s="1"/>
      <c r="Q20406" s="1"/>
      <c r="R20406" s="1"/>
      <c r="Z20406" s="93"/>
      <c r="AA20406" s="93"/>
      <c r="AB20406" s="1"/>
    </row>
    <row r="20407" spans="15:28">
      <c r="O20407" s="1"/>
      <c r="P20407" s="1"/>
      <c r="Q20407" s="1"/>
      <c r="R20407" s="1"/>
      <c r="Z20407" s="93"/>
      <c r="AA20407" s="93"/>
      <c r="AB20407" s="1"/>
    </row>
    <row r="20408" spans="15:28">
      <c r="O20408" s="1"/>
      <c r="P20408" s="1"/>
      <c r="Q20408" s="1"/>
      <c r="R20408" s="1"/>
      <c r="Z20408" s="93"/>
      <c r="AA20408" s="93"/>
      <c r="AB20408" s="1"/>
    </row>
    <row r="20409" spans="15:28">
      <c r="O20409" s="1"/>
      <c r="P20409" s="1"/>
      <c r="Q20409" s="1"/>
      <c r="R20409" s="1"/>
      <c r="Z20409" s="93"/>
      <c r="AA20409" s="93"/>
      <c r="AB20409" s="1"/>
    </row>
    <row r="20410" spans="15:28">
      <c r="O20410" s="1"/>
      <c r="P20410" s="1"/>
      <c r="Q20410" s="1"/>
      <c r="R20410" s="1"/>
      <c r="Z20410" s="93"/>
      <c r="AA20410" s="93"/>
      <c r="AB20410" s="1"/>
    </row>
    <row r="20411" spans="15:28">
      <c r="O20411" s="1"/>
      <c r="P20411" s="1"/>
      <c r="Q20411" s="1"/>
      <c r="R20411" s="1"/>
      <c r="Z20411" s="93"/>
      <c r="AA20411" s="93"/>
      <c r="AB20411" s="1"/>
    </row>
    <row r="20412" spans="15:28">
      <c r="O20412" s="1"/>
      <c r="P20412" s="1"/>
      <c r="Q20412" s="1"/>
      <c r="R20412" s="1"/>
      <c r="Z20412" s="93"/>
      <c r="AA20412" s="93"/>
      <c r="AB20412" s="1"/>
    </row>
    <row r="20413" spans="15:28">
      <c r="O20413" s="1"/>
      <c r="P20413" s="1"/>
      <c r="Q20413" s="1"/>
      <c r="R20413" s="1"/>
      <c r="Z20413" s="93"/>
      <c r="AA20413" s="93"/>
      <c r="AB20413" s="1"/>
    </row>
    <row r="20414" spans="15:28">
      <c r="O20414" s="1"/>
      <c r="P20414" s="1"/>
      <c r="Q20414" s="1"/>
      <c r="R20414" s="1"/>
      <c r="Z20414" s="93"/>
      <c r="AA20414" s="93"/>
      <c r="AB20414" s="1"/>
    </row>
    <row r="20415" spans="15:28">
      <c r="O20415" s="1"/>
      <c r="P20415" s="1"/>
      <c r="Q20415" s="1"/>
      <c r="R20415" s="1"/>
      <c r="Z20415" s="93"/>
      <c r="AA20415" s="93"/>
      <c r="AB20415" s="1"/>
    </row>
    <row r="20416" spans="15:28">
      <c r="O20416" s="1"/>
      <c r="P20416" s="1"/>
      <c r="Q20416" s="1"/>
      <c r="R20416" s="1"/>
      <c r="Z20416" s="93"/>
      <c r="AA20416" s="93"/>
      <c r="AB20416" s="1"/>
    </row>
    <row r="20417" spans="15:28">
      <c r="O20417" s="1"/>
      <c r="P20417" s="1"/>
      <c r="Q20417" s="1"/>
      <c r="R20417" s="1"/>
      <c r="Z20417" s="93"/>
      <c r="AA20417" s="93"/>
      <c r="AB20417" s="1"/>
    </row>
    <row r="20418" spans="15:28">
      <c r="O20418" s="1"/>
      <c r="P20418" s="1"/>
      <c r="Q20418" s="1"/>
      <c r="R20418" s="1"/>
      <c r="Z20418" s="93"/>
      <c r="AA20418" s="93"/>
      <c r="AB20418" s="1"/>
    </row>
    <row r="20419" spans="15:28">
      <c r="O20419" s="1"/>
      <c r="P20419" s="1"/>
      <c r="Q20419" s="1"/>
      <c r="R20419" s="1"/>
      <c r="Z20419" s="93"/>
      <c r="AA20419" s="93"/>
      <c r="AB20419" s="1"/>
    </row>
    <row r="20420" spans="15:28">
      <c r="O20420" s="1"/>
      <c r="P20420" s="1"/>
      <c r="Q20420" s="1"/>
      <c r="R20420" s="1"/>
      <c r="Z20420" s="93"/>
      <c r="AA20420" s="93"/>
      <c r="AB20420" s="1"/>
    </row>
    <row r="20421" spans="15:28">
      <c r="O20421" s="1"/>
      <c r="P20421" s="1"/>
      <c r="Q20421" s="1"/>
      <c r="R20421" s="1"/>
      <c r="Z20421" s="93"/>
      <c r="AA20421" s="93"/>
      <c r="AB20421" s="1"/>
    </row>
    <row r="20422" spans="15:28">
      <c r="O20422" s="1"/>
      <c r="P20422" s="1"/>
      <c r="Q20422" s="1"/>
      <c r="R20422" s="1"/>
      <c r="Z20422" s="93"/>
      <c r="AA20422" s="93"/>
      <c r="AB20422" s="1"/>
    </row>
    <row r="20423" spans="15:28">
      <c r="O20423" s="1"/>
      <c r="P20423" s="1"/>
      <c r="Q20423" s="1"/>
      <c r="R20423" s="1"/>
      <c r="Z20423" s="93"/>
      <c r="AA20423" s="93"/>
      <c r="AB20423" s="1"/>
    </row>
    <row r="20424" spans="15:28">
      <c r="O20424" s="1"/>
      <c r="P20424" s="1"/>
      <c r="Q20424" s="1"/>
      <c r="R20424" s="1"/>
      <c r="Z20424" s="93"/>
      <c r="AA20424" s="93"/>
      <c r="AB20424" s="1"/>
    </row>
    <row r="20425" spans="15:28">
      <c r="O20425" s="1"/>
      <c r="P20425" s="1"/>
      <c r="Q20425" s="1"/>
      <c r="R20425" s="1"/>
      <c r="Z20425" s="93"/>
      <c r="AA20425" s="93"/>
      <c r="AB20425" s="1"/>
    </row>
    <row r="20426" spans="15:28">
      <c r="O20426" s="1"/>
      <c r="P20426" s="1"/>
      <c r="Q20426" s="1"/>
      <c r="R20426" s="1"/>
      <c r="Z20426" s="93"/>
      <c r="AA20426" s="93"/>
      <c r="AB20426" s="1"/>
    </row>
    <row r="20427" spans="15:28">
      <c r="O20427" s="1"/>
      <c r="P20427" s="1"/>
      <c r="Q20427" s="1"/>
      <c r="R20427" s="1"/>
      <c r="Z20427" s="93"/>
      <c r="AA20427" s="93"/>
      <c r="AB20427" s="1"/>
    </row>
    <row r="20428" spans="15:28">
      <c r="O20428" s="1"/>
      <c r="P20428" s="1"/>
      <c r="Q20428" s="1"/>
      <c r="R20428" s="1"/>
      <c r="Z20428" s="93"/>
      <c r="AA20428" s="93"/>
      <c r="AB20428" s="1"/>
    </row>
    <row r="20429" spans="15:28">
      <c r="O20429" s="1"/>
      <c r="P20429" s="1"/>
      <c r="Q20429" s="1"/>
      <c r="R20429" s="1"/>
      <c r="Z20429" s="93"/>
      <c r="AA20429" s="93"/>
      <c r="AB20429" s="1"/>
    </row>
    <row r="20430" spans="15:28">
      <c r="O20430" s="1"/>
      <c r="P20430" s="1"/>
      <c r="Q20430" s="1"/>
      <c r="R20430" s="1"/>
      <c r="Z20430" s="93"/>
      <c r="AA20430" s="93"/>
      <c r="AB20430" s="1"/>
    </row>
    <row r="20431" spans="15:28">
      <c r="O20431" s="1"/>
      <c r="P20431" s="1"/>
      <c r="Q20431" s="1"/>
      <c r="R20431" s="1"/>
      <c r="Z20431" s="93"/>
      <c r="AA20431" s="93"/>
      <c r="AB20431" s="1"/>
    </row>
    <row r="20432" spans="15:28">
      <c r="O20432" s="1"/>
      <c r="P20432" s="1"/>
      <c r="Q20432" s="1"/>
      <c r="R20432" s="1"/>
      <c r="Z20432" s="93"/>
      <c r="AA20432" s="93"/>
      <c r="AB20432" s="1"/>
    </row>
    <row r="20433" spans="15:28">
      <c r="O20433" s="1"/>
      <c r="P20433" s="1"/>
      <c r="Q20433" s="1"/>
      <c r="R20433" s="1"/>
      <c r="Z20433" s="93"/>
      <c r="AA20433" s="93"/>
      <c r="AB20433" s="1"/>
    </row>
    <row r="20434" spans="15:28">
      <c r="O20434" s="1"/>
      <c r="P20434" s="1"/>
      <c r="Q20434" s="1"/>
      <c r="R20434" s="1"/>
      <c r="Z20434" s="93"/>
      <c r="AA20434" s="93"/>
      <c r="AB20434" s="1"/>
    </row>
    <row r="20435" spans="15:28">
      <c r="O20435" s="1"/>
      <c r="P20435" s="1"/>
      <c r="Q20435" s="1"/>
      <c r="R20435" s="1"/>
      <c r="Z20435" s="93"/>
      <c r="AA20435" s="93"/>
      <c r="AB20435" s="1"/>
    </row>
    <row r="20436" spans="15:28">
      <c r="O20436" s="1"/>
      <c r="P20436" s="1"/>
      <c r="Q20436" s="1"/>
      <c r="R20436" s="1"/>
      <c r="Z20436" s="93"/>
      <c r="AA20436" s="93"/>
      <c r="AB20436" s="1"/>
    </row>
    <row r="20437" spans="15:28">
      <c r="O20437" s="1"/>
      <c r="P20437" s="1"/>
      <c r="Q20437" s="1"/>
      <c r="R20437" s="1"/>
      <c r="Z20437" s="93"/>
      <c r="AA20437" s="93"/>
      <c r="AB20437" s="1"/>
    </row>
    <row r="20438" spans="15:28">
      <c r="O20438" s="1"/>
      <c r="P20438" s="1"/>
      <c r="Q20438" s="1"/>
      <c r="R20438" s="1"/>
      <c r="Z20438" s="93"/>
      <c r="AA20438" s="93"/>
      <c r="AB20438" s="1"/>
    </row>
    <row r="20439" spans="15:28">
      <c r="O20439" s="1"/>
      <c r="P20439" s="1"/>
      <c r="Q20439" s="1"/>
      <c r="R20439" s="1"/>
      <c r="Z20439" s="93"/>
      <c r="AA20439" s="93"/>
      <c r="AB20439" s="1"/>
    </row>
    <row r="20440" spans="15:28">
      <c r="O20440" s="1"/>
      <c r="P20440" s="1"/>
      <c r="Q20440" s="1"/>
      <c r="R20440" s="1"/>
      <c r="Z20440" s="93"/>
      <c r="AA20440" s="93"/>
      <c r="AB20440" s="1"/>
    </row>
    <row r="20441" spans="15:28">
      <c r="O20441" s="1"/>
      <c r="P20441" s="1"/>
      <c r="Q20441" s="1"/>
      <c r="R20441" s="1"/>
      <c r="Z20441" s="93"/>
      <c r="AA20441" s="93"/>
      <c r="AB20441" s="1"/>
    </row>
    <row r="20442" spans="15:28">
      <c r="O20442" s="1"/>
      <c r="P20442" s="1"/>
      <c r="Q20442" s="1"/>
      <c r="R20442" s="1"/>
      <c r="Z20442" s="93"/>
      <c r="AA20442" s="93"/>
      <c r="AB20442" s="1"/>
    </row>
    <row r="20443" spans="15:28">
      <c r="O20443" s="1"/>
      <c r="P20443" s="1"/>
      <c r="Q20443" s="1"/>
      <c r="R20443" s="1"/>
      <c r="Z20443" s="93"/>
      <c r="AA20443" s="93"/>
      <c r="AB20443" s="1"/>
    </row>
    <row r="20444" spans="15:28">
      <c r="O20444" s="1"/>
      <c r="P20444" s="1"/>
      <c r="Q20444" s="1"/>
      <c r="R20444" s="1"/>
      <c r="Z20444" s="93"/>
      <c r="AA20444" s="93"/>
      <c r="AB20444" s="1"/>
    </row>
    <row r="20445" spans="15:28">
      <c r="O20445" s="1"/>
      <c r="P20445" s="1"/>
      <c r="Q20445" s="1"/>
      <c r="R20445" s="1"/>
      <c r="Z20445" s="93"/>
      <c r="AA20445" s="93"/>
      <c r="AB20445" s="1"/>
    </row>
    <row r="20446" spans="15:28">
      <c r="O20446" s="1"/>
      <c r="P20446" s="1"/>
      <c r="Q20446" s="1"/>
      <c r="R20446" s="1"/>
      <c r="Z20446" s="93"/>
      <c r="AA20446" s="93"/>
      <c r="AB20446" s="1"/>
    </row>
    <row r="20447" spans="15:28">
      <c r="O20447" s="1"/>
      <c r="P20447" s="1"/>
      <c r="Q20447" s="1"/>
      <c r="R20447" s="1"/>
      <c r="Z20447" s="93"/>
      <c r="AA20447" s="93"/>
      <c r="AB20447" s="1"/>
    </row>
    <row r="20448" spans="15:28">
      <c r="O20448" s="1"/>
      <c r="P20448" s="1"/>
      <c r="Q20448" s="1"/>
      <c r="R20448" s="1"/>
      <c r="Z20448" s="93"/>
      <c r="AA20448" s="93"/>
      <c r="AB20448" s="1"/>
    </row>
    <row r="20449" spans="15:28">
      <c r="O20449" s="1"/>
      <c r="P20449" s="1"/>
      <c r="Q20449" s="1"/>
      <c r="R20449" s="1"/>
      <c r="Z20449" s="93"/>
      <c r="AA20449" s="93"/>
      <c r="AB20449" s="1"/>
    </row>
    <row r="20450" spans="15:28">
      <c r="O20450" s="1"/>
      <c r="P20450" s="1"/>
      <c r="Q20450" s="1"/>
      <c r="R20450" s="1"/>
      <c r="Z20450" s="93"/>
      <c r="AA20450" s="93"/>
      <c r="AB20450" s="1"/>
    </row>
    <row r="20451" spans="15:28">
      <c r="O20451" s="1"/>
      <c r="P20451" s="1"/>
      <c r="Q20451" s="1"/>
      <c r="R20451" s="1"/>
      <c r="Z20451" s="93"/>
      <c r="AA20451" s="93"/>
      <c r="AB20451" s="1"/>
    </row>
    <row r="20452" spans="15:28">
      <c r="O20452" s="1"/>
      <c r="P20452" s="1"/>
      <c r="Q20452" s="1"/>
      <c r="R20452" s="1"/>
      <c r="Z20452" s="93"/>
      <c r="AA20452" s="93"/>
      <c r="AB20452" s="1"/>
    </row>
    <row r="20453" spans="15:28">
      <c r="O20453" s="1"/>
      <c r="P20453" s="1"/>
      <c r="Q20453" s="1"/>
      <c r="R20453" s="1"/>
      <c r="Z20453" s="93"/>
      <c r="AA20453" s="93"/>
      <c r="AB20453" s="1"/>
    </row>
    <row r="20454" spans="15:28">
      <c r="O20454" s="1"/>
      <c r="P20454" s="1"/>
      <c r="Q20454" s="1"/>
      <c r="R20454" s="1"/>
      <c r="Z20454" s="93"/>
      <c r="AA20454" s="93"/>
      <c r="AB20454" s="1"/>
    </row>
    <row r="20455" spans="15:28">
      <c r="O20455" s="1"/>
      <c r="P20455" s="1"/>
      <c r="Q20455" s="1"/>
      <c r="R20455" s="1"/>
      <c r="Z20455" s="93"/>
      <c r="AA20455" s="93"/>
      <c r="AB20455" s="1"/>
    </row>
    <row r="20456" spans="15:28">
      <c r="O20456" s="1"/>
      <c r="P20456" s="1"/>
      <c r="Q20456" s="1"/>
      <c r="R20456" s="1"/>
      <c r="Z20456" s="93"/>
      <c r="AA20456" s="93"/>
      <c r="AB20456" s="1"/>
    </row>
    <row r="20457" spans="15:28">
      <c r="O20457" s="1"/>
      <c r="P20457" s="1"/>
      <c r="Q20457" s="1"/>
      <c r="R20457" s="1"/>
      <c r="Z20457" s="93"/>
      <c r="AA20457" s="93"/>
      <c r="AB20457" s="1"/>
    </row>
    <row r="20458" spans="15:28">
      <c r="O20458" s="1"/>
      <c r="P20458" s="1"/>
      <c r="Q20458" s="1"/>
      <c r="R20458" s="1"/>
      <c r="Z20458" s="93"/>
      <c r="AA20458" s="93"/>
      <c r="AB20458" s="1"/>
    </row>
    <row r="20459" spans="15:28">
      <c r="O20459" s="1"/>
      <c r="P20459" s="1"/>
      <c r="Q20459" s="1"/>
      <c r="R20459" s="1"/>
      <c r="Z20459" s="93"/>
      <c r="AA20459" s="93"/>
      <c r="AB20459" s="1"/>
    </row>
    <row r="20460" spans="15:28">
      <c r="O20460" s="1"/>
      <c r="P20460" s="1"/>
      <c r="Q20460" s="1"/>
      <c r="R20460" s="1"/>
      <c r="Z20460" s="93"/>
      <c r="AA20460" s="93"/>
      <c r="AB20460" s="1"/>
    </row>
    <row r="20461" spans="15:28">
      <c r="O20461" s="1"/>
      <c r="P20461" s="1"/>
      <c r="Q20461" s="1"/>
      <c r="R20461" s="1"/>
      <c r="Z20461" s="93"/>
      <c r="AA20461" s="93"/>
      <c r="AB20461" s="1"/>
    </row>
    <row r="20462" spans="15:28">
      <c r="O20462" s="1"/>
      <c r="P20462" s="1"/>
      <c r="Q20462" s="1"/>
      <c r="R20462" s="1"/>
      <c r="Z20462" s="93"/>
      <c r="AA20462" s="93"/>
      <c r="AB20462" s="1"/>
    </row>
    <row r="20463" spans="15:28">
      <c r="O20463" s="1"/>
      <c r="P20463" s="1"/>
      <c r="Q20463" s="1"/>
      <c r="R20463" s="1"/>
      <c r="Z20463" s="93"/>
      <c r="AA20463" s="93"/>
      <c r="AB20463" s="1"/>
    </row>
    <row r="20464" spans="15:28">
      <c r="O20464" s="1"/>
      <c r="P20464" s="1"/>
      <c r="Q20464" s="1"/>
      <c r="R20464" s="1"/>
      <c r="Z20464" s="93"/>
      <c r="AA20464" s="93"/>
      <c r="AB20464" s="1"/>
    </row>
    <row r="20465" spans="15:28">
      <c r="O20465" s="1"/>
      <c r="P20465" s="1"/>
      <c r="Q20465" s="1"/>
      <c r="R20465" s="1"/>
      <c r="Z20465" s="93"/>
      <c r="AA20465" s="93"/>
      <c r="AB20465" s="1"/>
    </row>
    <row r="20466" spans="15:28">
      <c r="O20466" s="1"/>
      <c r="P20466" s="1"/>
      <c r="Q20466" s="1"/>
      <c r="R20466" s="1"/>
      <c r="Z20466" s="93"/>
      <c r="AA20466" s="93"/>
      <c r="AB20466" s="1"/>
    </row>
    <row r="20467" spans="15:28">
      <c r="O20467" s="1"/>
      <c r="P20467" s="1"/>
      <c r="Q20467" s="1"/>
      <c r="R20467" s="1"/>
      <c r="Z20467" s="93"/>
      <c r="AA20467" s="93"/>
      <c r="AB20467" s="1"/>
    </row>
    <row r="20468" spans="15:28">
      <c r="O20468" s="1"/>
      <c r="P20468" s="1"/>
      <c r="Q20468" s="1"/>
      <c r="R20468" s="1"/>
      <c r="Z20468" s="93"/>
      <c r="AA20468" s="93"/>
      <c r="AB20468" s="1"/>
    </row>
    <row r="20469" spans="15:28">
      <c r="O20469" s="1"/>
      <c r="P20469" s="1"/>
      <c r="Q20469" s="1"/>
      <c r="R20469" s="1"/>
      <c r="Z20469" s="93"/>
      <c r="AA20469" s="93"/>
      <c r="AB20469" s="1"/>
    </row>
    <row r="20470" spans="15:28">
      <c r="O20470" s="1"/>
      <c r="P20470" s="1"/>
      <c r="Q20470" s="1"/>
      <c r="R20470" s="1"/>
      <c r="Z20470" s="93"/>
      <c r="AA20470" s="93"/>
      <c r="AB20470" s="1"/>
    </row>
    <row r="20471" spans="15:28">
      <c r="O20471" s="1"/>
      <c r="P20471" s="1"/>
      <c r="Q20471" s="1"/>
      <c r="R20471" s="1"/>
      <c r="Z20471" s="93"/>
      <c r="AA20471" s="93"/>
      <c r="AB20471" s="1"/>
    </row>
    <row r="20472" spans="15:28">
      <c r="O20472" s="1"/>
      <c r="P20472" s="1"/>
      <c r="Q20472" s="1"/>
      <c r="R20472" s="1"/>
      <c r="Z20472" s="93"/>
      <c r="AA20472" s="93"/>
      <c r="AB20472" s="1"/>
    </row>
    <row r="20473" spans="15:28">
      <c r="O20473" s="1"/>
      <c r="P20473" s="1"/>
      <c r="Q20473" s="1"/>
      <c r="R20473" s="1"/>
      <c r="Z20473" s="93"/>
      <c r="AA20473" s="93"/>
      <c r="AB20473" s="1"/>
    </row>
    <row r="20474" spans="15:28">
      <c r="O20474" s="1"/>
      <c r="P20474" s="1"/>
      <c r="Q20474" s="1"/>
      <c r="R20474" s="1"/>
      <c r="Z20474" s="93"/>
      <c r="AA20474" s="93"/>
      <c r="AB20474" s="1"/>
    </row>
    <row r="20475" spans="15:28">
      <c r="O20475" s="1"/>
      <c r="P20475" s="1"/>
      <c r="Q20475" s="1"/>
      <c r="R20475" s="1"/>
      <c r="Z20475" s="93"/>
      <c r="AA20475" s="93"/>
      <c r="AB20475" s="1"/>
    </row>
    <row r="20476" spans="15:28">
      <c r="O20476" s="1"/>
      <c r="P20476" s="1"/>
      <c r="Q20476" s="1"/>
      <c r="R20476" s="1"/>
      <c r="Z20476" s="93"/>
      <c r="AA20476" s="93"/>
      <c r="AB20476" s="1"/>
    </row>
    <row r="20477" spans="15:28">
      <c r="O20477" s="1"/>
      <c r="P20477" s="1"/>
      <c r="Q20477" s="1"/>
      <c r="R20477" s="1"/>
      <c r="Z20477" s="93"/>
      <c r="AA20477" s="93"/>
      <c r="AB20477" s="1"/>
    </row>
    <row r="20478" spans="15:28">
      <c r="O20478" s="1"/>
      <c r="P20478" s="1"/>
      <c r="Q20478" s="1"/>
      <c r="R20478" s="1"/>
      <c r="Z20478" s="93"/>
      <c r="AA20478" s="93"/>
      <c r="AB20478" s="1"/>
    </row>
    <row r="20479" spans="15:28">
      <c r="O20479" s="1"/>
      <c r="P20479" s="1"/>
      <c r="Q20479" s="1"/>
      <c r="R20479" s="1"/>
      <c r="Z20479" s="93"/>
      <c r="AA20479" s="93"/>
      <c r="AB20479" s="1"/>
    </row>
    <row r="20480" spans="15:28">
      <c r="O20480" s="1"/>
      <c r="P20480" s="1"/>
      <c r="Q20480" s="1"/>
      <c r="R20480" s="1"/>
      <c r="Z20480" s="93"/>
      <c r="AA20480" s="93"/>
      <c r="AB20480" s="1"/>
    </row>
    <row r="20481" spans="15:28">
      <c r="O20481" s="1"/>
      <c r="P20481" s="1"/>
      <c r="Q20481" s="1"/>
      <c r="R20481" s="1"/>
      <c r="Z20481" s="93"/>
      <c r="AA20481" s="93"/>
      <c r="AB20481" s="1"/>
    </row>
    <row r="20482" spans="15:28">
      <c r="O20482" s="1"/>
      <c r="P20482" s="1"/>
      <c r="Q20482" s="1"/>
      <c r="R20482" s="1"/>
      <c r="Z20482" s="93"/>
      <c r="AA20482" s="93"/>
      <c r="AB20482" s="1"/>
    </row>
    <row r="20483" spans="15:28">
      <c r="O20483" s="1"/>
      <c r="P20483" s="1"/>
      <c r="Q20483" s="1"/>
      <c r="R20483" s="1"/>
      <c r="Z20483" s="93"/>
      <c r="AA20483" s="93"/>
      <c r="AB20483" s="1"/>
    </row>
    <row r="20484" spans="15:28">
      <c r="O20484" s="1"/>
      <c r="P20484" s="1"/>
      <c r="Q20484" s="1"/>
      <c r="R20484" s="1"/>
      <c r="Z20484" s="93"/>
      <c r="AA20484" s="93"/>
      <c r="AB20484" s="1"/>
    </row>
    <row r="20485" spans="15:28">
      <c r="O20485" s="1"/>
      <c r="P20485" s="1"/>
      <c r="Q20485" s="1"/>
      <c r="R20485" s="1"/>
      <c r="Z20485" s="93"/>
      <c r="AA20485" s="93"/>
      <c r="AB20485" s="1"/>
    </row>
    <row r="20486" spans="15:28">
      <c r="O20486" s="1"/>
      <c r="P20486" s="1"/>
      <c r="Q20486" s="1"/>
      <c r="R20486" s="1"/>
      <c r="Z20486" s="93"/>
      <c r="AA20486" s="93"/>
      <c r="AB20486" s="1"/>
    </row>
    <row r="20487" spans="15:28">
      <c r="O20487" s="1"/>
      <c r="P20487" s="1"/>
      <c r="Q20487" s="1"/>
      <c r="R20487" s="1"/>
      <c r="Z20487" s="93"/>
      <c r="AA20487" s="93"/>
      <c r="AB20487" s="1"/>
    </row>
    <row r="20488" spans="15:28">
      <c r="O20488" s="1"/>
      <c r="P20488" s="1"/>
      <c r="Q20488" s="1"/>
      <c r="R20488" s="1"/>
      <c r="Z20488" s="93"/>
      <c r="AA20488" s="93"/>
      <c r="AB20488" s="1"/>
    </row>
    <row r="20489" spans="15:28">
      <c r="O20489" s="1"/>
      <c r="P20489" s="1"/>
      <c r="Q20489" s="1"/>
      <c r="R20489" s="1"/>
      <c r="Z20489" s="93"/>
      <c r="AA20489" s="93"/>
      <c r="AB20489" s="1"/>
    </row>
    <row r="20490" spans="15:28">
      <c r="O20490" s="1"/>
      <c r="P20490" s="1"/>
      <c r="Q20490" s="1"/>
      <c r="R20490" s="1"/>
      <c r="Z20490" s="93"/>
      <c r="AA20490" s="93"/>
      <c r="AB20490" s="1"/>
    </row>
    <row r="20491" spans="15:28">
      <c r="O20491" s="1"/>
      <c r="P20491" s="1"/>
      <c r="Q20491" s="1"/>
      <c r="R20491" s="1"/>
      <c r="Z20491" s="93"/>
      <c r="AA20491" s="93"/>
      <c r="AB20491" s="1"/>
    </row>
    <row r="20492" spans="15:28">
      <c r="O20492" s="1"/>
      <c r="P20492" s="1"/>
      <c r="Q20492" s="1"/>
      <c r="R20492" s="1"/>
      <c r="Z20492" s="93"/>
      <c r="AA20492" s="93"/>
      <c r="AB20492" s="1"/>
    </row>
    <row r="20493" spans="15:28">
      <c r="O20493" s="1"/>
      <c r="P20493" s="1"/>
      <c r="Q20493" s="1"/>
      <c r="R20493" s="1"/>
      <c r="Z20493" s="93"/>
      <c r="AA20493" s="93"/>
      <c r="AB20493" s="1"/>
    </row>
    <row r="20494" spans="15:28">
      <c r="O20494" s="1"/>
      <c r="P20494" s="1"/>
      <c r="Q20494" s="1"/>
      <c r="R20494" s="1"/>
      <c r="Z20494" s="93"/>
      <c r="AA20494" s="93"/>
      <c r="AB20494" s="1"/>
    </row>
    <row r="20495" spans="15:28">
      <c r="O20495" s="1"/>
      <c r="P20495" s="1"/>
      <c r="Q20495" s="1"/>
      <c r="R20495" s="1"/>
      <c r="Z20495" s="93"/>
      <c r="AA20495" s="93"/>
      <c r="AB20495" s="1"/>
    </row>
    <row r="20496" spans="15:28">
      <c r="O20496" s="1"/>
      <c r="P20496" s="1"/>
      <c r="Q20496" s="1"/>
      <c r="R20496" s="1"/>
      <c r="Z20496" s="93"/>
      <c r="AA20496" s="93"/>
      <c r="AB20496" s="1"/>
    </row>
    <row r="20497" spans="15:28">
      <c r="O20497" s="1"/>
      <c r="P20497" s="1"/>
      <c r="Q20497" s="1"/>
      <c r="R20497" s="1"/>
      <c r="Z20497" s="93"/>
      <c r="AA20497" s="93"/>
      <c r="AB20497" s="1"/>
    </row>
    <row r="20498" spans="15:28">
      <c r="O20498" s="1"/>
      <c r="P20498" s="1"/>
      <c r="Q20498" s="1"/>
      <c r="R20498" s="1"/>
      <c r="Z20498" s="93"/>
      <c r="AA20498" s="93"/>
      <c r="AB20498" s="1"/>
    </row>
    <row r="20499" spans="15:28">
      <c r="O20499" s="1"/>
      <c r="P20499" s="1"/>
      <c r="Q20499" s="1"/>
      <c r="R20499" s="1"/>
      <c r="Z20499" s="93"/>
      <c r="AA20499" s="93"/>
      <c r="AB20499" s="1"/>
    </row>
    <row r="20500" spans="15:28">
      <c r="O20500" s="1"/>
      <c r="P20500" s="1"/>
      <c r="Q20500" s="1"/>
      <c r="R20500" s="1"/>
      <c r="Z20500" s="93"/>
      <c r="AA20500" s="93"/>
      <c r="AB20500" s="1"/>
    </row>
    <row r="20501" spans="15:28">
      <c r="O20501" s="1"/>
      <c r="P20501" s="1"/>
      <c r="Q20501" s="1"/>
      <c r="R20501" s="1"/>
      <c r="Z20501" s="93"/>
      <c r="AA20501" s="93"/>
      <c r="AB20501" s="1"/>
    </row>
    <row r="20502" spans="15:28">
      <c r="O20502" s="1"/>
      <c r="P20502" s="1"/>
      <c r="Q20502" s="1"/>
      <c r="R20502" s="1"/>
      <c r="Z20502" s="93"/>
      <c r="AA20502" s="93"/>
      <c r="AB20502" s="1"/>
    </row>
    <row r="20503" spans="15:28">
      <c r="O20503" s="1"/>
      <c r="P20503" s="1"/>
      <c r="Q20503" s="1"/>
      <c r="R20503" s="1"/>
      <c r="Z20503" s="93"/>
      <c r="AA20503" s="93"/>
      <c r="AB20503" s="1"/>
    </row>
    <row r="20504" spans="15:28">
      <c r="O20504" s="1"/>
      <c r="P20504" s="1"/>
      <c r="Q20504" s="1"/>
      <c r="R20504" s="1"/>
      <c r="Z20504" s="93"/>
      <c r="AA20504" s="93"/>
      <c r="AB20504" s="1"/>
    </row>
    <row r="20505" spans="15:28">
      <c r="O20505" s="1"/>
      <c r="P20505" s="1"/>
      <c r="Q20505" s="1"/>
      <c r="R20505" s="1"/>
      <c r="Z20505" s="93"/>
      <c r="AA20505" s="93"/>
      <c r="AB20505" s="1"/>
    </row>
    <row r="20506" spans="15:28">
      <c r="O20506" s="1"/>
      <c r="P20506" s="1"/>
      <c r="Q20506" s="1"/>
      <c r="R20506" s="1"/>
      <c r="Z20506" s="93"/>
      <c r="AA20506" s="93"/>
      <c r="AB20506" s="1"/>
    </row>
    <row r="20507" spans="15:28">
      <c r="O20507" s="1"/>
      <c r="P20507" s="1"/>
      <c r="Q20507" s="1"/>
      <c r="R20507" s="1"/>
      <c r="Z20507" s="93"/>
      <c r="AA20507" s="93"/>
      <c r="AB20507" s="1"/>
    </row>
    <row r="20508" spans="15:28">
      <c r="O20508" s="1"/>
      <c r="P20508" s="1"/>
      <c r="Q20508" s="1"/>
      <c r="R20508" s="1"/>
      <c r="Z20508" s="93"/>
      <c r="AA20508" s="93"/>
      <c r="AB20508" s="1"/>
    </row>
    <row r="20509" spans="15:28">
      <c r="O20509" s="1"/>
      <c r="P20509" s="1"/>
      <c r="Q20509" s="1"/>
      <c r="R20509" s="1"/>
      <c r="Z20509" s="93"/>
      <c r="AA20509" s="93"/>
      <c r="AB20509" s="1"/>
    </row>
    <row r="20510" spans="15:28">
      <c r="O20510" s="1"/>
      <c r="P20510" s="1"/>
      <c r="Q20510" s="1"/>
      <c r="R20510" s="1"/>
      <c r="Z20510" s="93"/>
      <c r="AA20510" s="93"/>
      <c r="AB20510" s="1"/>
    </row>
    <row r="20511" spans="15:28">
      <c r="O20511" s="1"/>
      <c r="P20511" s="1"/>
      <c r="Q20511" s="1"/>
      <c r="R20511" s="1"/>
      <c r="Z20511" s="93"/>
      <c r="AA20511" s="93"/>
      <c r="AB20511" s="1"/>
    </row>
    <row r="20512" spans="15:28">
      <c r="O20512" s="1"/>
      <c r="P20512" s="1"/>
      <c r="Q20512" s="1"/>
      <c r="R20512" s="1"/>
      <c r="Z20512" s="93"/>
      <c r="AA20512" s="93"/>
      <c r="AB20512" s="1"/>
    </row>
    <row r="20513" spans="15:28">
      <c r="O20513" s="1"/>
      <c r="P20513" s="1"/>
      <c r="Q20513" s="1"/>
      <c r="R20513" s="1"/>
      <c r="Z20513" s="93"/>
      <c r="AA20513" s="93"/>
      <c r="AB20513" s="1"/>
    </row>
    <row r="20514" spans="15:28">
      <c r="O20514" s="1"/>
      <c r="P20514" s="1"/>
      <c r="Q20514" s="1"/>
      <c r="R20514" s="1"/>
      <c r="Z20514" s="93"/>
      <c r="AA20514" s="93"/>
      <c r="AB20514" s="1"/>
    </row>
    <row r="20515" spans="15:28">
      <c r="O20515" s="1"/>
      <c r="P20515" s="1"/>
      <c r="Q20515" s="1"/>
      <c r="R20515" s="1"/>
      <c r="Z20515" s="93"/>
      <c r="AA20515" s="93"/>
      <c r="AB20515" s="1"/>
    </row>
    <row r="20516" spans="15:28">
      <c r="O20516" s="1"/>
      <c r="P20516" s="1"/>
      <c r="Q20516" s="1"/>
      <c r="R20516" s="1"/>
      <c r="Z20516" s="93"/>
      <c r="AA20516" s="93"/>
      <c r="AB20516" s="1"/>
    </row>
    <row r="20517" spans="15:28">
      <c r="O20517" s="1"/>
      <c r="P20517" s="1"/>
      <c r="Q20517" s="1"/>
      <c r="R20517" s="1"/>
      <c r="Z20517" s="93"/>
      <c r="AA20517" s="93"/>
      <c r="AB20517" s="1"/>
    </row>
    <row r="20518" spans="15:28">
      <c r="O20518" s="1"/>
      <c r="P20518" s="1"/>
      <c r="Q20518" s="1"/>
      <c r="R20518" s="1"/>
      <c r="Z20518" s="93"/>
      <c r="AA20518" s="93"/>
      <c r="AB20518" s="1"/>
    </row>
    <row r="20519" spans="15:28">
      <c r="O20519" s="1"/>
      <c r="P20519" s="1"/>
      <c r="Q20519" s="1"/>
      <c r="R20519" s="1"/>
      <c r="Z20519" s="93"/>
      <c r="AA20519" s="93"/>
      <c r="AB20519" s="1"/>
    </row>
    <row r="20520" spans="15:28">
      <c r="O20520" s="1"/>
      <c r="P20520" s="1"/>
      <c r="Q20520" s="1"/>
      <c r="R20520" s="1"/>
      <c r="Z20520" s="93"/>
      <c r="AA20520" s="93"/>
      <c r="AB20520" s="1"/>
    </row>
    <row r="20521" spans="15:28">
      <c r="O20521" s="1"/>
      <c r="P20521" s="1"/>
      <c r="Q20521" s="1"/>
      <c r="R20521" s="1"/>
      <c r="Z20521" s="93"/>
      <c r="AA20521" s="93"/>
      <c r="AB20521" s="1"/>
    </row>
    <row r="20522" spans="15:28">
      <c r="O20522" s="1"/>
      <c r="P20522" s="1"/>
      <c r="Q20522" s="1"/>
      <c r="R20522" s="1"/>
      <c r="Z20522" s="93"/>
      <c r="AA20522" s="93"/>
      <c r="AB20522" s="1"/>
    </row>
    <row r="20523" spans="15:28">
      <c r="O20523" s="1"/>
      <c r="P20523" s="1"/>
      <c r="Q20523" s="1"/>
      <c r="R20523" s="1"/>
      <c r="Z20523" s="93"/>
      <c r="AA20523" s="93"/>
      <c r="AB20523" s="1"/>
    </row>
    <row r="20524" spans="15:28">
      <c r="O20524" s="1"/>
      <c r="P20524" s="1"/>
      <c r="Q20524" s="1"/>
      <c r="R20524" s="1"/>
      <c r="Z20524" s="93"/>
      <c r="AA20524" s="93"/>
      <c r="AB20524" s="1"/>
    </row>
    <row r="20525" spans="15:28">
      <c r="O20525" s="1"/>
      <c r="P20525" s="1"/>
      <c r="Q20525" s="1"/>
      <c r="R20525" s="1"/>
      <c r="Z20525" s="93"/>
      <c r="AA20525" s="93"/>
      <c r="AB20525" s="1"/>
    </row>
    <row r="20526" spans="15:28">
      <c r="O20526" s="1"/>
      <c r="P20526" s="1"/>
      <c r="Q20526" s="1"/>
      <c r="R20526" s="1"/>
      <c r="Z20526" s="93"/>
      <c r="AA20526" s="93"/>
      <c r="AB20526" s="1"/>
    </row>
    <row r="20527" spans="15:28">
      <c r="O20527" s="1"/>
      <c r="P20527" s="1"/>
      <c r="Q20527" s="1"/>
      <c r="R20527" s="1"/>
      <c r="Z20527" s="93"/>
      <c r="AA20527" s="93"/>
      <c r="AB20527" s="1"/>
    </row>
    <row r="20528" spans="15:28">
      <c r="O20528" s="1"/>
      <c r="P20528" s="1"/>
      <c r="Q20528" s="1"/>
      <c r="R20528" s="1"/>
      <c r="Z20528" s="93"/>
      <c r="AA20528" s="93"/>
      <c r="AB20528" s="1"/>
    </row>
    <row r="20529" spans="15:28">
      <c r="O20529" s="1"/>
      <c r="P20529" s="1"/>
      <c r="Q20529" s="1"/>
      <c r="R20529" s="1"/>
      <c r="Z20529" s="93"/>
      <c r="AA20529" s="93"/>
      <c r="AB20529" s="1"/>
    </row>
    <row r="20530" spans="15:28">
      <c r="O20530" s="1"/>
      <c r="P20530" s="1"/>
      <c r="Q20530" s="1"/>
      <c r="R20530" s="1"/>
      <c r="Z20530" s="93"/>
      <c r="AA20530" s="93"/>
      <c r="AB20530" s="1"/>
    </row>
    <row r="20531" spans="15:28">
      <c r="O20531" s="1"/>
      <c r="P20531" s="1"/>
      <c r="Q20531" s="1"/>
      <c r="R20531" s="1"/>
      <c r="Z20531" s="93"/>
      <c r="AA20531" s="93"/>
      <c r="AB20531" s="1"/>
    </row>
    <row r="20532" spans="15:28">
      <c r="O20532" s="1"/>
      <c r="P20532" s="1"/>
      <c r="Q20532" s="1"/>
      <c r="R20532" s="1"/>
      <c r="Z20532" s="93"/>
      <c r="AA20532" s="93"/>
      <c r="AB20532" s="1"/>
    </row>
    <row r="20533" spans="15:28">
      <c r="O20533" s="1"/>
      <c r="P20533" s="1"/>
      <c r="Q20533" s="1"/>
      <c r="R20533" s="1"/>
      <c r="Z20533" s="93"/>
      <c r="AA20533" s="93"/>
      <c r="AB20533" s="1"/>
    </row>
    <row r="20534" spans="15:28">
      <c r="O20534" s="1"/>
      <c r="P20534" s="1"/>
      <c r="Q20534" s="1"/>
      <c r="R20534" s="1"/>
      <c r="Z20534" s="93"/>
      <c r="AA20534" s="93"/>
      <c r="AB20534" s="1"/>
    </row>
    <row r="20535" spans="15:28">
      <c r="O20535" s="1"/>
      <c r="P20535" s="1"/>
      <c r="Q20535" s="1"/>
      <c r="R20535" s="1"/>
      <c r="Z20535" s="93"/>
      <c r="AA20535" s="93"/>
      <c r="AB20535" s="1"/>
    </row>
    <row r="20536" spans="15:28">
      <c r="O20536" s="1"/>
      <c r="P20536" s="1"/>
      <c r="Q20536" s="1"/>
      <c r="R20536" s="1"/>
      <c r="Z20536" s="93"/>
      <c r="AA20536" s="93"/>
      <c r="AB20536" s="1"/>
    </row>
    <row r="20537" spans="15:28">
      <c r="O20537" s="1"/>
      <c r="P20537" s="1"/>
      <c r="Q20537" s="1"/>
      <c r="R20537" s="1"/>
      <c r="Z20537" s="93"/>
      <c r="AA20537" s="93"/>
      <c r="AB20537" s="1"/>
    </row>
    <row r="20538" spans="15:28">
      <c r="O20538" s="1"/>
      <c r="P20538" s="1"/>
      <c r="Q20538" s="1"/>
      <c r="R20538" s="1"/>
      <c r="Z20538" s="93"/>
      <c r="AA20538" s="93"/>
      <c r="AB20538" s="1"/>
    </row>
    <row r="20539" spans="15:28">
      <c r="O20539" s="1"/>
      <c r="P20539" s="1"/>
      <c r="Q20539" s="1"/>
      <c r="R20539" s="1"/>
      <c r="Z20539" s="93"/>
      <c r="AA20539" s="93"/>
      <c r="AB20539" s="1"/>
    </row>
    <row r="20540" spans="15:28">
      <c r="O20540" s="1"/>
      <c r="P20540" s="1"/>
      <c r="Q20540" s="1"/>
      <c r="R20540" s="1"/>
      <c r="Z20540" s="93"/>
      <c r="AA20540" s="93"/>
      <c r="AB20540" s="1"/>
    </row>
    <row r="20541" spans="15:28">
      <c r="O20541" s="1"/>
      <c r="P20541" s="1"/>
      <c r="Q20541" s="1"/>
      <c r="R20541" s="1"/>
      <c r="Z20541" s="93"/>
      <c r="AA20541" s="93"/>
      <c r="AB20541" s="1"/>
    </row>
    <row r="20542" spans="15:28">
      <c r="O20542" s="1"/>
      <c r="P20542" s="1"/>
      <c r="Q20542" s="1"/>
      <c r="R20542" s="1"/>
      <c r="Z20542" s="93"/>
      <c r="AA20542" s="93"/>
      <c r="AB20542" s="1"/>
    </row>
    <row r="20543" spans="15:28">
      <c r="O20543" s="1"/>
      <c r="P20543" s="1"/>
      <c r="Q20543" s="1"/>
      <c r="R20543" s="1"/>
      <c r="Z20543" s="93"/>
      <c r="AA20543" s="93"/>
      <c r="AB20543" s="1"/>
    </row>
    <row r="20544" spans="15:28">
      <c r="O20544" s="1"/>
      <c r="P20544" s="1"/>
      <c r="Q20544" s="1"/>
      <c r="R20544" s="1"/>
      <c r="Z20544" s="93"/>
      <c r="AA20544" s="93"/>
      <c r="AB20544" s="1"/>
    </row>
    <row r="20545" spans="15:28">
      <c r="O20545" s="1"/>
      <c r="P20545" s="1"/>
      <c r="Q20545" s="1"/>
      <c r="R20545" s="1"/>
      <c r="Z20545" s="93"/>
      <c r="AA20545" s="93"/>
      <c r="AB20545" s="1"/>
    </row>
    <row r="20546" spans="15:28">
      <c r="O20546" s="1"/>
      <c r="P20546" s="1"/>
      <c r="Q20546" s="1"/>
      <c r="R20546" s="1"/>
      <c r="Z20546" s="93"/>
      <c r="AA20546" s="93"/>
      <c r="AB20546" s="1"/>
    </row>
    <row r="20547" spans="15:28">
      <c r="O20547" s="1"/>
      <c r="P20547" s="1"/>
      <c r="Q20547" s="1"/>
      <c r="R20547" s="1"/>
      <c r="Z20547" s="93"/>
      <c r="AA20547" s="93"/>
      <c r="AB20547" s="1"/>
    </row>
    <row r="20548" spans="15:28">
      <c r="O20548" s="1"/>
      <c r="P20548" s="1"/>
      <c r="Q20548" s="1"/>
      <c r="R20548" s="1"/>
      <c r="Z20548" s="93"/>
      <c r="AA20548" s="93"/>
      <c r="AB20548" s="1"/>
    </row>
    <row r="20549" spans="15:28">
      <c r="O20549" s="1"/>
      <c r="P20549" s="1"/>
      <c r="Q20549" s="1"/>
      <c r="R20549" s="1"/>
      <c r="Z20549" s="93"/>
      <c r="AA20549" s="93"/>
      <c r="AB20549" s="1"/>
    </row>
    <row r="20550" spans="15:28">
      <c r="O20550" s="1"/>
      <c r="P20550" s="1"/>
      <c r="Q20550" s="1"/>
      <c r="R20550" s="1"/>
      <c r="Z20550" s="93"/>
      <c r="AA20550" s="93"/>
      <c r="AB20550" s="1"/>
    </row>
    <row r="20551" spans="15:28">
      <c r="O20551" s="1"/>
      <c r="P20551" s="1"/>
      <c r="Q20551" s="1"/>
      <c r="R20551" s="1"/>
      <c r="Z20551" s="93"/>
      <c r="AA20551" s="93"/>
      <c r="AB20551" s="1"/>
    </row>
    <row r="20552" spans="15:28">
      <c r="O20552" s="1"/>
      <c r="P20552" s="1"/>
      <c r="Q20552" s="1"/>
      <c r="R20552" s="1"/>
      <c r="Z20552" s="93"/>
      <c r="AA20552" s="93"/>
      <c r="AB20552" s="1"/>
    </row>
    <row r="20553" spans="15:28">
      <c r="O20553" s="1"/>
      <c r="P20553" s="1"/>
      <c r="Q20553" s="1"/>
      <c r="R20553" s="1"/>
      <c r="Z20553" s="93"/>
      <c r="AA20553" s="93"/>
      <c r="AB20553" s="1"/>
    </row>
    <row r="20554" spans="15:28">
      <c r="O20554" s="1"/>
      <c r="P20554" s="1"/>
      <c r="Q20554" s="1"/>
      <c r="R20554" s="1"/>
      <c r="Z20554" s="93"/>
      <c r="AA20554" s="93"/>
      <c r="AB20554" s="1"/>
    </row>
    <row r="20555" spans="15:28">
      <c r="O20555" s="1"/>
      <c r="P20555" s="1"/>
      <c r="Q20555" s="1"/>
      <c r="R20555" s="1"/>
      <c r="Z20555" s="93"/>
      <c r="AA20555" s="93"/>
      <c r="AB20555" s="1"/>
    </row>
    <row r="20556" spans="15:28">
      <c r="O20556" s="1"/>
      <c r="P20556" s="1"/>
      <c r="Q20556" s="1"/>
      <c r="R20556" s="1"/>
      <c r="Z20556" s="93"/>
      <c r="AA20556" s="93"/>
      <c r="AB20556" s="1"/>
    </row>
    <row r="20557" spans="15:28">
      <c r="O20557" s="1"/>
      <c r="P20557" s="1"/>
      <c r="Q20557" s="1"/>
      <c r="R20557" s="1"/>
      <c r="Z20557" s="93"/>
      <c r="AA20557" s="93"/>
      <c r="AB20557" s="1"/>
    </row>
    <row r="20558" spans="15:28">
      <c r="O20558" s="1"/>
      <c r="P20558" s="1"/>
      <c r="Q20558" s="1"/>
      <c r="R20558" s="1"/>
      <c r="Z20558" s="93"/>
      <c r="AA20558" s="93"/>
      <c r="AB20558" s="1"/>
    </row>
    <row r="20559" spans="15:28">
      <c r="O20559" s="1"/>
      <c r="P20559" s="1"/>
      <c r="Q20559" s="1"/>
      <c r="R20559" s="1"/>
      <c r="Z20559" s="93"/>
      <c r="AA20559" s="93"/>
      <c r="AB20559" s="1"/>
    </row>
    <row r="20560" spans="15:28">
      <c r="O20560" s="1"/>
      <c r="P20560" s="1"/>
      <c r="Q20560" s="1"/>
      <c r="R20560" s="1"/>
      <c r="Z20560" s="93"/>
      <c r="AA20560" s="93"/>
      <c r="AB20560" s="1"/>
    </row>
    <row r="20561" spans="15:28">
      <c r="O20561" s="1"/>
      <c r="P20561" s="1"/>
      <c r="Q20561" s="1"/>
      <c r="R20561" s="1"/>
      <c r="Z20561" s="93"/>
      <c r="AA20561" s="93"/>
      <c r="AB20561" s="1"/>
    </row>
    <row r="20562" spans="15:28">
      <c r="O20562" s="1"/>
      <c r="P20562" s="1"/>
      <c r="Q20562" s="1"/>
      <c r="R20562" s="1"/>
      <c r="Z20562" s="93"/>
      <c r="AA20562" s="93"/>
      <c r="AB20562" s="1"/>
    </row>
    <row r="20563" spans="15:28">
      <c r="O20563" s="1"/>
      <c r="P20563" s="1"/>
      <c r="Q20563" s="1"/>
      <c r="R20563" s="1"/>
      <c r="Z20563" s="93"/>
      <c r="AA20563" s="93"/>
      <c r="AB20563" s="1"/>
    </row>
    <row r="20564" spans="15:28">
      <c r="O20564" s="1"/>
      <c r="P20564" s="1"/>
      <c r="Q20564" s="1"/>
      <c r="R20564" s="1"/>
      <c r="Z20564" s="93"/>
      <c r="AA20564" s="93"/>
      <c r="AB20564" s="1"/>
    </row>
    <row r="20565" spans="15:28">
      <c r="O20565" s="1"/>
      <c r="P20565" s="1"/>
      <c r="Q20565" s="1"/>
      <c r="R20565" s="1"/>
      <c r="Z20565" s="93"/>
      <c r="AA20565" s="93"/>
      <c r="AB20565" s="1"/>
    </row>
    <row r="20566" spans="15:28">
      <c r="O20566" s="1"/>
      <c r="P20566" s="1"/>
      <c r="Q20566" s="1"/>
      <c r="R20566" s="1"/>
      <c r="Z20566" s="93"/>
      <c r="AA20566" s="93"/>
      <c r="AB20566" s="1"/>
    </row>
    <row r="20567" spans="15:28">
      <c r="O20567" s="1"/>
      <c r="P20567" s="1"/>
      <c r="Q20567" s="1"/>
      <c r="R20567" s="1"/>
      <c r="Z20567" s="93"/>
      <c r="AA20567" s="93"/>
      <c r="AB20567" s="1"/>
    </row>
    <row r="20568" spans="15:28">
      <c r="O20568" s="1"/>
      <c r="P20568" s="1"/>
      <c r="Q20568" s="1"/>
      <c r="R20568" s="1"/>
      <c r="Z20568" s="93"/>
      <c r="AA20568" s="93"/>
      <c r="AB20568" s="1"/>
    </row>
    <row r="20569" spans="15:28">
      <c r="O20569" s="1"/>
      <c r="P20569" s="1"/>
      <c r="Q20569" s="1"/>
      <c r="R20569" s="1"/>
      <c r="Z20569" s="93"/>
      <c r="AA20569" s="93"/>
      <c r="AB20569" s="1"/>
    </row>
    <row r="20570" spans="15:28">
      <c r="O20570" s="1"/>
      <c r="P20570" s="1"/>
      <c r="Q20570" s="1"/>
      <c r="R20570" s="1"/>
      <c r="Z20570" s="93"/>
      <c r="AA20570" s="93"/>
      <c r="AB20570" s="1"/>
    </row>
    <row r="20571" spans="15:28">
      <c r="O20571" s="1"/>
      <c r="P20571" s="1"/>
      <c r="Q20571" s="1"/>
      <c r="R20571" s="1"/>
      <c r="Z20571" s="93"/>
      <c r="AA20571" s="93"/>
      <c r="AB20571" s="1"/>
    </row>
    <row r="20572" spans="15:28">
      <c r="O20572" s="1"/>
      <c r="P20572" s="1"/>
      <c r="Q20572" s="1"/>
      <c r="R20572" s="1"/>
      <c r="Z20572" s="93"/>
      <c r="AA20572" s="93"/>
      <c r="AB20572" s="1"/>
    </row>
    <row r="20573" spans="15:28">
      <c r="O20573" s="1"/>
      <c r="P20573" s="1"/>
      <c r="Q20573" s="1"/>
      <c r="R20573" s="1"/>
      <c r="Z20573" s="93"/>
      <c r="AA20573" s="93"/>
      <c r="AB20573" s="1"/>
    </row>
    <row r="20574" spans="15:28">
      <c r="O20574" s="1"/>
      <c r="P20574" s="1"/>
      <c r="Q20574" s="1"/>
      <c r="R20574" s="1"/>
      <c r="Z20574" s="93"/>
      <c r="AA20574" s="93"/>
      <c r="AB20574" s="1"/>
    </row>
    <row r="20575" spans="15:28">
      <c r="O20575" s="1"/>
      <c r="P20575" s="1"/>
      <c r="Q20575" s="1"/>
      <c r="R20575" s="1"/>
      <c r="Z20575" s="93"/>
      <c r="AA20575" s="93"/>
      <c r="AB20575" s="1"/>
    </row>
    <row r="20576" spans="15:28">
      <c r="O20576" s="1"/>
      <c r="P20576" s="1"/>
      <c r="Q20576" s="1"/>
      <c r="R20576" s="1"/>
      <c r="Z20576" s="93"/>
      <c r="AA20576" s="93"/>
      <c r="AB20576" s="1"/>
    </row>
    <row r="20577" spans="15:28">
      <c r="O20577" s="1"/>
      <c r="P20577" s="1"/>
      <c r="Q20577" s="1"/>
      <c r="R20577" s="1"/>
      <c r="Z20577" s="93"/>
      <c r="AA20577" s="93"/>
      <c r="AB20577" s="1"/>
    </row>
    <row r="20578" spans="15:28">
      <c r="O20578" s="1"/>
      <c r="P20578" s="1"/>
      <c r="Q20578" s="1"/>
      <c r="R20578" s="1"/>
      <c r="Z20578" s="93"/>
      <c r="AA20578" s="93"/>
      <c r="AB20578" s="1"/>
    </row>
    <row r="20579" spans="15:28">
      <c r="O20579" s="1"/>
      <c r="P20579" s="1"/>
      <c r="Q20579" s="1"/>
      <c r="R20579" s="1"/>
      <c r="Z20579" s="93"/>
      <c r="AA20579" s="93"/>
      <c r="AB20579" s="1"/>
    </row>
    <row r="20580" spans="15:28">
      <c r="O20580" s="1"/>
      <c r="P20580" s="1"/>
      <c r="Q20580" s="1"/>
      <c r="R20580" s="1"/>
      <c r="Z20580" s="93"/>
      <c r="AA20580" s="93"/>
      <c r="AB20580" s="1"/>
    </row>
    <row r="20581" spans="15:28">
      <c r="O20581" s="1"/>
      <c r="P20581" s="1"/>
      <c r="Q20581" s="1"/>
      <c r="R20581" s="1"/>
      <c r="Z20581" s="93"/>
      <c r="AA20581" s="93"/>
      <c r="AB20581" s="1"/>
    </row>
    <row r="20582" spans="15:28">
      <c r="O20582" s="1"/>
      <c r="P20582" s="1"/>
      <c r="Q20582" s="1"/>
      <c r="R20582" s="1"/>
      <c r="Z20582" s="93"/>
      <c r="AA20582" s="93"/>
      <c r="AB20582" s="1"/>
    </row>
    <row r="20583" spans="15:28">
      <c r="O20583" s="1"/>
      <c r="P20583" s="1"/>
      <c r="Q20583" s="1"/>
      <c r="R20583" s="1"/>
      <c r="Z20583" s="93"/>
      <c r="AA20583" s="93"/>
      <c r="AB20583" s="1"/>
    </row>
    <row r="20584" spans="15:28">
      <c r="O20584" s="1"/>
      <c r="P20584" s="1"/>
      <c r="Q20584" s="1"/>
      <c r="R20584" s="1"/>
      <c r="Z20584" s="93"/>
      <c r="AA20584" s="93"/>
      <c r="AB20584" s="1"/>
    </row>
    <row r="20585" spans="15:28">
      <c r="O20585" s="1"/>
      <c r="P20585" s="1"/>
      <c r="Q20585" s="1"/>
      <c r="R20585" s="1"/>
      <c r="Z20585" s="93"/>
      <c r="AA20585" s="93"/>
      <c r="AB20585" s="1"/>
    </row>
    <row r="20586" spans="15:28">
      <c r="O20586" s="1"/>
      <c r="P20586" s="1"/>
      <c r="Q20586" s="1"/>
      <c r="R20586" s="1"/>
      <c r="Z20586" s="93"/>
      <c r="AA20586" s="93"/>
      <c r="AB20586" s="1"/>
    </row>
    <row r="20587" spans="15:28">
      <c r="O20587" s="1"/>
      <c r="P20587" s="1"/>
      <c r="Q20587" s="1"/>
      <c r="R20587" s="1"/>
      <c r="Z20587" s="93"/>
      <c r="AA20587" s="93"/>
      <c r="AB20587" s="1"/>
    </row>
    <row r="20588" spans="15:28">
      <c r="O20588" s="1"/>
      <c r="P20588" s="1"/>
      <c r="Q20588" s="1"/>
      <c r="R20588" s="1"/>
      <c r="Z20588" s="93"/>
      <c r="AA20588" s="93"/>
      <c r="AB20588" s="1"/>
    </row>
    <row r="20589" spans="15:28">
      <c r="O20589" s="1"/>
      <c r="P20589" s="1"/>
      <c r="Q20589" s="1"/>
      <c r="R20589" s="1"/>
      <c r="Z20589" s="93"/>
      <c r="AA20589" s="93"/>
      <c r="AB20589" s="1"/>
    </row>
    <row r="20590" spans="15:28">
      <c r="O20590" s="1"/>
      <c r="P20590" s="1"/>
      <c r="Q20590" s="1"/>
      <c r="R20590" s="1"/>
      <c r="Z20590" s="93"/>
      <c r="AA20590" s="93"/>
      <c r="AB20590" s="1"/>
    </row>
    <row r="20591" spans="15:28">
      <c r="O20591" s="1"/>
      <c r="P20591" s="1"/>
      <c r="Q20591" s="1"/>
      <c r="R20591" s="1"/>
      <c r="Z20591" s="93"/>
      <c r="AA20591" s="93"/>
      <c r="AB20591" s="1"/>
    </row>
    <row r="20592" spans="15:28">
      <c r="O20592" s="1"/>
      <c r="P20592" s="1"/>
      <c r="Q20592" s="1"/>
      <c r="R20592" s="1"/>
      <c r="Z20592" s="93"/>
      <c r="AA20592" s="93"/>
      <c r="AB20592" s="1"/>
    </row>
    <row r="20593" spans="15:28">
      <c r="O20593" s="1"/>
      <c r="P20593" s="1"/>
      <c r="Q20593" s="1"/>
      <c r="R20593" s="1"/>
      <c r="Z20593" s="93"/>
      <c r="AA20593" s="93"/>
      <c r="AB20593" s="1"/>
    </row>
    <row r="20594" spans="15:28">
      <c r="O20594" s="1"/>
      <c r="P20594" s="1"/>
      <c r="Q20594" s="1"/>
      <c r="R20594" s="1"/>
      <c r="Z20594" s="93"/>
      <c r="AA20594" s="93"/>
      <c r="AB20594" s="1"/>
    </row>
    <row r="20595" spans="15:28">
      <c r="O20595" s="1"/>
      <c r="P20595" s="1"/>
      <c r="Q20595" s="1"/>
      <c r="R20595" s="1"/>
      <c r="Z20595" s="93"/>
      <c r="AA20595" s="93"/>
      <c r="AB20595" s="1"/>
    </row>
    <row r="20596" spans="15:28">
      <c r="O20596" s="1"/>
      <c r="P20596" s="1"/>
      <c r="Q20596" s="1"/>
      <c r="R20596" s="1"/>
      <c r="Z20596" s="93"/>
      <c r="AA20596" s="93"/>
      <c r="AB20596" s="1"/>
    </row>
    <row r="20597" spans="15:28">
      <c r="O20597" s="1"/>
      <c r="P20597" s="1"/>
      <c r="Q20597" s="1"/>
      <c r="R20597" s="1"/>
      <c r="Z20597" s="93"/>
      <c r="AA20597" s="93"/>
      <c r="AB20597" s="1"/>
    </row>
    <row r="20598" spans="15:28">
      <c r="O20598" s="1"/>
      <c r="P20598" s="1"/>
      <c r="Q20598" s="1"/>
      <c r="R20598" s="1"/>
      <c r="Z20598" s="93"/>
      <c r="AA20598" s="93"/>
      <c r="AB20598" s="1"/>
    </row>
    <row r="20599" spans="15:28">
      <c r="O20599" s="1"/>
      <c r="P20599" s="1"/>
      <c r="Q20599" s="1"/>
      <c r="R20599" s="1"/>
      <c r="Z20599" s="93"/>
      <c r="AA20599" s="93"/>
      <c r="AB20599" s="1"/>
    </row>
    <row r="20600" spans="15:28">
      <c r="O20600" s="1"/>
      <c r="P20600" s="1"/>
      <c r="Q20600" s="1"/>
      <c r="R20600" s="1"/>
      <c r="Z20600" s="93"/>
      <c r="AA20600" s="93"/>
      <c r="AB20600" s="1"/>
    </row>
    <row r="20601" spans="15:28">
      <c r="O20601" s="1"/>
      <c r="P20601" s="1"/>
      <c r="Q20601" s="1"/>
      <c r="R20601" s="1"/>
      <c r="Z20601" s="93"/>
      <c r="AA20601" s="93"/>
      <c r="AB20601" s="1"/>
    </row>
    <row r="20602" spans="15:28">
      <c r="O20602" s="1"/>
      <c r="P20602" s="1"/>
      <c r="Q20602" s="1"/>
      <c r="R20602" s="1"/>
      <c r="Z20602" s="93"/>
      <c r="AA20602" s="93"/>
      <c r="AB20602" s="1"/>
    </row>
    <row r="20603" spans="15:28">
      <c r="O20603" s="1"/>
      <c r="P20603" s="1"/>
      <c r="Q20603" s="1"/>
      <c r="R20603" s="1"/>
      <c r="Z20603" s="93"/>
      <c r="AA20603" s="93"/>
      <c r="AB20603" s="1"/>
    </row>
    <row r="20604" spans="15:28">
      <c r="O20604" s="1"/>
      <c r="P20604" s="1"/>
      <c r="Q20604" s="1"/>
      <c r="R20604" s="1"/>
      <c r="Z20604" s="93"/>
      <c r="AA20604" s="93"/>
      <c r="AB20604" s="1"/>
    </row>
    <row r="20605" spans="15:28">
      <c r="O20605" s="1"/>
      <c r="P20605" s="1"/>
      <c r="Q20605" s="1"/>
      <c r="R20605" s="1"/>
      <c r="Z20605" s="93"/>
      <c r="AA20605" s="93"/>
      <c r="AB20605" s="1"/>
    </row>
    <row r="20606" spans="15:28">
      <c r="O20606" s="1"/>
      <c r="P20606" s="1"/>
      <c r="Q20606" s="1"/>
      <c r="R20606" s="1"/>
      <c r="Z20606" s="93"/>
      <c r="AA20606" s="93"/>
      <c r="AB20606" s="1"/>
    </row>
    <row r="20607" spans="15:28">
      <c r="O20607" s="1"/>
      <c r="P20607" s="1"/>
      <c r="Q20607" s="1"/>
      <c r="R20607" s="1"/>
      <c r="Z20607" s="93"/>
      <c r="AA20607" s="93"/>
      <c r="AB20607" s="1"/>
    </row>
    <row r="20608" spans="15:28">
      <c r="O20608" s="1"/>
      <c r="P20608" s="1"/>
      <c r="Q20608" s="1"/>
      <c r="R20608" s="1"/>
      <c r="Z20608" s="93"/>
      <c r="AA20608" s="93"/>
      <c r="AB20608" s="1"/>
    </row>
    <row r="20609" spans="15:28">
      <c r="O20609" s="1"/>
      <c r="P20609" s="1"/>
      <c r="Q20609" s="1"/>
      <c r="R20609" s="1"/>
      <c r="Z20609" s="93"/>
      <c r="AA20609" s="93"/>
      <c r="AB20609" s="1"/>
    </row>
    <row r="20610" spans="15:28">
      <c r="O20610" s="1"/>
      <c r="P20610" s="1"/>
      <c r="Q20610" s="1"/>
      <c r="R20610" s="1"/>
      <c r="Z20610" s="93"/>
      <c r="AA20610" s="93"/>
      <c r="AB20610" s="1"/>
    </row>
    <row r="20611" spans="15:28">
      <c r="O20611" s="1"/>
      <c r="P20611" s="1"/>
      <c r="Q20611" s="1"/>
      <c r="R20611" s="1"/>
      <c r="Z20611" s="93"/>
      <c r="AA20611" s="93"/>
      <c r="AB20611" s="1"/>
    </row>
    <row r="20612" spans="15:28">
      <c r="O20612" s="1"/>
      <c r="P20612" s="1"/>
      <c r="Q20612" s="1"/>
      <c r="R20612" s="1"/>
      <c r="Z20612" s="93"/>
      <c r="AA20612" s="93"/>
      <c r="AB20612" s="1"/>
    </row>
    <row r="20613" spans="15:28">
      <c r="O20613" s="1"/>
      <c r="P20613" s="1"/>
      <c r="Q20613" s="1"/>
      <c r="R20613" s="1"/>
      <c r="Z20613" s="93"/>
      <c r="AA20613" s="93"/>
      <c r="AB20613" s="1"/>
    </row>
    <row r="20614" spans="15:28">
      <c r="O20614" s="1"/>
      <c r="P20614" s="1"/>
      <c r="Q20614" s="1"/>
      <c r="R20614" s="1"/>
      <c r="Z20614" s="93"/>
      <c r="AA20614" s="93"/>
      <c r="AB20614" s="1"/>
    </row>
    <row r="20615" spans="15:28">
      <c r="O20615" s="1"/>
      <c r="P20615" s="1"/>
      <c r="Q20615" s="1"/>
      <c r="R20615" s="1"/>
      <c r="Z20615" s="93"/>
      <c r="AA20615" s="93"/>
      <c r="AB20615" s="1"/>
    </row>
    <row r="20616" spans="15:28">
      <c r="O20616" s="1"/>
      <c r="P20616" s="1"/>
      <c r="Q20616" s="1"/>
      <c r="R20616" s="1"/>
      <c r="Z20616" s="93"/>
      <c r="AA20616" s="93"/>
      <c r="AB20616" s="1"/>
    </row>
    <row r="20617" spans="15:28">
      <c r="O20617" s="1"/>
      <c r="P20617" s="1"/>
      <c r="Q20617" s="1"/>
      <c r="R20617" s="1"/>
      <c r="Z20617" s="93"/>
      <c r="AA20617" s="93"/>
      <c r="AB20617" s="1"/>
    </row>
    <row r="20618" spans="15:28">
      <c r="O20618" s="1"/>
      <c r="P20618" s="1"/>
      <c r="Q20618" s="1"/>
      <c r="R20618" s="1"/>
      <c r="Z20618" s="93"/>
      <c r="AA20618" s="93"/>
      <c r="AB20618" s="1"/>
    </row>
    <row r="20619" spans="15:28">
      <c r="O20619" s="1"/>
      <c r="P20619" s="1"/>
      <c r="Q20619" s="1"/>
      <c r="R20619" s="1"/>
      <c r="Z20619" s="93"/>
      <c r="AA20619" s="93"/>
      <c r="AB20619" s="1"/>
    </row>
    <row r="20620" spans="15:28">
      <c r="O20620" s="1"/>
      <c r="P20620" s="1"/>
      <c r="Q20620" s="1"/>
      <c r="R20620" s="1"/>
      <c r="Z20620" s="93"/>
      <c r="AA20620" s="93"/>
      <c r="AB20620" s="1"/>
    </row>
    <row r="20621" spans="15:28">
      <c r="O20621" s="1"/>
      <c r="P20621" s="1"/>
      <c r="Q20621" s="1"/>
      <c r="R20621" s="1"/>
      <c r="Z20621" s="93"/>
      <c r="AA20621" s="93"/>
      <c r="AB20621" s="1"/>
    </row>
    <row r="20622" spans="15:28">
      <c r="O20622" s="1"/>
      <c r="P20622" s="1"/>
      <c r="Q20622" s="1"/>
      <c r="R20622" s="1"/>
      <c r="Z20622" s="93"/>
      <c r="AA20622" s="93"/>
      <c r="AB20622" s="1"/>
    </row>
    <row r="20623" spans="15:28">
      <c r="O20623" s="1"/>
      <c r="P20623" s="1"/>
      <c r="Q20623" s="1"/>
      <c r="R20623" s="1"/>
      <c r="Z20623" s="93"/>
      <c r="AA20623" s="93"/>
      <c r="AB20623" s="1"/>
    </row>
    <row r="20624" spans="15:28">
      <c r="O20624" s="1"/>
      <c r="P20624" s="1"/>
      <c r="Q20624" s="1"/>
      <c r="R20624" s="1"/>
      <c r="Z20624" s="93"/>
      <c r="AA20624" s="93"/>
      <c r="AB20624" s="1"/>
    </row>
    <row r="20625" spans="15:28">
      <c r="O20625" s="1"/>
      <c r="P20625" s="1"/>
      <c r="Q20625" s="1"/>
      <c r="R20625" s="1"/>
      <c r="Z20625" s="93"/>
      <c r="AA20625" s="93"/>
      <c r="AB20625" s="1"/>
    </row>
    <row r="20626" spans="15:28">
      <c r="O20626" s="1"/>
      <c r="P20626" s="1"/>
      <c r="Q20626" s="1"/>
      <c r="R20626" s="1"/>
      <c r="Z20626" s="93"/>
      <c r="AA20626" s="93"/>
      <c r="AB20626" s="1"/>
    </row>
    <row r="20627" spans="15:28">
      <c r="O20627" s="1"/>
      <c r="P20627" s="1"/>
      <c r="Q20627" s="1"/>
      <c r="R20627" s="1"/>
      <c r="Z20627" s="93"/>
      <c r="AA20627" s="93"/>
      <c r="AB20627" s="1"/>
    </row>
    <row r="20628" spans="15:28">
      <c r="O20628" s="1"/>
      <c r="P20628" s="1"/>
      <c r="Q20628" s="1"/>
      <c r="R20628" s="1"/>
      <c r="Z20628" s="93"/>
      <c r="AA20628" s="93"/>
      <c r="AB20628" s="1"/>
    </row>
    <row r="20629" spans="15:28">
      <c r="O20629" s="1"/>
      <c r="P20629" s="1"/>
      <c r="Q20629" s="1"/>
      <c r="R20629" s="1"/>
      <c r="Z20629" s="93"/>
      <c r="AA20629" s="93"/>
      <c r="AB20629" s="1"/>
    </row>
    <row r="20630" spans="15:28">
      <c r="O20630" s="1"/>
      <c r="P20630" s="1"/>
      <c r="Q20630" s="1"/>
      <c r="R20630" s="1"/>
      <c r="Z20630" s="93"/>
      <c r="AA20630" s="93"/>
      <c r="AB20630" s="1"/>
    </row>
    <row r="20631" spans="15:28">
      <c r="O20631" s="1"/>
      <c r="P20631" s="1"/>
      <c r="Q20631" s="1"/>
      <c r="R20631" s="1"/>
      <c r="Z20631" s="93"/>
      <c r="AA20631" s="93"/>
      <c r="AB20631" s="1"/>
    </row>
    <row r="20632" spans="15:28">
      <c r="O20632" s="1"/>
      <c r="P20632" s="1"/>
      <c r="Q20632" s="1"/>
      <c r="R20632" s="1"/>
      <c r="Z20632" s="93"/>
      <c r="AA20632" s="93"/>
      <c r="AB20632" s="1"/>
    </row>
    <row r="20633" spans="15:28">
      <c r="O20633" s="1"/>
      <c r="P20633" s="1"/>
      <c r="Q20633" s="1"/>
      <c r="R20633" s="1"/>
      <c r="Z20633" s="93"/>
      <c r="AA20633" s="93"/>
      <c r="AB20633" s="1"/>
    </row>
    <row r="20634" spans="15:28">
      <c r="O20634" s="1"/>
      <c r="P20634" s="1"/>
      <c r="Q20634" s="1"/>
      <c r="R20634" s="1"/>
      <c r="Z20634" s="93"/>
      <c r="AA20634" s="93"/>
      <c r="AB20634" s="1"/>
    </row>
    <row r="20635" spans="15:28">
      <c r="O20635" s="1"/>
      <c r="P20635" s="1"/>
      <c r="Q20635" s="1"/>
      <c r="R20635" s="1"/>
      <c r="Z20635" s="93"/>
      <c r="AA20635" s="93"/>
      <c r="AB20635" s="1"/>
    </row>
    <row r="20636" spans="15:28">
      <c r="O20636" s="1"/>
      <c r="P20636" s="1"/>
      <c r="Q20636" s="1"/>
      <c r="R20636" s="1"/>
      <c r="Z20636" s="93"/>
      <c r="AA20636" s="93"/>
      <c r="AB20636" s="1"/>
    </row>
    <row r="20637" spans="15:28">
      <c r="O20637" s="1"/>
      <c r="P20637" s="1"/>
      <c r="Q20637" s="1"/>
      <c r="R20637" s="1"/>
      <c r="Z20637" s="93"/>
      <c r="AA20637" s="93"/>
      <c r="AB20637" s="1"/>
    </row>
    <row r="20638" spans="15:28">
      <c r="O20638" s="1"/>
      <c r="P20638" s="1"/>
      <c r="Q20638" s="1"/>
      <c r="R20638" s="1"/>
      <c r="Z20638" s="93"/>
      <c r="AA20638" s="93"/>
      <c r="AB20638" s="1"/>
    </row>
    <row r="20639" spans="15:28">
      <c r="O20639" s="1"/>
      <c r="P20639" s="1"/>
      <c r="Q20639" s="1"/>
      <c r="R20639" s="1"/>
      <c r="Z20639" s="93"/>
      <c r="AA20639" s="93"/>
      <c r="AB20639" s="1"/>
    </row>
    <row r="20640" spans="15:28">
      <c r="O20640" s="1"/>
      <c r="P20640" s="1"/>
      <c r="Q20640" s="1"/>
      <c r="R20640" s="1"/>
      <c r="Z20640" s="93"/>
      <c r="AA20640" s="93"/>
      <c r="AB20640" s="1"/>
    </row>
    <row r="20641" spans="15:28">
      <c r="O20641" s="1"/>
      <c r="P20641" s="1"/>
      <c r="Q20641" s="1"/>
      <c r="R20641" s="1"/>
      <c r="Z20641" s="93"/>
      <c r="AA20641" s="93"/>
      <c r="AB20641" s="1"/>
    </row>
    <row r="20642" spans="15:28">
      <c r="O20642" s="1"/>
      <c r="P20642" s="1"/>
      <c r="Q20642" s="1"/>
      <c r="R20642" s="1"/>
      <c r="Z20642" s="93"/>
      <c r="AA20642" s="93"/>
      <c r="AB20642" s="1"/>
    </row>
    <row r="20643" spans="15:28">
      <c r="O20643" s="1"/>
      <c r="P20643" s="1"/>
      <c r="Q20643" s="1"/>
      <c r="R20643" s="1"/>
      <c r="Z20643" s="93"/>
      <c r="AA20643" s="93"/>
      <c r="AB20643" s="1"/>
    </row>
    <row r="20644" spans="15:28">
      <c r="O20644" s="1"/>
      <c r="P20644" s="1"/>
      <c r="Q20644" s="1"/>
      <c r="R20644" s="1"/>
      <c r="Z20644" s="93"/>
      <c r="AA20644" s="93"/>
      <c r="AB20644" s="1"/>
    </row>
    <row r="20645" spans="15:28">
      <c r="O20645" s="1"/>
      <c r="P20645" s="1"/>
      <c r="Q20645" s="1"/>
      <c r="R20645" s="1"/>
      <c r="Z20645" s="93"/>
      <c r="AA20645" s="93"/>
      <c r="AB20645" s="1"/>
    </row>
    <row r="20646" spans="15:28">
      <c r="O20646" s="1"/>
      <c r="P20646" s="1"/>
      <c r="Q20646" s="1"/>
      <c r="R20646" s="1"/>
      <c r="Z20646" s="93"/>
      <c r="AA20646" s="93"/>
      <c r="AB20646" s="1"/>
    </row>
    <row r="20647" spans="15:28">
      <c r="O20647" s="1"/>
      <c r="P20647" s="1"/>
      <c r="Q20647" s="1"/>
      <c r="R20647" s="1"/>
      <c r="Z20647" s="93"/>
      <c r="AA20647" s="93"/>
      <c r="AB20647" s="1"/>
    </row>
    <row r="20648" spans="15:28">
      <c r="O20648" s="1"/>
      <c r="P20648" s="1"/>
      <c r="Q20648" s="1"/>
      <c r="R20648" s="1"/>
      <c r="Z20648" s="93"/>
      <c r="AA20648" s="93"/>
      <c r="AB20648" s="1"/>
    </row>
    <row r="20649" spans="15:28">
      <c r="O20649" s="1"/>
      <c r="P20649" s="1"/>
      <c r="Q20649" s="1"/>
      <c r="R20649" s="1"/>
      <c r="Z20649" s="93"/>
      <c r="AA20649" s="93"/>
      <c r="AB20649" s="1"/>
    </row>
    <row r="20650" spans="15:28">
      <c r="O20650" s="1"/>
      <c r="P20650" s="1"/>
      <c r="Q20650" s="1"/>
      <c r="R20650" s="1"/>
      <c r="Z20650" s="93"/>
      <c r="AA20650" s="93"/>
      <c r="AB20650" s="1"/>
    </row>
    <row r="20651" spans="15:28">
      <c r="O20651" s="1"/>
      <c r="P20651" s="1"/>
      <c r="Q20651" s="1"/>
      <c r="R20651" s="1"/>
      <c r="Z20651" s="93"/>
      <c r="AA20651" s="93"/>
      <c r="AB20651" s="1"/>
    </row>
    <row r="20652" spans="15:28">
      <c r="O20652" s="1"/>
      <c r="P20652" s="1"/>
      <c r="Q20652" s="1"/>
      <c r="R20652" s="1"/>
      <c r="Z20652" s="93"/>
      <c r="AA20652" s="93"/>
      <c r="AB20652" s="1"/>
    </row>
    <row r="20653" spans="15:28">
      <c r="O20653" s="1"/>
      <c r="P20653" s="1"/>
      <c r="Q20653" s="1"/>
      <c r="R20653" s="1"/>
      <c r="Z20653" s="93"/>
      <c r="AA20653" s="93"/>
      <c r="AB20653" s="1"/>
    </row>
    <row r="20654" spans="15:28">
      <c r="O20654" s="1"/>
      <c r="P20654" s="1"/>
      <c r="Q20654" s="1"/>
      <c r="R20654" s="1"/>
      <c r="Z20654" s="93"/>
      <c r="AA20654" s="93"/>
      <c r="AB20654" s="1"/>
    </row>
    <row r="20655" spans="15:28">
      <c r="O20655" s="1"/>
      <c r="P20655" s="1"/>
      <c r="Q20655" s="1"/>
      <c r="R20655" s="1"/>
      <c r="Z20655" s="93"/>
      <c r="AA20655" s="93"/>
      <c r="AB20655" s="1"/>
    </row>
    <row r="20656" spans="15:28">
      <c r="O20656" s="1"/>
      <c r="P20656" s="1"/>
      <c r="Q20656" s="1"/>
      <c r="R20656" s="1"/>
      <c r="Z20656" s="93"/>
      <c r="AA20656" s="93"/>
      <c r="AB20656" s="1"/>
    </row>
    <row r="20657" spans="15:28">
      <c r="O20657" s="1"/>
      <c r="P20657" s="1"/>
      <c r="Q20657" s="1"/>
      <c r="R20657" s="1"/>
      <c r="Z20657" s="93"/>
      <c r="AA20657" s="93"/>
      <c r="AB20657" s="1"/>
    </row>
    <row r="20658" spans="15:28">
      <c r="O20658" s="1"/>
      <c r="P20658" s="1"/>
      <c r="Q20658" s="1"/>
      <c r="R20658" s="1"/>
      <c r="Z20658" s="93"/>
      <c r="AA20658" s="93"/>
      <c r="AB20658" s="1"/>
    </row>
    <row r="20659" spans="15:28">
      <c r="O20659" s="1"/>
      <c r="P20659" s="1"/>
      <c r="Q20659" s="1"/>
      <c r="R20659" s="1"/>
      <c r="Z20659" s="93"/>
      <c r="AA20659" s="93"/>
      <c r="AB20659" s="1"/>
    </row>
    <row r="20660" spans="15:28">
      <c r="O20660" s="1"/>
      <c r="P20660" s="1"/>
      <c r="Q20660" s="1"/>
      <c r="R20660" s="1"/>
      <c r="Z20660" s="93"/>
      <c r="AA20660" s="93"/>
      <c r="AB20660" s="1"/>
    </row>
    <row r="20661" spans="15:28">
      <c r="O20661" s="1"/>
      <c r="P20661" s="1"/>
      <c r="Q20661" s="1"/>
      <c r="R20661" s="1"/>
      <c r="Z20661" s="93"/>
      <c r="AA20661" s="93"/>
      <c r="AB20661" s="1"/>
    </row>
    <row r="20662" spans="15:28">
      <c r="O20662" s="1"/>
      <c r="P20662" s="1"/>
      <c r="Q20662" s="1"/>
      <c r="R20662" s="1"/>
      <c r="Z20662" s="93"/>
      <c r="AA20662" s="93"/>
      <c r="AB20662" s="1"/>
    </row>
    <row r="20663" spans="15:28">
      <c r="O20663" s="1"/>
      <c r="P20663" s="1"/>
      <c r="Q20663" s="1"/>
      <c r="R20663" s="1"/>
      <c r="Z20663" s="93"/>
      <c r="AA20663" s="93"/>
      <c r="AB20663" s="1"/>
    </row>
    <row r="20664" spans="15:28">
      <c r="O20664" s="1"/>
      <c r="P20664" s="1"/>
      <c r="Q20664" s="1"/>
      <c r="R20664" s="1"/>
      <c r="Z20664" s="93"/>
      <c r="AA20664" s="93"/>
      <c r="AB20664" s="1"/>
    </row>
    <row r="20665" spans="15:28">
      <c r="O20665" s="1"/>
      <c r="P20665" s="1"/>
      <c r="Q20665" s="1"/>
      <c r="R20665" s="1"/>
      <c r="Z20665" s="93"/>
      <c r="AA20665" s="93"/>
      <c r="AB20665" s="1"/>
    </row>
    <row r="20666" spans="15:28">
      <c r="O20666" s="1"/>
      <c r="P20666" s="1"/>
      <c r="Q20666" s="1"/>
      <c r="R20666" s="1"/>
      <c r="Z20666" s="93"/>
      <c r="AA20666" s="93"/>
      <c r="AB20666" s="1"/>
    </row>
    <row r="20667" spans="15:28">
      <c r="O20667" s="1"/>
      <c r="P20667" s="1"/>
      <c r="Q20667" s="1"/>
      <c r="R20667" s="1"/>
      <c r="Z20667" s="93"/>
      <c r="AA20667" s="93"/>
      <c r="AB20667" s="1"/>
    </row>
    <row r="20668" spans="15:28">
      <c r="O20668" s="1"/>
      <c r="P20668" s="1"/>
      <c r="Q20668" s="1"/>
      <c r="R20668" s="1"/>
      <c r="Z20668" s="93"/>
      <c r="AA20668" s="93"/>
      <c r="AB20668" s="1"/>
    </row>
    <row r="20669" spans="15:28">
      <c r="O20669" s="1"/>
      <c r="P20669" s="1"/>
      <c r="Q20669" s="1"/>
      <c r="R20669" s="1"/>
      <c r="Z20669" s="93"/>
      <c r="AA20669" s="93"/>
      <c r="AB20669" s="1"/>
    </row>
    <row r="20670" spans="15:28">
      <c r="O20670" s="1"/>
      <c r="P20670" s="1"/>
      <c r="Q20670" s="1"/>
      <c r="R20670" s="1"/>
      <c r="Z20670" s="93"/>
      <c r="AA20670" s="93"/>
      <c r="AB20670" s="1"/>
    </row>
    <row r="20671" spans="15:28">
      <c r="O20671" s="1"/>
      <c r="P20671" s="1"/>
      <c r="Q20671" s="1"/>
      <c r="R20671" s="1"/>
      <c r="Z20671" s="93"/>
      <c r="AA20671" s="93"/>
      <c r="AB20671" s="1"/>
    </row>
    <row r="20672" spans="15:28">
      <c r="O20672" s="1"/>
      <c r="P20672" s="1"/>
      <c r="Q20672" s="1"/>
      <c r="R20672" s="1"/>
      <c r="Z20672" s="93"/>
      <c r="AA20672" s="93"/>
      <c r="AB20672" s="1"/>
    </row>
    <row r="20673" spans="15:28">
      <c r="O20673" s="1"/>
      <c r="P20673" s="1"/>
      <c r="Q20673" s="1"/>
      <c r="R20673" s="1"/>
      <c r="Z20673" s="93"/>
      <c r="AA20673" s="93"/>
      <c r="AB20673" s="1"/>
    </row>
    <row r="20674" spans="15:28">
      <c r="O20674" s="1"/>
      <c r="P20674" s="1"/>
      <c r="Q20674" s="1"/>
      <c r="R20674" s="1"/>
      <c r="Z20674" s="93"/>
      <c r="AA20674" s="93"/>
      <c r="AB20674" s="1"/>
    </row>
    <row r="20675" spans="15:28">
      <c r="O20675" s="1"/>
      <c r="P20675" s="1"/>
      <c r="Q20675" s="1"/>
      <c r="R20675" s="1"/>
      <c r="Z20675" s="93"/>
      <c r="AA20675" s="93"/>
      <c r="AB20675" s="1"/>
    </row>
    <row r="20676" spans="15:28">
      <c r="O20676" s="1"/>
      <c r="P20676" s="1"/>
      <c r="Q20676" s="1"/>
      <c r="R20676" s="1"/>
      <c r="Z20676" s="93"/>
      <c r="AA20676" s="93"/>
      <c r="AB20676" s="1"/>
    </row>
    <row r="20677" spans="15:28">
      <c r="O20677" s="1"/>
      <c r="P20677" s="1"/>
      <c r="Q20677" s="1"/>
      <c r="R20677" s="1"/>
      <c r="Z20677" s="93"/>
      <c r="AA20677" s="93"/>
      <c r="AB20677" s="1"/>
    </row>
    <row r="20678" spans="15:28">
      <c r="O20678" s="1"/>
      <c r="P20678" s="1"/>
      <c r="Q20678" s="1"/>
      <c r="R20678" s="1"/>
      <c r="Z20678" s="93"/>
      <c r="AA20678" s="93"/>
      <c r="AB20678" s="1"/>
    </row>
    <row r="20679" spans="15:28">
      <c r="O20679" s="1"/>
      <c r="P20679" s="1"/>
      <c r="Q20679" s="1"/>
      <c r="R20679" s="1"/>
      <c r="Z20679" s="93"/>
      <c r="AA20679" s="93"/>
      <c r="AB20679" s="1"/>
    </row>
    <row r="20680" spans="15:28">
      <c r="O20680" s="1"/>
      <c r="P20680" s="1"/>
      <c r="Q20680" s="1"/>
      <c r="R20680" s="1"/>
      <c r="Z20680" s="93"/>
      <c r="AA20680" s="93"/>
      <c r="AB20680" s="1"/>
    </row>
    <row r="20681" spans="15:28">
      <c r="O20681" s="1"/>
      <c r="P20681" s="1"/>
      <c r="Q20681" s="1"/>
      <c r="R20681" s="1"/>
      <c r="Z20681" s="93"/>
      <c r="AA20681" s="93"/>
      <c r="AB20681" s="1"/>
    </row>
    <row r="20682" spans="15:28">
      <c r="O20682" s="1"/>
      <c r="P20682" s="1"/>
      <c r="Q20682" s="1"/>
      <c r="R20682" s="1"/>
      <c r="Z20682" s="93"/>
      <c r="AA20682" s="93"/>
      <c r="AB20682" s="1"/>
    </row>
    <row r="20683" spans="15:28">
      <c r="O20683" s="1"/>
      <c r="P20683" s="1"/>
      <c r="Q20683" s="1"/>
      <c r="R20683" s="1"/>
      <c r="Z20683" s="93"/>
      <c r="AA20683" s="93"/>
      <c r="AB20683" s="1"/>
    </row>
    <row r="20684" spans="15:28">
      <c r="O20684" s="1"/>
      <c r="P20684" s="1"/>
      <c r="Q20684" s="1"/>
      <c r="R20684" s="1"/>
      <c r="Z20684" s="93"/>
      <c r="AA20684" s="93"/>
      <c r="AB20684" s="1"/>
    </row>
    <row r="20685" spans="15:28">
      <c r="O20685" s="1"/>
      <c r="P20685" s="1"/>
      <c r="Q20685" s="1"/>
      <c r="R20685" s="1"/>
      <c r="Z20685" s="93"/>
      <c r="AA20685" s="93"/>
      <c r="AB20685" s="1"/>
    </row>
    <row r="20686" spans="15:28">
      <c r="O20686" s="1"/>
      <c r="P20686" s="1"/>
      <c r="Q20686" s="1"/>
      <c r="R20686" s="1"/>
      <c r="Z20686" s="93"/>
      <c r="AA20686" s="93"/>
      <c r="AB20686" s="1"/>
    </row>
    <row r="20687" spans="15:28">
      <c r="O20687" s="1"/>
      <c r="P20687" s="1"/>
      <c r="Q20687" s="1"/>
      <c r="R20687" s="1"/>
      <c r="Z20687" s="93"/>
      <c r="AA20687" s="93"/>
      <c r="AB20687" s="1"/>
    </row>
    <row r="20688" spans="15:28">
      <c r="O20688" s="1"/>
      <c r="P20688" s="1"/>
      <c r="Q20688" s="1"/>
      <c r="R20688" s="1"/>
      <c r="Z20688" s="93"/>
      <c r="AA20688" s="93"/>
      <c r="AB20688" s="1"/>
    </row>
    <row r="20689" spans="15:28">
      <c r="O20689" s="1"/>
      <c r="P20689" s="1"/>
      <c r="Q20689" s="1"/>
      <c r="R20689" s="1"/>
      <c r="Z20689" s="93"/>
      <c r="AA20689" s="93"/>
      <c r="AB20689" s="1"/>
    </row>
    <row r="20690" spans="15:28">
      <c r="O20690" s="1"/>
      <c r="P20690" s="1"/>
      <c r="Q20690" s="1"/>
      <c r="R20690" s="1"/>
      <c r="Z20690" s="93"/>
      <c r="AA20690" s="93"/>
      <c r="AB20690" s="1"/>
    </row>
    <row r="20691" spans="15:28">
      <c r="O20691" s="1"/>
      <c r="P20691" s="1"/>
      <c r="Q20691" s="1"/>
      <c r="R20691" s="1"/>
      <c r="Z20691" s="93"/>
      <c r="AA20691" s="93"/>
      <c r="AB20691" s="1"/>
    </row>
    <row r="20692" spans="15:28">
      <c r="O20692" s="1"/>
      <c r="P20692" s="1"/>
      <c r="Q20692" s="1"/>
      <c r="R20692" s="1"/>
      <c r="Z20692" s="93"/>
      <c r="AA20692" s="93"/>
      <c r="AB20692" s="1"/>
    </row>
    <row r="20693" spans="15:28">
      <c r="O20693" s="1"/>
      <c r="P20693" s="1"/>
      <c r="Q20693" s="1"/>
      <c r="R20693" s="1"/>
      <c r="Z20693" s="93"/>
      <c r="AA20693" s="93"/>
      <c r="AB20693" s="1"/>
    </row>
    <row r="20694" spans="15:28">
      <c r="O20694" s="1"/>
      <c r="P20694" s="1"/>
      <c r="Q20694" s="1"/>
      <c r="R20694" s="1"/>
      <c r="Z20694" s="93"/>
      <c r="AA20694" s="93"/>
      <c r="AB20694" s="1"/>
    </row>
    <row r="20695" spans="15:28">
      <c r="O20695" s="1"/>
      <c r="P20695" s="1"/>
      <c r="Q20695" s="1"/>
      <c r="R20695" s="1"/>
      <c r="Z20695" s="93"/>
      <c r="AA20695" s="93"/>
      <c r="AB20695" s="1"/>
    </row>
    <row r="20696" spans="15:28">
      <c r="O20696" s="1"/>
      <c r="P20696" s="1"/>
      <c r="Q20696" s="1"/>
      <c r="R20696" s="1"/>
      <c r="Z20696" s="93"/>
      <c r="AA20696" s="93"/>
      <c r="AB20696" s="1"/>
    </row>
    <row r="20697" spans="15:28">
      <c r="O20697" s="1"/>
      <c r="P20697" s="1"/>
      <c r="Q20697" s="1"/>
      <c r="R20697" s="1"/>
      <c r="Z20697" s="93"/>
      <c r="AA20697" s="93"/>
      <c r="AB20697" s="1"/>
    </row>
    <row r="20698" spans="15:28">
      <c r="O20698" s="1"/>
      <c r="P20698" s="1"/>
      <c r="Q20698" s="1"/>
      <c r="R20698" s="1"/>
      <c r="Z20698" s="93"/>
      <c r="AA20698" s="93"/>
      <c r="AB20698" s="1"/>
    </row>
    <row r="20699" spans="15:28">
      <c r="O20699" s="1"/>
      <c r="P20699" s="1"/>
      <c r="Q20699" s="1"/>
      <c r="R20699" s="1"/>
      <c r="Z20699" s="93"/>
      <c r="AA20699" s="93"/>
      <c r="AB20699" s="1"/>
    </row>
    <row r="20700" spans="15:28">
      <c r="O20700" s="1"/>
      <c r="P20700" s="1"/>
      <c r="Q20700" s="1"/>
      <c r="R20700" s="1"/>
      <c r="Z20700" s="93"/>
      <c r="AA20700" s="93"/>
      <c r="AB20700" s="1"/>
    </row>
    <row r="20701" spans="15:28">
      <c r="O20701" s="1"/>
      <c r="P20701" s="1"/>
      <c r="Q20701" s="1"/>
      <c r="R20701" s="1"/>
      <c r="Z20701" s="93"/>
      <c r="AA20701" s="93"/>
      <c r="AB20701" s="1"/>
    </row>
    <row r="20702" spans="15:28">
      <c r="O20702" s="1"/>
      <c r="P20702" s="1"/>
      <c r="Q20702" s="1"/>
      <c r="R20702" s="1"/>
      <c r="Z20702" s="93"/>
      <c r="AA20702" s="93"/>
      <c r="AB20702" s="1"/>
    </row>
    <row r="20703" spans="15:28">
      <c r="O20703" s="1"/>
      <c r="P20703" s="1"/>
      <c r="Q20703" s="1"/>
      <c r="R20703" s="1"/>
      <c r="Z20703" s="93"/>
      <c r="AA20703" s="93"/>
      <c r="AB20703" s="1"/>
    </row>
    <row r="20704" spans="15:28">
      <c r="O20704" s="1"/>
      <c r="P20704" s="1"/>
      <c r="Q20704" s="1"/>
      <c r="R20704" s="1"/>
      <c r="Z20704" s="93"/>
      <c r="AA20704" s="93"/>
      <c r="AB20704" s="1"/>
    </row>
    <row r="20705" spans="15:28">
      <c r="O20705" s="1"/>
      <c r="P20705" s="1"/>
      <c r="Q20705" s="1"/>
      <c r="R20705" s="1"/>
      <c r="Z20705" s="93"/>
      <c r="AA20705" s="93"/>
      <c r="AB20705" s="1"/>
    </row>
    <row r="20706" spans="15:28">
      <c r="O20706" s="1"/>
      <c r="P20706" s="1"/>
      <c r="Q20706" s="1"/>
      <c r="R20706" s="1"/>
      <c r="Z20706" s="93"/>
      <c r="AA20706" s="93"/>
      <c r="AB20706" s="1"/>
    </row>
    <row r="20707" spans="15:28">
      <c r="O20707" s="1"/>
      <c r="P20707" s="1"/>
      <c r="Q20707" s="1"/>
      <c r="R20707" s="1"/>
      <c r="Z20707" s="93"/>
      <c r="AA20707" s="93"/>
      <c r="AB20707" s="1"/>
    </row>
    <row r="20708" spans="15:28">
      <c r="O20708" s="1"/>
      <c r="P20708" s="1"/>
      <c r="Q20708" s="1"/>
      <c r="R20708" s="1"/>
      <c r="Z20708" s="93"/>
      <c r="AA20708" s="93"/>
      <c r="AB20708" s="1"/>
    </row>
    <row r="20709" spans="15:28">
      <c r="O20709" s="1"/>
      <c r="P20709" s="1"/>
      <c r="Q20709" s="1"/>
      <c r="R20709" s="1"/>
      <c r="Z20709" s="93"/>
      <c r="AA20709" s="93"/>
      <c r="AB20709" s="1"/>
    </row>
    <row r="20710" spans="15:28">
      <c r="O20710" s="1"/>
      <c r="P20710" s="1"/>
      <c r="Q20710" s="1"/>
      <c r="R20710" s="1"/>
      <c r="Z20710" s="93"/>
      <c r="AA20710" s="93"/>
      <c r="AB20710" s="1"/>
    </row>
    <row r="20711" spans="15:28">
      <c r="O20711" s="1"/>
      <c r="P20711" s="1"/>
      <c r="Q20711" s="1"/>
      <c r="R20711" s="1"/>
      <c r="Z20711" s="93"/>
      <c r="AA20711" s="93"/>
      <c r="AB20711" s="1"/>
    </row>
    <row r="20712" spans="15:28">
      <c r="O20712" s="1"/>
      <c r="P20712" s="1"/>
      <c r="Q20712" s="1"/>
      <c r="R20712" s="1"/>
      <c r="Z20712" s="93"/>
      <c r="AA20712" s="93"/>
      <c r="AB20712" s="1"/>
    </row>
    <row r="20713" spans="15:28">
      <c r="O20713" s="1"/>
      <c r="P20713" s="1"/>
      <c r="Q20713" s="1"/>
      <c r="R20713" s="1"/>
      <c r="Z20713" s="93"/>
      <c r="AA20713" s="93"/>
      <c r="AB20713" s="1"/>
    </row>
    <row r="20714" spans="15:28">
      <c r="O20714" s="1"/>
      <c r="P20714" s="1"/>
      <c r="Q20714" s="1"/>
      <c r="R20714" s="1"/>
      <c r="Z20714" s="93"/>
      <c r="AA20714" s="93"/>
      <c r="AB20714" s="1"/>
    </row>
    <row r="20715" spans="15:28">
      <c r="O20715" s="1"/>
      <c r="P20715" s="1"/>
      <c r="Q20715" s="1"/>
      <c r="R20715" s="1"/>
      <c r="Z20715" s="93"/>
      <c r="AA20715" s="93"/>
      <c r="AB20715" s="1"/>
    </row>
    <row r="20716" spans="15:28">
      <c r="O20716" s="1"/>
      <c r="P20716" s="1"/>
      <c r="Q20716" s="1"/>
      <c r="R20716" s="1"/>
      <c r="Z20716" s="93"/>
      <c r="AA20716" s="93"/>
      <c r="AB20716" s="1"/>
    </row>
    <row r="20717" spans="15:28">
      <c r="O20717" s="1"/>
      <c r="P20717" s="1"/>
      <c r="Q20717" s="1"/>
      <c r="R20717" s="1"/>
      <c r="Z20717" s="93"/>
      <c r="AA20717" s="93"/>
      <c r="AB20717" s="1"/>
    </row>
    <row r="20718" spans="15:28">
      <c r="O20718" s="1"/>
      <c r="P20718" s="1"/>
      <c r="Q20718" s="1"/>
      <c r="R20718" s="1"/>
      <c r="Z20718" s="93"/>
      <c r="AA20718" s="93"/>
      <c r="AB20718" s="1"/>
    </row>
    <row r="20719" spans="15:28">
      <c r="O20719" s="1"/>
      <c r="P20719" s="1"/>
      <c r="Q20719" s="1"/>
      <c r="R20719" s="1"/>
      <c r="Z20719" s="93"/>
      <c r="AA20719" s="93"/>
      <c r="AB20719" s="1"/>
    </row>
    <row r="20720" spans="15:28">
      <c r="O20720" s="1"/>
      <c r="P20720" s="1"/>
      <c r="Q20720" s="1"/>
      <c r="R20720" s="1"/>
      <c r="Z20720" s="93"/>
      <c r="AA20720" s="93"/>
      <c r="AB20720" s="1"/>
    </row>
    <row r="20721" spans="15:28">
      <c r="O20721" s="1"/>
      <c r="P20721" s="1"/>
      <c r="Q20721" s="1"/>
      <c r="R20721" s="1"/>
      <c r="Z20721" s="93"/>
      <c r="AA20721" s="93"/>
      <c r="AB20721" s="1"/>
    </row>
    <row r="20722" spans="15:28">
      <c r="O20722" s="1"/>
      <c r="P20722" s="1"/>
      <c r="Q20722" s="1"/>
      <c r="R20722" s="1"/>
      <c r="Z20722" s="93"/>
      <c r="AA20722" s="93"/>
      <c r="AB20722" s="1"/>
    </row>
    <row r="20723" spans="15:28">
      <c r="O20723" s="1"/>
      <c r="P20723" s="1"/>
      <c r="Q20723" s="1"/>
      <c r="R20723" s="1"/>
      <c r="Z20723" s="93"/>
      <c r="AA20723" s="93"/>
      <c r="AB20723" s="1"/>
    </row>
    <row r="20724" spans="15:28">
      <c r="O20724" s="1"/>
      <c r="P20724" s="1"/>
      <c r="Q20724" s="1"/>
      <c r="R20724" s="1"/>
      <c r="Z20724" s="93"/>
      <c r="AA20724" s="93"/>
      <c r="AB20724" s="1"/>
    </row>
    <row r="20725" spans="15:28">
      <c r="O20725" s="1"/>
      <c r="P20725" s="1"/>
      <c r="Q20725" s="1"/>
      <c r="R20725" s="1"/>
      <c r="Z20725" s="93"/>
      <c r="AA20725" s="93"/>
      <c r="AB20725" s="1"/>
    </row>
    <row r="20726" spans="15:28">
      <c r="O20726" s="1"/>
      <c r="P20726" s="1"/>
      <c r="Q20726" s="1"/>
      <c r="R20726" s="1"/>
      <c r="Z20726" s="93"/>
      <c r="AA20726" s="93"/>
      <c r="AB20726" s="1"/>
    </row>
    <row r="20727" spans="15:28">
      <c r="O20727" s="1"/>
      <c r="P20727" s="1"/>
      <c r="Q20727" s="1"/>
      <c r="R20727" s="1"/>
      <c r="Z20727" s="93"/>
      <c r="AA20727" s="93"/>
      <c r="AB20727" s="1"/>
    </row>
    <row r="20728" spans="15:28">
      <c r="O20728" s="1"/>
      <c r="P20728" s="1"/>
      <c r="Q20728" s="1"/>
      <c r="R20728" s="1"/>
      <c r="Z20728" s="93"/>
      <c r="AA20728" s="93"/>
      <c r="AB20728" s="1"/>
    </row>
    <row r="20729" spans="15:28">
      <c r="O20729" s="1"/>
      <c r="P20729" s="1"/>
      <c r="Q20729" s="1"/>
      <c r="R20729" s="1"/>
      <c r="Z20729" s="93"/>
      <c r="AA20729" s="93"/>
      <c r="AB20729" s="1"/>
    </row>
    <row r="20730" spans="15:28">
      <c r="O20730" s="1"/>
      <c r="P20730" s="1"/>
      <c r="Q20730" s="1"/>
      <c r="R20730" s="1"/>
      <c r="Z20730" s="93"/>
      <c r="AA20730" s="93"/>
      <c r="AB20730" s="1"/>
    </row>
    <row r="20731" spans="15:28">
      <c r="O20731" s="1"/>
      <c r="P20731" s="1"/>
      <c r="Q20731" s="1"/>
      <c r="R20731" s="1"/>
      <c r="Z20731" s="93"/>
      <c r="AA20731" s="93"/>
      <c r="AB20731" s="1"/>
    </row>
    <row r="20732" spans="15:28">
      <c r="O20732" s="1"/>
      <c r="P20732" s="1"/>
      <c r="Q20732" s="1"/>
      <c r="R20732" s="1"/>
      <c r="Z20732" s="93"/>
      <c r="AA20732" s="93"/>
      <c r="AB20732" s="1"/>
    </row>
    <row r="20733" spans="15:28">
      <c r="O20733" s="1"/>
      <c r="P20733" s="1"/>
      <c r="Q20733" s="1"/>
      <c r="R20733" s="1"/>
      <c r="Z20733" s="93"/>
      <c r="AA20733" s="93"/>
      <c r="AB20733" s="1"/>
    </row>
    <row r="20734" spans="15:28">
      <c r="O20734" s="1"/>
      <c r="P20734" s="1"/>
      <c r="Q20734" s="1"/>
      <c r="R20734" s="1"/>
      <c r="Z20734" s="93"/>
      <c r="AA20734" s="93"/>
      <c r="AB20734" s="1"/>
    </row>
    <row r="20735" spans="15:28">
      <c r="O20735" s="1"/>
      <c r="P20735" s="1"/>
      <c r="Q20735" s="1"/>
      <c r="R20735" s="1"/>
      <c r="Z20735" s="93"/>
      <c r="AA20735" s="93"/>
      <c r="AB20735" s="1"/>
    </row>
    <row r="20736" spans="15:28">
      <c r="O20736" s="1"/>
      <c r="P20736" s="1"/>
      <c r="Q20736" s="1"/>
      <c r="R20736" s="1"/>
      <c r="Z20736" s="93"/>
      <c r="AA20736" s="93"/>
      <c r="AB20736" s="1"/>
    </row>
    <row r="20737" spans="15:28">
      <c r="O20737" s="1"/>
      <c r="P20737" s="1"/>
      <c r="Q20737" s="1"/>
      <c r="R20737" s="1"/>
      <c r="Z20737" s="93"/>
      <c r="AA20737" s="93"/>
      <c r="AB20737" s="1"/>
    </row>
    <row r="20738" spans="15:28">
      <c r="O20738" s="1"/>
      <c r="P20738" s="1"/>
      <c r="Q20738" s="1"/>
      <c r="R20738" s="1"/>
      <c r="Z20738" s="93"/>
      <c r="AA20738" s="93"/>
      <c r="AB20738" s="1"/>
    </row>
    <row r="20739" spans="15:28">
      <c r="O20739" s="1"/>
      <c r="P20739" s="1"/>
      <c r="Q20739" s="1"/>
      <c r="R20739" s="1"/>
      <c r="Z20739" s="93"/>
      <c r="AA20739" s="93"/>
      <c r="AB20739" s="1"/>
    </row>
    <row r="20740" spans="15:28">
      <c r="O20740" s="1"/>
      <c r="P20740" s="1"/>
      <c r="Q20740" s="1"/>
      <c r="R20740" s="1"/>
      <c r="Z20740" s="93"/>
      <c r="AA20740" s="93"/>
      <c r="AB20740" s="1"/>
    </row>
    <row r="20741" spans="15:28">
      <c r="O20741" s="1"/>
      <c r="P20741" s="1"/>
      <c r="Q20741" s="1"/>
      <c r="R20741" s="1"/>
      <c r="Z20741" s="93"/>
      <c r="AA20741" s="93"/>
      <c r="AB20741" s="1"/>
    </row>
    <row r="20742" spans="15:28">
      <c r="O20742" s="1"/>
      <c r="P20742" s="1"/>
      <c r="Q20742" s="1"/>
      <c r="R20742" s="1"/>
      <c r="Z20742" s="93"/>
      <c r="AA20742" s="93"/>
      <c r="AB20742" s="1"/>
    </row>
    <row r="20743" spans="15:28">
      <c r="O20743" s="1"/>
      <c r="P20743" s="1"/>
      <c r="Q20743" s="1"/>
      <c r="R20743" s="1"/>
      <c r="Z20743" s="93"/>
      <c r="AA20743" s="93"/>
      <c r="AB20743" s="1"/>
    </row>
    <row r="20744" spans="15:28">
      <c r="O20744" s="1"/>
      <c r="P20744" s="1"/>
      <c r="Q20744" s="1"/>
      <c r="R20744" s="1"/>
      <c r="Z20744" s="93"/>
      <c r="AA20744" s="93"/>
      <c r="AB20744" s="1"/>
    </row>
    <row r="20745" spans="15:28">
      <c r="O20745" s="1"/>
      <c r="P20745" s="1"/>
      <c r="Q20745" s="1"/>
      <c r="R20745" s="1"/>
      <c r="Z20745" s="93"/>
      <c r="AA20745" s="93"/>
      <c r="AB20745" s="1"/>
    </row>
    <row r="20746" spans="15:28">
      <c r="O20746" s="1"/>
      <c r="P20746" s="1"/>
      <c r="Q20746" s="1"/>
      <c r="R20746" s="1"/>
      <c r="Z20746" s="93"/>
      <c r="AA20746" s="93"/>
      <c r="AB20746" s="1"/>
    </row>
    <row r="20747" spans="15:28">
      <c r="O20747" s="1"/>
      <c r="P20747" s="1"/>
      <c r="Q20747" s="1"/>
      <c r="R20747" s="1"/>
      <c r="Z20747" s="93"/>
      <c r="AA20747" s="93"/>
      <c r="AB20747" s="1"/>
    </row>
    <row r="20748" spans="15:28">
      <c r="O20748" s="1"/>
      <c r="P20748" s="1"/>
      <c r="Q20748" s="1"/>
      <c r="R20748" s="1"/>
      <c r="Z20748" s="93"/>
      <c r="AA20748" s="93"/>
      <c r="AB20748" s="1"/>
    </row>
    <row r="20749" spans="15:28">
      <c r="O20749" s="1"/>
      <c r="P20749" s="1"/>
      <c r="Q20749" s="1"/>
      <c r="R20749" s="1"/>
      <c r="Z20749" s="93"/>
      <c r="AA20749" s="93"/>
      <c r="AB20749" s="1"/>
    </row>
    <row r="20750" spans="15:28">
      <c r="O20750" s="1"/>
      <c r="P20750" s="1"/>
      <c r="Q20750" s="1"/>
      <c r="R20750" s="1"/>
      <c r="Z20750" s="93"/>
      <c r="AA20750" s="93"/>
      <c r="AB20750" s="1"/>
    </row>
    <row r="20751" spans="15:28">
      <c r="O20751" s="1"/>
      <c r="P20751" s="1"/>
      <c r="Q20751" s="1"/>
      <c r="R20751" s="1"/>
      <c r="Z20751" s="93"/>
      <c r="AA20751" s="93"/>
      <c r="AB20751" s="1"/>
    </row>
    <row r="20752" spans="15:28">
      <c r="O20752" s="1"/>
      <c r="P20752" s="1"/>
      <c r="Q20752" s="1"/>
      <c r="R20752" s="1"/>
      <c r="Z20752" s="93"/>
      <c r="AA20752" s="93"/>
      <c r="AB20752" s="1"/>
    </row>
    <row r="20753" spans="15:28">
      <c r="O20753" s="1"/>
      <c r="P20753" s="1"/>
      <c r="Q20753" s="1"/>
      <c r="R20753" s="1"/>
      <c r="Z20753" s="93"/>
      <c r="AA20753" s="93"/>
      <c r="AB20753" s="1"/>
    </row>
    <row r="20754" spans="15:28">
      <c r="O20754" s="1"/>
      <c r="P20754" s="1"/>
      <c r="Q20754" s="1"/>
      <c r="R20754" s="1"/>
      <c r="Z20754" s="93"/>
      <c r="AA20754" s="93"/>
      <c r="AB20754" s="1"/>
    </row>
    <row r="20755" spans="15:28">
      <c r="O20755" s="1"/>
      <c r="P20755" s="1"/>
      <c r="Q20755" s="1"/>
      <c r="R20755" s="1"/>
      <c r="Z20755" s="93"/>
      <c r="AA20755" s="93"/>
      <c r="AB20755" s="1"/>
    </row>
    <row r="20756" spans="15:28">
      <c r="O20756" s="1"/>
      <c r="P20756" s="1"/>
      <c r="Q20756" s="1"/>
      <c r="R20756" s="1"/>
      <c r="Z20756" s="93"/>
      <c r="AA20756" s="93"/>
      <c r="AB20756" s="1"/>
    </row>
    <row r="20757" spans="15:28">
      <c r="O20757" s="1"/>
      <c r="P20757" s="1"/>
      <c r="Q20757" s="1"/>
      <c r="R20757" s="1"/>
      <c r="Z20757" s="93"/>
      <c r="AA20757" s="93"/>
      <c r="AB20757" s="1"/>
    </row>
    <row r="20758" spans="15:28">
      <c r="O20758" s="1"/>
      <c r="P20758" s="1"/>
      <c r="Q20758" s="1"/>
      <c r="R20758" s="1"/>
      <c r="Z20758" s="93"/>
      <c r="AA20758" s="93"/>
      <c r="AB20758" s="1"/>
    </row>
    <row r="20759" spans="15:28">
      <c r="O20759" s="1"/>
      <c r="P20759" s="1"/>
      <c r="Q20759" s="1"/>
      <c r="R20759" s="1"/>
      <c r="Z20759" s="93"/>
      <c r="AA20759" s="93"/>
      <c r="AB20759" s="1"/>
    </row>
    <row r="20760" spans="15:28">
      <c r="O20760" s="1"/>
      <c r="P20760" s="1"/>
      <c r="Q20760" s="1"/>
      <c r="R20760" s="1"/>
      <c r="Z20760" s="93"/>
      <c r="AA20760" s="93"/>
      <c r="AB20760" s="1"/>
    </row>
    <row r="20761" spans="15:28">
      <c r="O20761" s="1"/>
      <c r="P20761" s="1"/>
      <c r="Q20761" s="1"/>
      <c r="R20761" s="1"/>
      <c r="Z20761" s="93"/>
      <c r="AA20761" s="93"/>
      <c r="AB20761" s="1"/>
    </row>
    <row r="20762" spans="15:28">
      <c r="O20762" s="1"/>
      <c r="P20762" s="1"/>
      <c r="Q20762" s="1"/>
      <c r="R20762" s="1"/>
      <c r="Z20762" s="93"/>
      <c r="AA20762" s="93"/>
      <c r="AB20762" s="1"/>
    </row>
    <row r="20763" spans="15:28">
      <c r="O20763" s="1"/>
      <c r="P20763" s="1"/>
      <c r="Q20763" s="1"/>
      <c r="R20763" s="1"/>
      <c r="Z20763" s="93"/>
      <c r="AA20763" s="93"/>
      <c r="AB20763" s="1"/>
    </row>
    <row r="20764" spans="15:28">
      <c r="O20764" s="1"/>
      <c r="P20764" s="1"/>
      <c r="Q20764" s="1"/>
      <c r="R20764" s="1"/>
      <c r="Z20764" s="93"/>
      <c r="AA20764" s="93"/>
      <c r="AB20764" s="1"/>
    </row>
    <row r="20765" spans="15:28">
      <c r="O20765" s="1"/>
      <c r="P20765" s="1"/>
      <c r="Q20765" s="1"/>
      <c r="R20765" s="1"/>
      <c r="Z20765" s="93"/>
      <c r="AA20765" s="93"/>
      <c r="AB20765" s="1"/>
    </row>
    <row r="20766" spans="15:28">
      <c r="O20766" s="1"/>
      <c r="P20766" s="1"/>
      <c r="Q20766" s="1"/>
      <c r="R20766" s="1"/>
      <c r="Z20766" s="93"/>
      <c r="AA20766" s="93"/>
      <c r="AB20766" s="1"/>
    </row>
    <row r="20767" spans="15:28">
      <c r="O20767" s="1"/>
      <c r="P20767" s="1"/>
      <c r="Q20767" s="1"/>
      <c r="R20767" s="1"/>
      <c r="Z20767" s="93"/>
      <c r="AA20767" s="93"/>
      <c r="AB20767" s="1"/>
    </row>
    <row r="20768" spans="15:28">
      <c r="O20768" s="1"/>
      <c r="P20768" s="1"/>
      <c r="Q20768" s="1"/>
      <c r="R20768" s="1"/>
      <c r="Z20768" s="93"/>
      <c r="AA20768" s="93"/>
      <c r="AB20768" s="1"/>
    </row>
    <row r="20769" spans="15:28">
      <c r="O20769" s="1"/>
      <c r="P20769" s="1"/>
      <c r="Q20769" s="1"/>
      <c r="R20769" s="1"/>
      <c r="Z20769" s="93"/>
      <c r="AA20769" s="93"/>
      <c r="AB20769" s="1"/>
    </row>
    <row r="20770" spans="15:28">
      <c r="O20770" s="1"/>
      <c r="P20770" s="1"/>
      <c r="Q20770" s="1"/>
      <c r="R20770" s="1"/>
      <c r="Z20770" s="93"/>
      <c r="AA20770" s="93"/>
      <c r="AB20770" s="1"/>
    </row>
    <row r="20771" spans="15:28">
      <c r="O20771" s="1"/>
      <c r="P20771" s="1"/>
      <c r="Q20771" s="1"/>
      <c r="R20771" s="1"/>
      <c r="Z20771" s="93"/>
      <c r="AA20771" s="93"/>
      <c r="AB20771" s="1"/>
    </row>
    <row r="20772" spans="15:28">
      <c r="O20772" s="1"/>
      <c r="P20772" s="1"/>
      <c r="Q20772" s="1"/>
      <c r="R20772" s="1"/>
      <c r="Z20772" s="93"/>
      <c r="AA20772" s="93"/>
      <c r="AB20772" s="1"/>
    </row>
    <row r="20773" spans="15:28">
      <c r="O20773" s="1"/>
      <c r="P20773" s="1"/>
      <c r="Q20773" s="1"/>
      <c r="R20773" s="1"/>
      <c r="Z20773" s="93"/>
      <c r="AA20773" s="93"/>
      <c r="AB20773" s="1"/>
    </row>
    <row r="20774" spans="15:28">
      <c r="O20774" s="1"/>
      <c r="P20774" s="1"/>
      <c r="Q20774" s="1"/>
      <c r="R20774" s="1"/>
      <c r="Z20774" s="93"/>
      <c r="AA20774" s="93"/>
      <c r="AB20774" s="1"/>
    </row>
    <row r="20775" spans="15:28">
      <c r="O20775" s="1"/>
      <c r="P20775" s="1"/>
      <c r="Q20775" s="1"/>
      <c r="R20775" s="1"/>
      <c r="Z20775" s="93"/>
      <c r="AA20775" s="93"/>
      <c r="AB20775" s="1"/>
    </row>
    <row r="20776" spans="15:28">
      <c r="O20776" s="1"/>
      <c r="P20776" s="1"/>
      <c r="Q20776" s="1"/>
      <c r="R20776" s="1"/>
      <c r="Z20776" s="93"/>
      <c r="AA20776" s="93"/>
      <c r="AB20776" s="1"/>
    </row>
    <row r="20777" spans="15:28">
      <c r="O20777" s="1"/>
      <c r="P20777" s="1"/>
      <c r="Q20777" s="1"/>
      <c r="R20777" s="1"/>
      <c r="Z20777" s="93"/>
      <c r="AA20777" s="93"/>
      <c r="AB20777" s="1"/>
    </row>
    <row r="20778" spans="15:28">
      <c r="O20778" s="1"/>
      <c r="P20778" s="1"/>
      <c r="Q20778" s="1"/>
      <c r="R20778" s="1"/>
      <c r="Z20778" s="93"/>
      <c r="AA20778" s="93"/>
      <c r="AB20778" s="1"/>
    </row>
    <row r="20779" spans="15:28">
      <c r="O20779" s="1"/>
      <c r="P20779" s="1"/>
      <c r="Q20779" s="1"/>
      <c r="R20779" s="1"/>
      <c r="Z20779" s="93"/>
      <c r="AA20779" s="93"/>
      <c r="AB20779" s="1"/>
    </row>
    <row r="20780" spans="15:28">
      <c r="O20780" s="1"/>
      <c r="P20780" s="1"/>
      <c r="Q20780" s="1"/>
      <c r="R20780" s="1"/>
      <c r="Z20780" s="93"/>
      <c r="AA20780" s="93"/>
      <c r="AB20780" s="1"/>
    </row>
    <row r="20781" spans="15:28">
      <c r="O20781" s="1"/>
      <c r="P20781" s="1"/>
      <c r="Q20781" s="1"/>
      <c r="R20781" s="1"/>
      <c r="Z20781" s="93"/>
      <c r="AA20781" s="93"/>
      <c r="AB20781" s="1"/>
    </row>
    <row r="20782" spans="15:28">
      <c r="O20782" s="1"/>
      <c r="P20782" s="1"/>
      <c r="Q20782" s="1"/>
      <c r="R20782" s="1"/>
      <c r="Z20782" s="93"/>
      <c r="AA20782" s="93"/>
      <c r="AB20782" s="1"/>
    </row>
    <row r="20783" spans="15:28">
      <c r="O20783" s="1"/>
      <c r="P20783" s="1"/>
      <c r="Q20783" s="1"/>
      <c r="R20783" s="1"/>
      <c r="Z20783" s="93"/>
      <c r="AA20783" s="93"/>
      <c r="AB20783" s="1"/>
    </row>
    <row r="20784" spans="15:28">
      <c r="O20784" s="1"/>
      <c r="P20784" s="1"/>
      <c r="Q20784" s="1"/>
      <c r="R20784" s="1"/>
      <c r="Z20784" s="93"/>
      <c r="AA20784" s="93"/>
      <c r="AB20784" s="1"/>
    </row>
    <row r="20785" spans="15:28">
      <c r="O20785" s="1"/>
      <c r="P20785" s="1"/>
      <c r="Q20785" s="1"/>
      <c r="R20785" s="1"/>
      <c r="Z20785" s="93"/>
      <c r="AA20785" s="93"/>
      <c r="AB20785" s="1"/>
    </row>
    <row r="20786" spans="15:28">
      <c r="O20786" s="1"/>
      <c r="P20786" s="1"/>
      <c r="Q20786" s="1"/>
      <c r="R20786" s="1"/>
      <c r="Z20786" s="93"/>
      <c r="AA20786" s="93"/>
      <c r="AB20786" s="1"/>
    </row>
    <row r="20787" spans="15:28">
      <c r="O20787" s="1"/>
      <c r="P20787" s="1"/>
      <c r="Q20787" s="1"/>
      <c r="R20787" s="1"/>
      <c r="Z20787" s="93"/>
      <c r="AA20787" s="93"/>
      <c r="AB20787" s="1"/>
    </row>
    <row r="20788" spans="15:28">
      <c r="O20788" s="1"/>
      <c r="P20788" s="1"/>
      <c r="Q20788" s="1"/>
      <c r="R20788" s="1"/>
      <c r="Z20788" s="93"/>
      <c r="AA20788" s="93"/>
      <c r="AB20788" s="1"/>
    </row>
    <row r="20789" spans="15:28">
      <c r="O20789" s="1"/>
      <c r="P20789" s="1"/>
      <c r="Q20789" s="1"/>
      <c r="R20789" s="1"/>
      <c r="Z20789" s="93"/>
      <c r="AA20789" s="93"/>
      <c r="AB20789" s="1"/>
    </row>
    <row r="20790" spans="15:28">
      <c r="O20790" s="1"/>
      <c r="P20790" s="1"/>
      <c r="Q20790" s="1"/>
      <c r="R20790" s="1"/>
      <c r="Z20790" s="93"/>
      <c r="AA20790" s="93"/>
      <c r="AB20790" s="1"/>
    </row>
    <row r="20791" spans="15:28">
      <c r="O20791" s="1"/>
      <c r="P20791" s="1"/>
      <c r="Q20791" s="1"/>
      <c r="R20791" s="1"/>
      <c r="Z20791" s="93"/>
      <c r="AA20791" s="93"/>
      <c r="AB20791" s="1"/>
    </row>
    <row r="20792" spans="15:28">
      <c r="O20792" s="1"/>
      <c r="P20792" s="1"/>
      <c r="Q20792" s="1"/>
      <c r="R20792" s="1"/>
      <c r="Z20792" s="93"/>
      <c r="AA20792" s="93"/>
      <c r="AB20792" s="1"/>
    </row>
    <row r="20793" spans="15:28">
      <c r="O20793" s="1"/>
      <c r="P20793" s="1"/>
      <c r="Q20793" s="1"/>
      <c r="R20793" s="1"/>
      <c r="Z20793" s="93"/>
      <c r="AA20793" s="93"/>
      <c r="AB20793" s="1"/>
    </row>
    <row r="20794" spans="15:28">
      <c r="O20794" s="1"/>
      <c r="P20794" s="1"/>
      <c r="Q20794" s="1"/>
      <c r="R20794" s="1"/>
      <c r="Z20794" s="93"/>
      <c r="AA20794" s="93"/>
      <c r="AB20794" s="1"/>
    </row>
    <row r="20795" spans="15:28">
      <c r="O20795" s="1"/>
      <c r="P20795" s="1"/>
      <c r="Q20795" s="1"/>
      <c r="R20795" s="1"/>
      <c r="Z20795" s="93"/>
      <c r="AA20795" s="93"/>
      <c r="AB20795" s="1"/>
    </row>
    <row r="20796" spans="15:28">
      <c r="O20796" s="1"/>
      <c r="P20796" s="1"/>
      <c r="Q20796" s="1"/>
      <c r="R20796" s="1"/>
      <c r="Z20796" s="93"/>
      <c r="AA20796" s="93"/>
      <c r="AB20796" s="1"/>
    </row>
    <row r="20797" spans="15:28">
      <c r="O20797" s="1"/>
      <c r="P20797" s="1"/>
      <c r="Q20797" s="1"/>
      <c r="R20797" s="1"/>
      <c r="Z20797" s="93"/>
      <c r="AA20797" s="93"/>
      <c r="AB20797" s="1"/>
    </row>
    <row r="20798" spans="15:28">
      <c r="O20798" s="1"/>
      <c r="P20798" s="1"/>
      <c r="Q20798" s="1"/>
      <c r="R20798" s="1"/>
      <c r="Z20798" s="93"/>
      <c r="AA20798" s="93"/>
      <c r="AB20798" s="1"/>
    </row>
    <row r="20799" spans="15:28">
      <c r="O20799" s="1"/>
      <c r="P20799" s="1"/>
      <c r="Q20799" s="1"/>
      <c r="R20799" s="1"/>
      <c r="Z20799" s="93"/>
      <c r="AA20799" s="93"/>
      <c r="AB20799" s="1"/>
    </row>
    <row r="20800" spans="15:28">
      <c r="O20800" s="1"/>
      <c r="P20800" s="1"/>
      <c r="Q20800" s="1"/>
      <c r="R20800" s="1"/>
      <c r="Z20800" s="93"/>
      <c r="AA20800" s="93"/>
      <c r="AB20800" s="1"/>
    </row>
    <row r="20801" spans="15:28">
      <c r="O20801" s="1"/>
      <c r="P20801" s="1"/>
      <c r="Q20801" s="1"/>
      <c r="R20801" s="1"/>
      <c r="Z20801" s="93"/>
      <c r="AA20801" s="93"/>
      <c r="AB20801" s="1"/>
    </row>
    <row r="20802" spans="15:28">
      <c r="O20802" s="1"/>
      <c r="P20802" s="1"/>
      <c r="Q20802" s="1"/>
      <c r="R20802" s="1"/>
      <c r="Z20802" s="93"/>
      <c r="AA20802" s="93"/>
      <c r="AB20802" s="1"/>
    </row>
    <row r="20803" spans="15:28">
      <c r="O20803" s="1"/>
      <c r="P20803" s="1"/>
      <c r="Q20803" s="1"/>
      <c r="R20803" s="1"/>
      <c r="Z20803" s="93"/>
      <c r="AA20803" s="93"/>
      <c r="AB20803" s="1"/>
    </row>
    <row r="20804" spans="15:28">
      <c r="O20804" s="1"/>
      <c r="P20804" s="1"/>
      <c r="Q20804" s="1"/>
      <c r="R20804" s="1"/>
      <c r="Z20804" s="93"/>
      <c r="AA20804" s="93"/>
      <c r="AB20804" s="1"/>
    </row>
    <row r="20805" spans="15:28">
      <c r="O20805" s="1"/>
      <c r="P20805" s="1"/>
      <c r="Q20805" s="1"/>
      <c r="R20805" s="1"/>
      <c r="Z20805" s="93"/>
      <c r="AA20805" s="93"/>
      <c r="AB20805" s="1"/>
    </row>
    <row r="20806" spans="15:28">
      <c r="O20806" s="1"/>
      <c r="P20806" s="1"/>
      <c r="Q20806" s="1"/>
      <c r="R20806" s="1"/>
      <c r="Z20806" s="93"/>
      <c r="AA20806" s="93"/>
      <c r="AB20806" s="1"/>
    </row>
    <row r="20807" spans="15:28">
      <c r="O20807" s="1"/>
      <c r="P20807" s="1"/>
      <c r="Q20807" s="1"/>
      <c r="R20807" s="1"/>
      <c r="Z20807" s="93"/>
      <c r="AA20807" s="93"/>
      <c r="AB20807" s="1"/>
    </row>
    <row r="20808" spans="15:28">
      <c r="O20808" s="1"/>
      <c r="P20808" s="1"/>
      <c r="Q20808" s="1"/>
      <c r="R20808" s="1"/>
      <c r="Z20808" s="93"/>
      <c r="AA20808" s="93"/>
      <c r="AB20808" s="1"/>
    </row>
    <row r="20809" spans="15:28">
      <c r="O20809" s="1"/>
      <c r="P20809" s="1"/>
      <c r="Q20809" s="1"/>
      <c r="R20809" s="1"/>
      <c r="Z20809" s="93"/>
      <c r="AA20809" s="93"/>
      <c r="AB20809" s="1"/>
    </row>
    <row r="20810" spans="15:28">
      <c r="O20810" s="1"/>
      <c r="P20810" s="1"/>
      <c r="Q20810" s="1"/>
      <c r="R20810" s="1"/>
      <c r="Z20810" s="93"/>
      <c r="AA20810" s="93"/>
      <c r="AB20810" s="1"/>
    </row>
    <row r="20811" spans="15:28">
      <c r="O20811" s="1"/>
      <c r="P20811" s="1"/>
      <c r="Q20811" s="1"/>
      <c r="R20811" s="1"/>
      <c r="Z20811" s="93"/>
      <c r="AA20811" s="93"/>
      <c r="AB20811" s="1"/>
    </row>
    <row r="20812" spans="15:28">
      <c r="O20812" s="1"/>
      <c r="P20812" s="1"/>
      <c r="Q20812" s="1"/>
      <c r="R20812" s="1"/>
      <c r="Z20812" s="93"/>
      <c r="AA20812" s="93"/>
      <c r="AB20812" s="1"/>
    </row>
    <row r="20813" spans="15:28">
      <c r="O20813" s="1"/>
      <c r="P20813" s="1"/>
      <c r="Q20813" s="1"/>
      <c r="R20813" s="1"/>
      <c r="Z20813" s="93"/>
      <c r="AA20813" s="93"/>
      <c r="AB20813" s="1"/>
    </row>
    <row r="20814" spans="15:28">
      <c r="O20814" s="1"/>
      <c r="P20814" s="1"/>
      <c r="Q20814" s="1"/>
      <c r="R20814" s="1"/>
      <c r="Z20814" s="93"/>
      <c r="AA20814" s="93"/>
      <c r="AB20814" s="1"/>
    </row>
    <row r="20815" spans="15:28">
      <c r="O20815" s="1"/>
      <c r="P20815" s="1"/>
      <c r="Q20815" s="1"/>
      <c r="R20815" s="1"/>
      <c r="Z20815" s="93"/>
      <c r="AA20815" s="93"/>
      <c r="AB20815" s="1"/>
    </row>
    <row r="20816" spans="15:28">
      <c r="O20816" s="1"/>
      <c r="P20816" s="1"/>
      <c r="Q20816" s="1"/>
      <c r="R20816" s="1"/>
      <c r="Z20816" s="93"/>
      <c r="AA20816" s="93"/>
      <c r="AB20816" s="1"/>
    </row>
    <row r="20817" spans="15:28">
      <c r="O20817" s="1"/>
      <c r="P20817" s="1"/>
      <c r="Q20817" s="1"/>
      <c r="R20817" s="1"/>
      <c r="Z20817" s="93"/>
      <c r="AA20817" s="93"/>
      <c r="AB20817" s="1"/>
    </row>
    <row r="20818" spans="15:28">
      <c r="O20818" s="1"/>
      <c r="P20818" s="1"/>
      <c r="Q20818" s="1"/>
      <c r="R20818" s="1"/>
      <c r="Z20818" s="93"/>
      <c r="AA20818" s="93"/>
      <c r="AB20818" s="1"/>
    </row>
    <row r="20819" spans="15:28">
      <c r="O20819" s="1"/>
      <c r="P20819" s="1"/>
      <c r="Q20819" s="1"/>
      <c r="R20819" s="1"/>
      <c r="Z20819" s="93"/>
      <c r="AA20819" s="93"/>
      <c r="AB20819" s="1"/>
    </row>
    <row r="20820" spans="15:28">
      <c r="O20820" s="1"/>
      <c r="P20820" s="1"/>
      <c r="Q20820" s="1"/>
      <c r="R20820" s="1"/>
      <c r="Z20820" s="93"/>
      <c r="AA20820" s="93"/>
      <c r="AB20820" s="1"/>
    </row>
    <row r="20821" spans="15:28">
      <c r="O20821" s="1"/>
      <c r="P20821" s="1"/>
      <c r="Q20821" s="1"/>
      <c r="R20821" s="1"/>
      <c r="Z20821" s="93"/>
      <c r="AA20821" s="93"/>
      <c r="AB20821" s="1"/>
    </row>
    <row r="20822" spans="15:28">
      <c r="O20822" s="1"/>
      <c r="P20822" s="1"/>
      <c r="Q20822" s="1"/>
      <c r="R20822" s="1"/>
      <c r="Z20822" s="93"/>
      <c r="AA20822" s="93"/>
      <c r="AB20822" s="1"/>
    </row>
    <row r="20823" spans="15:28">
      <c r="O20823" s="1"/>
      <c r="P20823" s="1"/>
      <c r="Q20823" s="1"/>
      <c r="R20823" s="1"/>
      <c r="Z20823" s="93"/>
      <c r="AA20823" s="93"/>
      <c r="AB20823" s="1"/>
    </row>
    <row r="20824" spans="15:28">
      <c r="O20824" s="1"/>
      <c r="P20824" s="1"/>
      <c r="Q20824" s="1"/>
      <c r="R20824" s="1"/>
      <c r="Z20824" s="93"/>
      <c r="AA20824" s="93"/>
      <c r="AB20824" s="1"/>
    </row>
    <row r="20825" spans="15:28">
      <c r="O20825" s="1"/>
      <c r="P20825" s="1"/>
      <c r="Q20825" s="1"/>
      <c r="R20825" s="1"/>
      <c r="Z20825" s="93"/>
      <c r="AA20825" s="93"/>
      <c r="AB20825" s="1"/>
    </row>
    <row r="20826" spans="15:28">
      <c r="O20826" s="1"/>
      <c r="P20826" s="1"/>
      <c r="Q20826" s="1"/>
      <c r="R20826" s="1"/>
      <c r="Z20826" s="93"/>
      <c r="AA20826" s="93"/>
      <c r="AB20826" s="1"/>
    </row>
    <row r="20827" spans="15:28">
      <c r="O20827" s="1"/>
      <c r="P20827" s="1"/>
      <c r="Q20827" s="1"/>
      <c r="R20827" s="1"/>
      <c r="Z20827" s="93"/>
      <c r="AA20827" s="93"/>
      <c r="AB20827" s="1"/>
    </row>
    <row r="20828" spans="15:28">
      <c r="O20828" s="1"/>
      <c r="P20828" s="1"/>
      <c r="Q20828" s="1"/>
      <c r="R20828" s="1"/>
      <c r="Z20828" s="93"/>
      <c r="AA20828" s="93"/>
      <c r="AB20828" s="1"/>
    </row>
    <row r="20829" spans="15:28">
      <c r="O20829" s="1"/>
      <c r="P20829" s="1"/>
      <c r="Q20829" s="1"/>
      <c r="R20829" s="1"/>
      <c r="Z20829" s="93"/>
      <c r="AA20829" s="93"/>
      <c r="AB20829" s="1"/>
    </row>
    <row r="20830" spans="15:28">
      <c r="O20830" s="1"/>
      <c r="P20830" s="1"/>
      <c r="Q20830" s="1"/>
      <c r="R20830" s="1"/>
      <c r="Z20830" s="93"/>
      <c r="AA20830" s="93"/>
      <c r="AB20830" s="1"/>
    </row>
    <row r="20831" spans="15:28">
      <c r="O20831" s="1"/>
      <c r="P20831" s="1"/>
      <c r="Q20831" s="1"/>
      <c r="R20831" s="1"/>
      <c r="Z20831" s="93"/>
      <c r="AA20831" s="93"/>
      <c r="AB20831" s="1"/>
    </row>
    <row r="20832" spans="15:28">
      <c r="O20832" s="1"/>
      <c r="P20832" s="1"/>
      <c r="Q20832" s="1"/>
      <c r="R20832" s="1"/>
      <c r="Z20832" s="93"/>
      <c r="AA20832" s="93"/>
      <c r="AB20832" s="1"/>
    </row>
    <row r="20833" spans="15:28">
      <c r="O20833" s="1"/>
      <c r="P20833" s="1"/>
      <c r="Q20833" s="1"/>
      <c r="R20833" s="1"/>
      <c r="Z20833" s="93"/>
      <c r="AA20833" s="93"/>
      <c r="AB20833" s="1"/>
    </row>
    <row r="20834" spans="15:28">
      <c r="O20834" s="1"/>
      <c r="P20834" s="1"/>
      <c r="Q20834" s="1"/>
      <c r="R20834" s="1"/>
      <c r="Z20834" s="93"/>
      <c r="AA20834" s="93"/>
      <c r="AB20834" s="1"/>
    </row>
    <row r="20835" spans="15:28">
      <c r="O20835" s="1"/>
      <c r="P20835" s="1"/>
      <c r="Q20835" s="1"/>
      <c r="R20835" s="1"/>
      <c r="Z20835" s="93"/>
      <c r="AA20835" s="93"/>
      <c r="AB20835" s="1"/>
    </row>
    <row r="20836" spans="15:28">
      <c r="O20836" s="1"/>
      <c r="P20836" s="1"/>
      <c r="Q20836" s="1"/>
      <c r="R20836" s="1"/>
      <c r="Z20836" s="93"/>
      <c r="AA20836" s="93"/>
      <c r="AB20836" s="1"/>
    </row>
    <row r="20837" spans="15:28">
      <c r="O20837" s="1"/>
      <c r="P20837" s="1"/>
      <c r="Q20837" s="1"/>
      <c r="R20837" s="1"/>
      <c r="Z20837" s="93"/>
      <c r="AA20837" s="93"/>
      <c r="AB20837" s="1"/>
    </row>
    <row r="20838" spans="15:28">
      <c r="O20838" s="1"/>
      <c r="P20838" s="1"/>
      <c r="Q20838" s="1"/>
      <c r="R20838" s="1"/>
      <c r="Z20838" s="93"/>
      <c r="AA20838" s="93"/>
      <c r="AB20838" s="1"/>
    </row>
    <row r="20839" spans="15:28">
      <c r="O20839" s="1"/>
      <c r="P20839" s="1"/>
      <c r="Q20839" s="1"/>
      <c r="R20839" s="1"/>
      <c r="Z20839" s="93"/>
      <c r="AA20839" s="93"/>
      <c r="AB20839" s="1"/>
    </row>
    <row r="20840" spans="15:28">
      <c r="O20840" s="1"/>
      <c r="P20840" s="1"/>
      <c r="Q20840" s="1"/>
      <c r="R20840" s="1"/>
      <c r="Z20840" s="93"/>
      <c r="AA20840" s="93"/>
      <c r="AB20840" s="1"/>
    </row>
    <row r="20841" spans="15:28">
      <c r="O20841" s="1"/>
      <c r="P20841" s="1"/>
      <c r="Q20841" s="1"/>
      <c r="R20841" s="1"/>
      <c r="Z20841" s="93"/>
      <c r="AA20841" s="93"/>
      <c r="AB20841" s="1"/>
    </row>
    <row r="20842" spans="15:28">
      <c r="O20842" s="1"/>
      <c r="P20842" s="1"/>
      <c r="Q20842" s="1"/>
      <c r="R20842" s="1"/>
      <c r="Z20842" s="93"/>
      <c r="AA20842" s="93"/>
      <c r="AB20842" s="1"/>
    </row>
    <row r="20843" spans="15:28">
      <c r="O20843" s="1"/>
      <c r="P20843" s="1"/>
      <c r="Q20843" s="1"/>
      <c r="R20843" s="1"/>
      <c r="Z20843" s="93"/>
      <c r="AA20843" s="93"/>
      <c r="AB20843" s="1"/>
    </row>
    <row r="20844" spans="15:28">
      <c r="O20844" s="1"/>
      <c r="P20844" s="1"/>
      <c r="Q20844" s="1"/>
      <c r="R20844" s="1"/>
      <c r="Z20844" s="93"/>
      <c r="AA20844" s="93"/>
      <c r="AB20844" s="1"/>
    </row>
    <row r="20845" spans="15:28">
      <c r="O20845" s="1"/>
      <c r="P20845" s="1"/>
      <c r="Q20845" s="1"/>
      <c r="R20845" s="1"/>
      <c r="Z20845" s="93"/>
      <c r="AA20845" s="93"/>
      <c r="AB20845" s="1"/>
    </row>
    <row r="20846" spans="15:28">
      <c r="O20846" s="1"/>
      <c r="P20846" s="1"/>
      <c r="Q20846" s="1"/>
      <c r="R20846" s="1"/>
      <c r="Z20846" s="93"/>
      <c r="AA20846" s="93"/>
      <c r="AB20846" s="1"/>
    </row>
    <row r="20847" spans="15:28">
      <c r="O20847" s="1"/>
      <c r="P20847" s="1"/>
      <c r="Q20847" s="1"/>
      <c r="R20847" s="1"/>
      <c r="Z20847" s="93"/>
      <c r="AA20847" s="93"/>
      <c r="AB20847" s="1"/>
    </row>
    <row r="20848" spans="15:28">
      <c r="O20848" s="1"/>
      <c r="P20848" s="1"/>
      <c r="Q20848" s="1"/>
      <c r="R20848" s="1"/>
      <c r="Z20848" s="93"/>
      <c r="AA20848" s="93"/>
      <c r="AB20848" s="1"/>
    </row>
    <row r="20849" spans="15:28">
      <c r="O20849" s="1"/>
      <c r="P20849" s="1"/>
      <c r="Q20849" s="1"/>
      <c r="R20849" s="1"/>
      <c r="Z20849" s="93"/>
      <c r="AA20849" s="93"/>
      <c r="AB20849" s="1"/>
    </row>
    <row r="20850" spans="15:28">
      <c r="O20850" s="1"/>
      <c r="P20850" s="1"/>
      <c r="Q20850" s="1"/>
      <c r="R20850" s="1"/>
      <c r="Z20850" s="93"/>
      <c r="AA20850" s="93"/>
      <c r="AB20850" s="1"/>
    </row>
    <row r="20851" spans="15:28">
      <c r="O20851" s="1"/>
      <c r="P20851" s="1"/>
      <c r="Q20851" s="1"/>
      <c r="R20851" s="1"/>
      <c r="Z20851" s="93"/>
      <c r="AA20851" s="93"/>
      <c r="AB20851" s="1"/>
    </row>
    <row r="20852" spans="15:28">
      <c r="O20852" s="1"/>
      <c r="P20852" s="1"/>
      <c r="Q20852" s="1"/>
      <c r="R20852" s="1"/>
      <c r="Z20852" s="93"/>
      <c r="AA20852" s="93"/>
      <c r="AB20852" s="1"/>
    </row>
    <row r="20853" spans="15:28">
      <c r="O20853" s="1"/>
      <c r="P20853" s="1"/>
      <c r="Q20853" s="1"/>
      <c r="R20853" s="1"/>
      <c r="Z20853" s="93"/>
      <c r="AA20853" s="93"/>
      <c r="AB20853" s="1"/>
    </row>
    <row r="20854" spans="15:28">
      <c r="O20854" s="1"/>
      <c r="P20854" s="1"/>
      <c r="Q20854" s="1"/>
      <c r="R20854" s="1"/>
      <c r="Z20854" s="93"/>
      <c r="AA20854" s="93"/>
      <c r="AB20854" s="1"/>
    </row>
    <row r="20855" spans="15:28">
      <c r="O20855" s="1"/>
      <c r="P20855" s="1"/>
      <c r="Q20855" s="1"/>
      <c r="R20855" s="1"/>
      <c r="Z20855" s="93"/>
      <c r="AA20855" s="93"/>
      <c r="AB20855" s="1"/>
    </row>
    <row r="20856" spans="15:28">
      <c r="O20856" s="1"/>
      <c r="P20856" s="1"/>
      <c r="Q20856" s="1"/>
      <c r="R20856" s="1"/>
      <c r="Z20856" s="93"/>
      <c r="AA20856" s="93"/>
      <c r="AB20856" s="1"/>
    </row>
    <row r="20857" spans="15:28">
      <c r="O20857" s="1"/>
      <c r="P20857" s="1"/>
      <c r="Q20857" s="1"/>
      <c r="R20857" s="1"/>
      <c r="Z20857" s="93"/>
      <c r="AA20857" s="93"/>
      <c r="AB20857" s="1"/>
    </row>
    <row r="20858" spans="15:28">
      <c r="O20858" s="1"/>
      <c r="P20858" s="1"/>
      <c r="Q20858" s="1"/>
      <c r="R20858" s="1"/>
      <c r="Z20858" s="93"/>
      <c r="AA20858" s="93"/>
      <c r="AB20858" s="1"/>
    </row>
    <row r="20859" spans="15:28">
      <c r="O20859" s="1"/>
      <c r="P20859" s="1"/>
      <c r="Q20859" s="1"/>
      <c r="R20859" s="1"/>
      <c r="Z20859" s="93"/>
      <c r="AA20859" s="93"/>
      <c r="AB20859" s="1"/>
    </row>
    <row r="20860" spans="15:28">
      <c r="O20860" s="1"/>
      <c r="P20860" s="1"/>
      <c r="Q20860" s="1"/>
      <c r="R20860" s="1"/>
      <c r="Z20860" s="93"/>
      <c r="AA20860" s="93"/>
      <c r="AB20860" s="1"/>
    </row>
    <row r="20861" spans="15:28">
      <c r="O20861" s="1"/>
      <c r="P20861" s="1"/>
      <c r="Q20861" s="1"/>
      <c r="R20861" s="1"/>
      <c r="Z20861" s="93"/>
      <c r="AA20861" s="93"/>
      <c r="AB20861" s="1"/>
    </row>
    <row r="20862" spans="15:28">
      <c r="O20862" s="1"/>
      <c r="P20862" s="1"/>
      <c r="Q20862" s="1"/>
      <c r="R20862" s="1"/>
      <c r="Z20862" s="93"/>
      <c r="AA20862" s="93"/>
      <c r="AB20862" s="1"/>
    </row>
    <row r="20863" spans="15:28">
      <c r="O20863" s="1"/>
      <c r="P20863" s="1"/>
      <c r="Q20863" s="1"/>
      <c r="R20863" s="1"/>
      <c r="Z20863" s="93"/>
      <c r="AA20863" s="93"/>
      <c r="AB20863" s="1"/>
    </row>
    <row r="20864" spans="15:28">
      <c r="O20864" s="1"/>
      <c r="P20864" s="1"/>
      <c r="Q20864" s="1"/>
      <c r="R20864" s="1"/>
      <c r="Z20864" s="93"/>
      <c r="AA20864" s="93"/>
      <c r="AB20864" s="1"/>
    </row>
    <row r="20865" spans="15:28">
      <c r="O20865" s="1"/>
      <c r="P20865" s="1"/>
      <c r="Q20865" s="1"/>
      <c r="R20865" s="1"/>
      <c r="Z20865" s="93"/>
      <c r="AA20865" s="93"/>
      <c r="AB20865" s="1"/>
    </row>
    <row r="20866" spans="15:28">
      <c r="O20866" s="1"/>
      <c r="P20866" s="1"/>
      <c r="Q20866" s="1"/>
      <c r="R20866" s="1"/>
      <c r="Z20866" s="93"/>
      <c r="AA20866" s="93"/>
      <c r="AB20866" s="1"/>
    </row>
    <row r="20867" spans="15:28">
      <c r="O20867" s="1"/>
      <c r="P20867" s="1"/>
      <c r="Q20867" s="1"/>
      <c r="R20867" s="1"/>
      <c r="Z20867" s="93"/>
      <c r="AA20867" s="93"/>
      <c r="AB20867" s="1"/>
    </row>
    <row r="20868" spans="15:28">
      <c r="O20868" s="1"/>
      <c r="P20868" s="1"/>
      <c r="Q20868" s="1"/>
      <c r="R20868" s="1"/>
      <c r="Z20868" s="93"/>
      <c r="AA20868" s="93"/>
      <c r="AB20868" s="1"/>
    </row>
    <row r="20869" spans="15:28">
      <c r="O20869" s="1"/>
      <c r="P20869" s="1"/>
      <c r="Q20869" s="1"/>
      <c r="R20869" s="1"/>
      <c r="Z20869" s="93"/>
      <c r="AA20869" s="93"/>
      <c r="AB20869" s="1"/>
    </row>
    <row r="20870" spans="15:28">
      <c r="O20870" s="1"/>
      <c r="P20870" s="1"/>
      <c r="Q20870" s="1"/>
      <c r="R20870" s="1"/>
      <c r="Z20870" s="93"/>
      <c r="AA20870" s="93"/>
      <c r="AB20870" s="1"/>
    </row>
    <row r="20871" spans="15:28">
      <c r="O20871" s="1"/>
      <c r="P20871" s="1"/>
      <c r="Q20871" s="1"/>
      <c r="R20871" s="1"/>
      <c r="Z20871" s="93"/>
      <c r="AA20871" s="93"/>
      <c r="AB20871" s="1"/>
    </row>
    <row r="20872" spans="15:28">
      <c r="O20872" s="1"/>
      <c r="P20872" s="1"/>
      <c r="Q20872" s="1"/>
      <c r="R20872" s="1"/>
      <c r="Z20872" s="93"/>
      <c r="AA20872" s="93"/>
      <c r="AB20872" s="1"/>
    </row>
    <row r="20873" spans="15:28">
      <c r="O20873" s="1"/>
      <c r="P20873" s="1"/>
      <c r="Q20873" s="1"/>
      <c r="R20873" s="1"/>
      <c r="Z20873" s="93"/>
      <c r="AA20873" s="93"/>
      <c r="AB20873" s="1"/>
    </row>
    <row r="20874" spans="15:28">
      <c r="O20874" s="1"/>
      <c r="P20874" s="1"/>
      <c r="Q20874" s="1"/>
      <c r="R20874" s="1"/>
      <c r="Z20874" s="93"/>
      <c r="AA20874" s="93"/>
      <c r="AB20874" s="1"/>
    </row>
    <row r="20875" spans="15:28">
      <c r="O20875" s="1"/>
      <c r="P20875" s="1"/>
      <c r="Q20875" s="1"/>
      <c r="R20875" s="1"/>
      <c r="Z20875" s="93"/>
      <c r="AA20875" s="93"/>
      <c r="AB20875" s="1"/>
    </row>
    <row r="20876" spans="15:28">
      <c r="O20876" s="1"/>
      <c r="P20876" s="1"/>
      <c r="Q20876" s="1"/>
      <c r="R20876" s="1"/>
      <c r="Z20876" s="93"/>
      <c r="AA20876" s="93"/>
      <c r="AB20876" s="1"/>
    </row>
    <row r="20877" spans="15:28">
      <c r="O20877" s="1"/>
      <c r="P20877" s="1"/>
      <c r="Q20877" s="1"/>
      <c r="R20877" s="1"/>
      <c r="Z20877" s="93"/>
      <c r="AA20877" s="93"/>
      <c r="AB20877" s="1"/>
    </row>
    <row r="20878" spans="15:28">
      <c r="O20878" s="1"/>
      <c r="P20878" s="1"/>
      <c r="Q20878" s="1"/>
      <c r="R20878" s="1"/>
      <c r="Z20878" s="93"/>
      <c r="AA20878" s="93"/>
      <c r="AB20878" s="1"/>
    </row>
    <row r="20879" spans="15:28">
      <c r="O20879" s="1"/>
      <c r="P20879" s="1"/>
      <c r="Q20879" s="1"/>
      <c r="R20879" s="1"/>
      <c r="Z20879" s="93"/>
      <c r="AA20879" s="93"/>
      <c r="AB20879" s="1"/>
    </row>
    <row r="20880" spans="15:28">
      <c r="O20880" s="1"/>
      <c r="P20880" s="1"/>
      <c r="Q20880" s="1"/>
      <c r="R20880" s="1"/>
      <c r="Z20880" s="93"/>
      <c r="AA20880" s="93"/>
      <c r="AB20880" s="1"/>
    </row>
    <row r="20881" spans="15:28">
      <c r="O20881" s="1"/>
      <c r="P20881" s="1"/>
      <c r="Q20881" s="1"/>
      <c r="R20881" s="1"/>
      <c r="Z20881" s="93"/>
      <c r="AA20881" s="93"/>
      <c r="AB20881" s="1"/>
    </row>
    <row r="20882" spans="15:28">
      <c r="O20882" s="1"/>
      <c r="P20882" s="1"/>
      <c r="Q20882" s="1"/>
      <c r="R20882" s="1"/>
      <c r="Z20882" s="93"/>
      <c r="AA20882" s="93"/>
      <c r="AB20882" s="1"/>
    </row>
    <row r="20883" spans="15:28">
      <c r="O20883" s="1"/>
      <c r="P20883" s="1"/>
      <c r="Q20883" s="1"/>
      <c r="R20883" s="1"/>
      <c r="Z20883" s="93"/>
      <c r="AA20883" s="93"/>
      <c r="AB20883" s="1"/>
    </row>
    <row r="20884" spans="15:28">
      <c r="O20884" s="1"/>
      <c r="P20884" s="1"/>
      <c r="Q20884" s="1"/>
      <c r="R20884" s="1"/>
      <c r="Z20884" s="93"/>
      <c r="AA20884" s="93"/>
      <c r="AB20884" s="1"/>
    </row>
    <row r="20885" spans="15:28">
      <c r="O20885" s="1"/>
      <c r="P20885" s="1"/>
      <c r="Q20885" s="1"/>
      <c r="R20885" s="1"/>
      <c r="Z20885" s="93"/>
      <c r="AA20885" s="93"/>
      <c r="AB20885" s="1"/>
    </row>
    <row r="20886" spans="15:28">
      <c r="O20886" s="1"/>
      <c r="P20886" s="1"/>
      <c r="Q20886" s="1"/>
      <c r="R20886" s="1"/>
      <c r="Z20886" s="93"/>
      <c r="AA20886" s="93"/>
      <c r="AB20886" s="1"/>
    </row>
    <row r="20887" spans="15:28">
      <c r="O20887" s="1"/>
      <c r="P20887" s="1"/>
      <c r="Q20887" s="1"/>
      <c r="R20887" s="1"/>
      <c r="Z20887" s="93"/>
      <c r="AA20887" s="93"/>
      <c r="AB20887" s="1"/>
    </row>
    <row r="20888" spans="15:28">
      <c r="O20888" s="1"/>
      <c r="P20888" s="1"/>
      <c r="Q20888" s="1"/>
      <c r="R20888" s="1"/>
      <c r="Z20888" s="93"/>
      <c r="AA20888" s="93"/>
      <c r="AB20888" s="1"/>
    </row>
    <row r="20889" spans="15:28">
      <c r="O20889" s="1"/>
      <c r="P20889" s="1"/>
      <c r="Q20889" s="1"/>
      <c r="R20889" s="1"/>
      <c r="Z20889" s="93"/>
      <c r="AA20889" s="93"/>
      <c r="AB20889" s="1"/>
    </row>
    <row r="20890" spans="15:28">
      <c r="O20890" s="1"/>
      <c r="P20890" s="1"/>
      <c r="Q20890" s="1"/>
      <c r="R20890" s="1"/>
      <c r="Z20890" s="93"/>
      <c r="AA20890" s="93"/>
      <c r="AB20890" s="1"/>
    </row>
    <row r="20891" spans="15:28">
      <c r="O20891" s="1"/>
      <c r="P20891" s="1"/>
      <c r="Q20891" s="1"/>
      <c r="R20891" s="1"/>
      <c r="Z20891" s="93"/>
      <c r="AA20891" s="93"/>
      <c r="AB20891" s="1"/>
    </row>
    <row r="20892" spans="15:28">
      <c r="O20892" s="1"/>
      <c r="P20892" s="1"/>
      <c r="Q20892" s="1"/>
      <c r="R20892" s="1"/>
      <c r="Z20892" s="93"/>
      <c r="AA20892" s="93"/>
      <c r="AB20892" s="1"/>
    </row>
    <row r="20893" spans="15:28">
      <c r="O20893" s="1"/>
      <c r="P20893" s="1"/>
      <c r="Q20893" s="1"/>
      <c r="R20893" s="1"/>
      <c r="Z20893" s="93"/>
      <c r="AA20893" s="93"/>
      <c r="AB20893" s="1"/>
    </row>
    <row r="20894" spans="15:28">
      <c r="O20894" s="1"/>
      <c r="P20894" s="1"/>
      <c r="Q20894" s="1"/>
      <c r="R20894" s="1"/>
      <c r="Z20894" s="93"/>
      <c r="AA20894" s="93"/>
      <c r="AB20894" s="1"/>
    </row>
    <row r="20895" spans="15:28">
      <c r="O20895" s="1"/>
      <c r="P20895" s="1"/>
      <c r="Q20895" s="1"/>
      <c r="R20895" s="1"/>
      <c r="Z20895" s="93"/>
      <c r="AA20895" s="93"/>
      <c r="AB20895" s="1"/>
    </row>
    <row r="20896" spans="15:28">
      <c r="O20896" s="1"/>
      <c r="P20896" s="1"/>
      <c r="Q20896" s="1"/>
      <c r="R20896" s="1"/>
      <c r="Z20896" s="93"/>
      <c r="AA20896" s="93"/>
      <c r="AB20896" s="1"/>
    </row>
    <row r="20897" spans="15:28">
      <c r="O20897" s="1"/>
      <c r="P20897" s="1"/>
      <c r="Q20897" s="1"/>
      <c r="R20897" s="1"/>
      <c r="Z20897" s="93"/>
      <c r="AA20897" s="93"/>
      <c r="AB20897" s="1"/>
    </row>
    <row r="20898" spans="15:28">
      <c r="O20898" s="1"/>
      <c r="P20898" s="1"/>
      <c r="Q20898" s="1"/>
      <c r="R20898" s="1"/>
      <c r="Z20898" s="93"/>
      <c r="AA20898" s="93"/>
      <c r="AB20898" s="1"/>
    </row>
    <row r="20899" spans="15:28">
      <c r="O20899" s="1"/>
      <c r="P20899" s="1"/>
      <c r="Q20899" s="1"/>
      <c r="R20899" s="1"/>
      <c r="Z20899" s="93"/>
      <c r="AA20899" s="93"/>
      <c r="AB20899" s="1"/>
    </row>
    <row r="20900" spans="15:28">
      <c r="O20900" s="1"/>
      <c r="P20900" s="1"/>
      <c r="Q20900" s="1"/>
      <c r="R20900" s="1"/>
      <c r="Z20900" s="93"/>
      <c r="AA20900" s="93"/>
      <c r="AB20900" s="1"/>
    </row>
    <row r="20901" spans="15:28">
      <c r="O20901" s="1"/>
      <c r="P20901" s="1"/>
      <c r="Q20901" s="1"/>
      <c r="R20901" s="1"/>
      <c r="Z20901" s="93"/>
      <c r="AA20901" s="93"/>
      <c r="AB20901" s="1"/>
    </row>
    <row r="20902" spans="15:28">
      <c r="O20902" s="1"/>
      <c r="P20902" s="1"/>
      <c r="Q20902" s="1"/>
      <c r="R20902" s="1"/>
      <c r="Z20902" s="93"/>
      <c r="AA20902" s="93"/>
      <c r="AB20902" s="1"/>
    </row>
    <row r="20903" spans="15:28">
      <c r="O20903" s="1"/>
      <c r="P20903" s="1"/>
      <c r="Q20903" s="1"/>
      <c r="R20903" s="1"/>
      <c r="Z20903" s="93"/>
      <c r="AA20903" s="93"/>
      <c r="AB20903" s="1"/>
    </row>
    <row r="20904" spans="15:28">
      <c r="O20904" s="1"/>
      <c r="P20904" s="1"/>
      <c r="Q20904" s="1"/>
      <c r="R20904" s="1"/>
      <c r="Z20904" s="93"/>
      <c r="AA20904" s="93"/>
      <c r="AB20904" s="1"/>
    </row>
    <row r="20905" spans="15:28">
      <c r="O20905" s="1"/>
      <c r="P20905" s="1"/>
      <c r="Q20905" s="1"/>
      <c r="R20905" s="1"/>
      <c r="Z20905" s="93"/>
      <c r="AA20905" s="93"/>
      <c r="AB20905" s="1"/>
    </row>
    <row r="20906" spans="15:28">
      <c r="O20906" s="1"/>
      <c r="P20906" s="1"/>
      <c r="Q20906" s="1"/>
      <c r="R20906" s="1"/>
      <c r="Z20906" s="93"/>
      <c r="AA20906" s="93"/>
      <c r="AB20906" s="1"/>
    </row>
    <row r="20907" spans="15:28">
      <c r="O20907" s="1"/>
      <c r="P20907" s="1"/>
      <c r="Q20907" s="1"/>
      <c r="R20907" s="1"/>
      <c r="Z20907" s="93"/>
      <c r="AA20907" s="93"/>
      <c r="AB20907" s="1"/>
    </row>
    <row r="20908" spans="15:28">
      <c r="O20908" s="1"/>
      <c r="P20908" s="1"/>
      <c r="Q20908" s="1"/>
      <c r="R20908" s="1"/>
      <c r="Z20908" s="93"/>
      <c r="AA20908" s="93"/>
      <c r="AB20908" s="1"/>
    </row>
    <row r="20909" spans="15:28">
      <c r="O20909" s="1"/>
      <c r="P20909" s="1"/>
      <c r="Q20909" s="1"/>
      <c r="R20909" s="1"/>
      <c r="Z20909" s="93"/>
      <c r="AA20909" s="93"/>
      <c r="AB20909" s="1"/>
    </row>
    <row r="20910" spans="15:28">
      <c r="O20910" s="1"/>
      <c r="P20910" s="1"/>
      <c r="Q20910" s="1"/>
      <c r="R20910" s="1"/>
      <c r="Z20910" s="93"/>
      <c r="AA20910" s="93"/>
      <c r="AB20910" s="1"/>
    </row>
    <row r="20911" spans="15:28">
      <c r="O20911" s="1"/>
      <c r="P20911" s="1"/>
      <c r="Q20911" s="1"/>
      <c r="R20911" s="1"/>
      <c r="Z20911" s="93"/>
      <c r="AA20911" s="93"/>
      <c r="AB20911" s="1"/>
    </row>
    <row r="20912" spans="15:28">
      <c r="O20912" s="1"/>
      <c r="P20912" s="1"/>
      <c r="Q20912" s="1"/>
      <c r="R20912" s="1"/>
      <c r="Z20912" s="93"/>
      <c r="AA20912" s="93"/>
      <c r="AB20912" s="1"/>
    </row>
    <row r="20913" spans="15:28">
      <c r="P20913" s="1"/>
      <c r="R20913" s="1"/>
      <c r="Z20913" s="93"/>
      <c r="AA20913" s="93"/>
    </row>
    <row r="20914" spans="15:28">
      <c r="O20914" s="1"/>
      <c r="P20914" s="1"/>
      <c r="Q20914" s="1"/>
      <c r="R20914" s="1"/>
      <c r="Z20914" s="93"/>
      <c r="AA20914" s="93"/>
      <c r="AB20914" s="1"/>
    </row>
    <row r="20915" spans="15:28">
      <c r="O20915" s="1"/>
      <c r="P20915" s="1"/>
      <c r="Q20915" s="1"/>
      <c r="R20915" s="1"/>
      <c r="Z20915" s="93"/>
      <c r="AA20915" s="93"/>
      <c r="AB20915" s="1"/>
    </row>
    <row r="20916" spans="15:28">
      <c r="O20916" s="1"/>
      <c r="P20916" s="1"/>
      <c r="Q20916" s="1"/>
      <c r="R20916" s="1"/>
      <c r="Z20916" s="93"/>
      <c r="AA20916" s="93"/>
      <c r="AB20916" s="1"/>
    </row>
    <row r="20917" spans="15:28">
      <c r="O20917" s="1"/>
      <c r="P20917" s="1"/>
      <c r="Q20917" s="1"/>
      <c r="R20917" s="1"/>
      <c r="Z20917" s="93"/>
      <c r="AA20917" s="93"/>
      <c r="AB20917" s="1"/>
    </row>
    <row r="20918" spans="15:28">
      <c r="O20918" s="1"/>
      <c r="P20918" s="1"/>
      <c r="Q20918" s="1"/>
      <c r="R20918" s="1"/>
      <c r="Z20918" s="93"/>
      <c r="AA20918" s="93"/>
      <c r="AB20918" s="1"/>
    </row>
    <row r="20919" spans="15:28">
      <c r="O20919" s="1"/>
      <c r="P20919" s="1"/>
      <c r="Q20919" s="1"/>
      <c r="R20919" s="1"/>
      <c r="Z20919" s="93"/>
      <c r="AA20919" s="93"/>
      <c r="AB20919" s="1"/>
    </row>
    <row r="20920" spans="15:28">
      <c r="O20920" s="1"/>
      <c r="P20920" s="1"/>
      <c r="Q20920" s="1"/>
      <c r="R20920" s="1"/>
      <c r="Z20920" s="93"/>
      <c r="AA20920" s="93"/>
      <c r="AB20920" s="1"/>
    </row>
    <row r="20921" spans="15:28">
      <c r="O20921" s="1"/>
      <c r="P20921" s="1"/>
      <c r="Q20921" s="1"/>
      <c r="R20921" s="1"/>
      <c r="Z20921" s="93"/>
      <c r="AA20921" s="93"/>
      <c r="AB20921" s="1"/>
    </row>
    <row r="20922" spans="15:28">
      <c r="O20922" s="1"/>
      <c r="P20922" s="1"/>
      <c r="Q20922" s="1"/>
      <c r="R20922" s="1"/>
      <c r="Z20922" s="93"/>
      <c r="AA20922" s="93"/>
      <c r="AB20922" s="1"/>
    </row>
    <row r="20923" spans="15:28">
      <c r="O20923" s="1"/>
      <c r="P20923" s="1"/>
      <c r="Q20923" s="1"/>
      <c r="R20923" s="1"/>
      <c r="Z20923" s="93"/>
      <c r="AA20923" s="93"/>
      <c r="AB20923" s="1"/>
    </row>
    <row r="20924" spans="15:28">
      <c r="O20924" s="1"/>
      <c r="P20924" s="1"/>
      <c r="Q20924" s="1"/>
      <c r="R20924" s="1"/>
      <c r="Z20924" s="93"/>
      <c r="AA20924" s="93"/>
      <c r="AB20924" s="1"/>
    </row>
    <row r="20925" spans="15:28">
      <c r="O20925" s="1"/>
      <c r="P20925" s="1"/>
      <c r="Q20925" s="1"/>
      <c r="R20925" s="1"/>
      <c r="Z20925" s="93"/>
      <c r="AA20925" s="93"/>
      <c r="AB20925" s="1"/>
    </row>
    <row r="20926" spans="15:28">
      <c r="O20926" s="1"/>
      <c r="P20926" s="1"/>
      <c r="Q20926" s="1"/>
      <c r="R20926" s="1"/>
      <c r="Z20926" s="93"/>
      <c r="AA20926" s="93"/>
      <c r="AB20926" s="1"/>
    </row>
    <row r="20927" spans="15:28">
      <c r="O20927" s="1"/>
      <c r="P20927" s="1"/>
      <c r="Q20927" s="1"/>
      <c r="R20927" s="1"/>
      <c r="Z20927" s="93"/>
      <c r="AA20927" s="93"/>
      <c r="AB20927" s="1"/>
    </row>
    <row r="20928" spans="15:28">
      <c r="O20928" s="1"/>
      <c r="P20928" s="1"/>
      <c r="Q20928" s="1"/>
      <c r="R20928" s="1"/>
      <c r="Z20928" s="93"/>
      <c r="AA20928" s="93"/>
      <c r="AB20928" s="1"/>
    </row>
    <row r="20929" spans="15:28">
      <c r="O20929" s="1"/>
      <c r="P20929" s="1"/>
      <c r="Q20929" s="1"/>
      <c r="R20929" s="1"/>
      <c r="Z20929" s="93"/>
      <c r="AA20929" s="93"/>
      <c r="AB20929" s="1"/>
    </row>
    <row r="20930" spans="15:28">
      <c r="O20930" s="1"/>
      <c r="P20930" s="1"/>
      <c r="Q20930" s="1"/>
      <c r="R20930" s="1"/>
      <c r="Z20930" s="93"/>
      <c r="AA20930" s="93"/>
      <c r="AB20930" s="1"/>
    </row>
    <row r="20931" spans="15:28">
      <c r="O20931" s="1"/>
      <c r="P20931" s="1"/>
      <c r="Q20931" s="1"/>
      <c r="R20931" s="1"/>
      <c r="Z20931" s="93"/>
      <c r="AA20931" s="93"/>
      <c r="AB20931" s="1"/>
    </row>
    <row r="20932" spans="15:28">
      <c r="O20932" s="1"/>
      <c r="P20932" s="1"/>
      <c r="Q20932" s="1"/>
      <c r="R20932" s="1"/>
      <c r="Z20932" s="93"/>
      <c r="AA20932" s="93"/>
      <c r="AB20932" s="1"/>
    </row>
    <row r="20933" spans="15:28">
      <c r="O20933" s="1"/>
      <c r="P20933" s="1"/>
      <c r="Q20933" s="1"/>
      <c r="R20933" s="1"/>
      <c r="Z20933" s="93"/>
      <c r="AA20933" s="93"/>
      <c r="AB20933" s="1"/>
    </row>
    <row r="20934" spans="15:28">
      <c r="O20934" s="1"/>
      <c r="P20934" s="1"/>
      <c r="Q20934" s="1"/>
      <c r="R20934" s="1"/>
      <c r="Z20934" s="93"/>
      <c r="AA20934" s="93"/>
      <c r="AB20934" s="1"/>
    </row>
    <row r="20935" spans="15:28">
      <c r="O20935" s="1"/>
      <c r="P20935" s="1"/>
      <c r="Q20935" s="1"/>
      <c r="R20935" s="1"/>
      <c r="Z20935" s="93"/>
      <c r="AA20935" s="93"/>
      <c r="AB20935" s="1"/>
    </row>
    <row r="20936" spans="15:28">
      <c r="O20936" s="1"/>
      <c r="P20936" s="1"/>
      <c r="Q20936" s="1"/>
      <c r="R20936" s="1"/>
      <c r="Z20936" s="93"/>
      <c r="AA20936" s="93"/>
      <c r="AB20936" s="1"/>
    </row>
    <row r="20937" spans="15:28">
      <c r="O20937" s="1"/>
      <c r="P20937" s="1"/>
      <c r="Q20937" s="1"/>
      <c r="R20937" s="1"/>
      <c r="Z20937" s="93"/>
      <c r="AA20937" s="93"/>
      <c r="AB20937" s="1"/>
    </row>
    <row r="20938" spans="15:28">
      <c r="O20938" s="1"/>
      <c r="P20938" s="1"/>
      <c r="Q20938" s="1"/>
      <c r="R20938" s="1"/>
      <c r="Z20938" s="93"/>
      <c r="AA20938" s="93"/>
      <c r="AB20938" s="1"/>
    </row>
  </sheetData>
  <sortState ref="AM2:AN13716">
    <sortCondition descending="1" ref="AN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130"/>
  <sheetViews>
    <sheetView showGridLines="0" tabSelected="1" topLeftCell="C1" zoomScale="80" zoomScaleNormal="80" workbookViewId="0">
      <selection activeCell="I30" sqref="I30"/>
    </sheetView>
  </sheetViews>
  <sheetFormatPr baseColWidth="10" defaultRowHeight="15"/>
  <cols>
    <col min="1" max="2" width="11.42578125" hidden="1" customWidth="1"/>
    <col min="3" max="3" width="29.85546875" customWidth="1"/>
    <col min="4" max="4" width="61.140625" customWidth="1"/>
    <col min="5" max="5" width="21.28515625" style="23" customWidth="1"/>
    <col min="6" max="6" width="16.7109375" customWidth="1"/>
    <col min="7" max="7" width="9.28515625" customWidth="1"/>
    <col min="8" max="8" width="11.140625" hidden="1" customWidth="1"/>
    <col min="9" max="9" width="24.5703125" bestFit="1" customWidth="1"/>
    <col min="10" max="16" width="14" customWidth="1"/>
    <col min="18" max="18" width="12.7109375" style="24" bestFit="1" customWidth="1"/>
    <col min="19" max="19" width="11.42578125" style="24"/>
    <col min="20" max="20" width="12.28515625" style="24" hidden="1" customWidth="1"/>
    <col min="21" max="22" width="10.85546875" style="24" hidden="1" customWidth="1"/>
    <col min="23" max="23" width="0" style="24" hidden="1" customWidth="1"/>
    <col min="24" max="24" width="15.85546875" style="24" hidden="1" customWidth="1"/>
    <col min="25" max="25" width="4.7109375" hidden="1" customWidth="1"/>
    <col min="26" max="26" width="14.42578125" bestFit="1" customWidth="1"/>
    <col min="27" max="27" width="15.140625" bestFit="1" customWidth="1"/>
    <col min="28" max="28" width="14.28515625" bestFit="1" customWidth="1"/>
  </cols>
  <sheetData>
    <row r="1" spans="3:26" ht="15.75" thickBot="1">
      <c r="C1" s="118" t="s">
        <v>162</v>
      </c>
      <c r="D1" s="119"/>
      <c r="E1" s="56"/>
      <c r="F1" s="56"/>
      <c r="G1" s="56"/>
      <c r="H1" s="56"/>
      <c r="I1" s="56"/>
      <c r="J1" s="56"/>
      <c r="K1" s="56"/>
      <c r="L1" s="56"/>
      <c r="M1" s="56"/>
      <c r="N1" s="56"/>
    </row>
    <row r="2" spans="3:26" ht="15.75" thickBot="1">
      <c r="C2" s="97" t="s">
        <v>154</v>
      </c>
      <c r="D2" s="98"/>
      <c r="E2" s="47" t="str">
        <f>IFERROR(VLOOKUP(D2,Base!$A$2:$K$1048576,2,FALSE),"")</f>
        <v/>
      </c>
      <c r="F2" s="47" t="str">
        <f>IFERROR(VLOOKUP(D2,Base!$A$2:$K$1048576,4,FALSE),"")</f>
        <v/>
      </c>
      <c r="G2" s="47" t="str">
        <f>IFERROR(VLOOKUP(D2,Base!$A$2:$K$1048576,9,FALSE),"")</f>
        <v/>
      </c>
      <c r="H2" s="47" t="str">
        <f>IFERROR(VLOOKUP(D2,Base!$A$2:$K$1048576,10,FALSE),"")</f>
        <v/>
      </c>
      <c r="I2" s="47" t="str">
        <f>IFERROR(VLOOKUP(D2,Base!$A$2:$K$1048576,8,FALSE),"")</f>
        <v/>
      </c>
      <c r="J2" s="56"/>
      <c r="K2" s="56"/>
      <c r="L2" s="56"/>
      <c r="M2" s="56"/>
      <c r="N2" s="56"/>
    </row>
    <row r="3" spans="3:26" ht="15.75" thickBot="1">
      <c r="C3" s="96" t="s">
        <v>238</v>
      </c>
      <c r="D3" s="112" t="str">
        <f>IFERROR(VLOOKUP($D$2,Base!$A$2:$AB$142623,11,TRUE),"")</f>
        <v/>
      </c>
    </row>
    <row r="4" spans="3:26" ht="15.75" thickBot="1">
      <c r="C4" s="96" t="s">
        <v>239</v>
      </c>
      <c r="D4" s="112" t="str">
        <f>IFERROR(VLOOKUP($D$2,Base!$A$2:$AB$142623,12,TRUE),"")</f>
        <v/>
      </c>
    </row>
    <row r="5" spans="3:26" ht="15.75" thickBot="1">
      <c r="C5" s="96" t="s">
        <v>240</v>
      </c>
      <c r="D5" s="112" t="str">
        <f>IFERROR(VLOOKUP($D$2,Base!$A$2:$AB$142623,13,TRUE),"")</f>
        <v/>
      </c>
    </row>
    <row r="6" spans="3:26" ht="15.75" thickBot="1">
      <c r="C6" s="96" t="s">
        <v>241</v>
      </c>
      <c r="D6" s="112" t="str">
        <f>IFERROR(VLOOKUP($D$2,Base!$A$2:$AB$142623,14,TRUE),"")</f>
        <v/>
      </c>
    </row>
    <row r="7" spans="3:26" ht="15.75" thickBot="1">
      <c r="C7" s="96" t="s">
        <v>160</v>
      </c>
      <c r="D7" s="112" t="str">
        <f>IFERROR(VLOOKUP($D$2,Base!$A$2:$AB$142623,22,TRUE),"")</f>
        <v/>
      </c>
    </row>
    <row r="8" spans="3:26" ht="15.75" thickBot="1">
      <c r="C8" s="96" t="s">
        <v>161</v>
      </c>
      <c r="D8" s="112" t="str">
        <f>IFERROR(VLOOKUP($D$2,Base!$A$2:$AB$142623,23,TRUE),"")</f>
        <v/>
      </c>
    </row>
    <row r="9" spans="3:26" ht="15.75" thickBot="1">
      <c r="C9" s="96" t="s">
        <v>242</v>
      </c>
      <c r="D9" s="112" t="str">
        <f>IFERROR(VLOOKUP($D$2,Base!$A$2:$AB$142623,27,TRUE),"")</f>
        <v/>
      </c>
      <c r="E9" s="111"/>
    </row>
    <row r="10" spans="3:26">
      <c r="C10" s="99" t="s">
        <v>243</v>
      </c>
      <c r="D10" s="112" t="str">
        <f>IFERROR(VLOOKUP($D$2,Base!$A$2:$AB$142623,28,TRUE),"")</f>
        <v/>
      </c>
    </row>
    <row r="12" spans="3:26" ht="18.75" hidden="1" customHeight="1">
      <c r="J12" s="26">
        <v>11</v>
      </c>
      <c r="K12" s="26">
        <v>21</v>
      </c>
      <c r="L12" s="26">
        <v>31</v>
      </c>
      <c r="M12" s="26">
        <v>41</v>
      </c>
      <c r="N12" s="26">
        <v>51</v>
      </c>
      <c r="O12" s="26">
        <v>61</v>
      </c>
      <c r="P12" s="26">
        <v>71</v>
      </c>
    </row>
    <row r="13" spans="3:26" ht="15.75" thickBot="1">
      <c r="C13" s="117"/>
      <c r="D13" s="117"/>
      <c r="E13" s="24"/>
      <c r="F13" s="24"/>
      <c r="G13" s="24"/>
      <c r="H13" s="31"/>
      <c r="I13" s="24"/>
      <c r="J13" s="23" t="str">
        <f t="shared" ref="J13:P13" si="0">$D$15&amp;" - "&amp;J12</f>
        <v>0 - 11</v>
      </c>
      <c r="K13" s="23" t="str">
        <f t="shared" si="0"/>
        <v>0 - 21</v>
      </c>
      <c r="L13" s="23" t="str">
        <f t="shared" si="0"/>
        <v>0 - 31</v>
      </c>
      <c r="M13" s="23" t="str">
        <f t="shared" si="0"/>
        <v>0 - 41</v>
      </c>
      <c r="N13" s="23" t="str">
        <f t="shared" si="0"/>
        <v>0 - 51</v>
      </c>
      <c r="O13" s="23" t="str">
        <f t="shared" si="0"/>
        <v>0 - 61</v>
      </c>
      <c r="P13" s="23" t="str">
        <f t="shared" si="0"/>
        <v>0 - 71</v>
      </c>
      <c r="Q13" s="24"/>
      <c r="W13" s="114" t="s">
        <v>158</v>
      </c>
      <c r="X13" s="114"/>
      <c r="Y13" s="32"/>
      <c r="Z13" s="24"/>
    </row>
    <row r="14" spans="3:26" ht="15.75" thickBot="1">
      <c r="C14" s="118" t="s">
        <v>76</v>
      </c>
      <c r="D14" s="119"/>
      <c r="E14" s="39"/>
      <c r="F14" s="24"/>
      <c r="G14" s="24"/>
      <c r="H14" s="24"/>
      <c r="I14" s="25" t="s">
        <v>45</v>
      </c>
      <c r="J14" s="25" t="s">
        <v>114</v>
      </c>
      <c r="K14" s="25" t="s">
        <v>115</v>
      </c>
      <c r="L14" s="25" t="s">
        <v>116</v>
      </c>
      <c r="M14" s="25" t="s">
        <v>117</v>
      </c>
      <c r="N14" s="25" t="s">
        <v>118</v>
      </c>
      <c r="O14" s="25" t="s">
        <v>119</v>
      </c>
      <c r="P14" s="25" t="s">
        <v>120</v>
      </c>
      <c r="Q14" s="24"/>
      <c r="W14" s="114" t="s">
        <v>155</v>
      </c>
      <c r="X14" s="114"/>
      <c r="Y14" s="24"/>
      <c r="Z14" s="24"/>
    </row>
    <row r="15" spans="3:26">
      <c r="C15" s="27" t="s">
        <v>75</v>
      </c>
      <c r="D15" s="44">
        <f>D2</f>
        <v>0</v>
      </c>
      <c r="E15" s="39"/>
      <c r="F15" s="24"/>
      <c r="G15" s="24"/>
      <c r="H15" s="24">
        <v>2</v>
      </c>
      <c r="I15" s="38" t="s">
        <v>46</v>
      </c>
      <c r="J15" s="38" t="str">
        <f>IFERROR(VLOOKUP(J$13,Base2!$H$2:$AE$142623,Simulador!$H15,FALSE),"")</f>
        <v/>
      </c>
      <c r="K15" s="38" t="str">
        <f>IFERROR(VLOOKUP(K$13,Base2!$H$2:$AE$142623,Simulador!$H15,FALSE),"")</f>
        <v/>
      </c>
      <c r="L15" s="38" t="str">
        <f>IFERROR(VLOOKUP(L$13,Base2!$H$2:$AE$142623,Simulador!$H15,FALSE),"")</f>
        <v/>
      </c>
      <c r="M15" s="38" t="str">
        <f>IFERROR(VLOOKUP(M$13,Base2!$H$2:$AE$142623,Simulador!$H15,FALSE),"")</f>
        <v/>
      </c>
      <c r="N15" s="38" t="str">
        <f>IFERROR(VLOOKUP(N$13,Base2!$H$2:$AE$142623,Simulador!$H15,FALSE),"")</f>
        <v/>
      </c>
      <c r="O15" s="38" t="str">
        <f>IFERROR(VLOOKUP(O$13,Base2!$H$2:$AE$142623,Simulador!$H15,FALSE),"")</f>
        <v/>
      </c>
      <c r="P15" s="38" t="str">
        <f>IFERROR(VLOOKUP(P$13,Base2!$H$2:$AE$142623,Simulador!$H15,FALSE),"")</f>
        <v/>
      </c>
      <c r="Q15" s="39"/>
      <c r="R15" s="39"/>
      <c r="S15" s="39"/>
      <c r="T15" s="39"/>
      <c r="U15" s="39"/>
      <c r="V15" s="39"/>
      <c r="W15" s="114" t="s">
        <v>156</v>
      </c>
      <c r="X15" s="114"/>
    </row>
    <row r="16" spans="3:26">
      <c r="C16" s="68" t="s">
        <v>40</v>
      </c>
      <c r="D16" s="38" t="str">
        <f>IFERROR(VLOOKUP(D15,Base2!$D$2:$AE$142623,3,FALSE),"")</f>
        <v/>
      </c>
      <c r="E16" s="39"/>
      <c r="F16" s="39"/>
      <c r="G16" s="24"/>
      <c r="H16" s="24">
        <v>3</v>
      </c>
      <c r="I16" s="38" t="s">
        <v>39</v>
      </c>
      <c r="J16" s="40" t="str">
        <f>IFERROR(VLOOKUP(J$13,Base2!$H$2:$AE$142623,Simulador!$H16,FALSE),"")</f>
        <v/>
      </c>
      <c r="K16" s="40" t="str">
        <f>IFERROR(VLOOKUP(K$13,Base2!$H$2:$AE$142623,Simulador!$H16,FALSE),"")</f>
        <v/>
      </c>
      <c r="L16" s="40" t="str">
        <f>IFERROR(VLOOKUP(L$13,Base2!$H$2:$AE$142623,Simulador!$H16,FALSE),"")</f>
        <v/>
      </c>
      <c r="M16" s="40" t="str">
        <f>IFERROR(VLOOKUP(M$13,Base2!$H$2:$AE$142623,Simulador!$H16,FALSE),"")</f>
        <v/>
      </c>
      <c r="N16" s="40" t="str">
        <f>IFERROR(VLOOKUP(N$13,Base2!$H$2:$AE$142623,Simulador!$H16,FALSE),"")</f>
        <v/>
      </c>
      <c r="O16" s="40" t="str">
        <f>IFERROR(VLOOKUP(O$13,Base2!$H$2:$AE$142623,Simulador!$H16,FALSE),"")</f>
        <v/>
      </c>
      <c r="P16" s="40" t="str">
        <f>IFERROR(VLOOKUP(P$13,Base2!$H$2:$AE$142623,Simulador!$H16,FALSE),"")</f>
        <v/>
      </c>
      <c r="Q16" s="39"/>
      <c r="R16" s="39"/>
      <c r="S16" s="39"/>
      <c r="T16" s="39" t="s">
        <v>55</v>
      </c>
      <c r="U16" s="39" t="s">
        <v>56</v>
      </c>
      <c r="V16" s="39"/>
      <c r="W16" s="114" t="s">
        <v>157</v>
      </c>
      <c r="X16" s="114"/>
    </row>
    <row r="17" spans="1:22">
      <c r="C17" s="68" t="s">
        <v>121</v>
      </c>
      <c r="D17" s="38" t="str">
        <f>IFERROR(VLOOKUP(D29,Hoja1!$A$3:$D$12,4,TRUE),"")</f>
        <v/>
      </c>
      <c r="E17" s="39"/>
      <c r="F17" s="39"/>
      <c r="G17" s="24"/>
      <c r="H17" s="24">
        <v>14</v>
      </c>
      <c r="I17" s="38" t="s">
        <v>109</v>
      </c>
      <c r="J17" s="40" t="str">
        <f>IFERROR(VLOOKUP(J$13,Base2!$H$2:$AE$142623,Simulador!$H17,FALSE),"")</f>
        <v/>
      </c>
      <c r="K17" s="40" t="str">
        <f>IFERROR(VLOOKUP(K$13,Base2!$H$2:$AE$142623,Simulador!$H17,FALSE),"")</f>
        <v/>
      </c>
      <c r="L17" s="40" t="str">
        <f>IFERROR(VLOOKUP(L$13,Base2!$H$2:$AE$142623,Simulador!$H17,FALSE),"")</f>
        <v/>
      </c>
      <c r="M17" s="40" t="str">
        <f>IFERROR(VLOOKUP(M$13,Base2!$H$2:$AE$142623,Simulador!$H17,FALSE),"")</f>
        <v/>
      </c>
      <c r="N17" s="40" t="str">
        <f>IFERROR(VLOOKUP(N$13,Base2!$H$2:$AE$142623,Simulador!$H17,FALSE),"")</f>
        <v/>
      </c>
      <c r="O17" s="40" t="str">
        <f>IFERROR(VLOOKUP(O$13,Base2!$H$2:$AE$142623,Simulador!$H17,FALSE),"")</f>
        <v/>
      </c>
      <c r="P17" s="40" t="str">
        <f>IFERROR(VLOOKUP(P$13,Base2!$H$2:$AE$142623,Simulador!$H17,FALSE),"")</f>
        <v/>
      </c>
      <c r="Q17" s="39"/>
      <c r="R17" s="39"/>
      <c r="S17" s="39"/>
      <c r="T17" s="39"/>
      <c r="U17" s="39"/>
      <c r="V17" s="39"/>
    </row>
    <row r="18" spans="1:22">
      <c r="C18" s="68" t="s">
        <v>78</v>
      </c>
      <c r="D18" s="50">
        <f>SUMIF($J$48:$P$48,0,$J$38:$P$38)</f>
        <v>0</v>
      </c>
      <c r="E18" s="39"/>
      <c r="F18" s="39"/>
      <c r="G18" s="24"/>
      <c r="H18" s="24">
        <v>11</v>
      </c>
      <c r="I18" s="38" t="s">
        <v>47</v>
      </c>
      <c r="J18" s="41" t="str">
        <f>IFERROR(VLOOKUP(J$13,Base2!$H$2:$AE$142623,Simulador!$H18,FALSE),"")</f>
        <v/>
      </c>
      <c r="K18" s="41" t="str">
        <f>IFERROR(VLOOKUP(K$13,Base2!$H$2:$AE$142623,Simulador!$H18,FALSE),"")</f>
        <v/>
      </c>
      <c r="L18" s="41" t="str">
        <f>IFERROR(VLOOKUP(L$13,Base2!$H$2:$AE$142623,Simulador!$H18,FALSE),"")</f>
        <v/>
      </c>
      <c r="M18" s="41" t="str">
        <f>IFERROR(VLOOKUP(M$13,Base2!$H$2:$AE$142623,Simulador!$H18,FALSE),"")</f>
        <v/>
      </c>
      <c r="N18" s="41" t="str">
        <f>IFERROR(VLOOKUP(N$13,Base2!$H$2:$AE$142623,Simulador!$H18,FALSE),"")</f>
        <v/>
      </c>
      <c r="O18" s="41" t="str">
        <f>IFERROR(VLOOKUP(O$13,Base2!$H$2:$AE$142623,Simulador!$H18,FALSE),"")</f>
        <v/>
      </c>
      <c r="P18" s="41" t="str">
        <f>IFERROR(VLOOKUP(P$13,Base2!$H$2:$AE$142623,Simulador!$H18,FALSE),"")</f>
        <v/>
      </c>
      <c r="Q18" s="39"/>
      <c r="R18" s="39"/>
      <c r="S18" s="39"/>
      <c r="T18" s="39"/>
      <c r="U18" s="39"/>
      <c r="V18" s="39"/>
    </row>
    <row r="19" spans="1:22">
      <c r="C19" s="68" t="s">
        <v>79</v>
      </c>
      <c r="D19" s="50">
        <f>SUMIF($J$48:$P$48,0,$J$39:$P$39)</f>
        <v>0</v>
      </c>
      <c r="E19" s="39"/>
      <c r="F19" s="39"/>
      <c r="G19" s="24"/>
      <c r="H19" s="24">
        <v>21</v>
      </c>
      <c r="I19" s="38" t="s">
        <v>66</v>
      </c>
      <c r="J19" s="41" t="str">
        <f ca="1">IFERROR(IF(VLOOKUP(J$13,Base2!$H$2:$AE$142623,Simulador!$H19,FALSE)="NULL",TODAY(),VLOOKUP(J$13,Base2!$H$2:$AE$142623,Simulador!$H19,FALSE)),"")</f>
        <v/>
      </c>
      <c r="K19" s="41" t="str">
        <f ca="1">IFERROR(IF(VLOOKUP(K$13,Base2!$H$2:$AE$142623,Simulador!$H19,FALSE)="NULL",TODAY(),VLOOKUP(K$13,Base2!$H$2:$AE$142623,Simulador!$H19,FALSE)),"")</f>
        <v/>
      </c>
      <c r="L19" s="41" t="str">
        <f ca="1">IFERROR(IF(VLOOKUP(L$13,Base2!$H$2:$AE$142623,Simulador!$H19,FALSE)="NULL",TODAY(),VLOOKUP(L$13,Base2!$H$2:$AE$142623,Simulador!$H19,FALSE)),"")</f>
        <v/>
      </c>
      <c r="M19" s="41" t="str">
        <f ca="1">IFERROR(IF(VLOOKUP(M$13,Base2!$H$2:$AE$142623,Simulador!$H19,FALSE)="NULL",TODAY(),VLOOKUP(M$13,Base2!$H$2:$AE$142623,Simulador!$H19,FALSE)),"")</f>
        <v/>
      </c>
      <c r="N19" s="41" t="str">
        <f ca="1">IFERROR(IF(VLOOKUP(N$13,Base2!$H$2:$AE$142623,Simulador!$H19,FALSE)="NULL",TODAY(),VLOOKUP(N$13,Base2!$H$2:$AE$142623,Simulador!$H19,FALSE)),"")</f>
        <v/>
      </c>
      <c r="O19" s="41" t="str">
        <f ca="1">IFERROR(IF(VLOOKUP(O$13,Base2!$H$2:$AE$142623,Simulador!$H19,FALSE)="NULL",TODAY(),VLOOKUP(O$13,Base2!$H$2:$AE$142623,Simulador!$H19,FALSE)),"")</f>
        <v/>
      </c>
      <c r="P19" s="41" t="str">
        <f ca="1">IFERROR(IF(VLOOKUP(P$13,Base2!$H$2:$AE$142623,Simulador!$H19,FALSE)="NULL",TODAY(),VLOOKUP(P$13,Base2!$H$2:$AE$142623,Simulador!$H19,FALSE)),"")</f>
        <v/>
      </c>
      <c r="Q19" s="39"/>
      <c r="R19" s="39"/>
      <c r="S19" s="39"/>
      <c r="T19" s="39"/>
      <c r="U19" s="39"/>
      <c r="V19" s="39"/>
    </row>
    <row r="20" spans="1:22">
      <c r="C20" s="68" t="s">
        <v>110</v>
      </c>
      <c r="D20" s="42">
        <f>SUMIFS(J43:P43,J45:P45,1,$J$48:$P$48,0)</f>
        <v>0</v>
      </c>
      <c r="E20" s="69" t="s">
        <v>126</v>
      </c>
      <c r="F20" s="69" t="s">
        <v>142</v>
      </c>
      <c r="G20" s="24"/>
      <c r="H20" s="24">
        <v>16</v>
      </c>
      <c r="I20" s="38" t="s">
        <v>48</v>
      </c>
      <c r="J20" s="42" t="str">
        <f>IFERROR(IF(VLOOKUP(J$13,Base2!$H$2:$AE$142623,Simulador!$H20,FALSE)="NULL",J21,VLOOKUP(J$13,Base2!$H$2:$AE$142623,Simulador!$H20,FALSE)),"")</f>
        <v/>
      </c>
      <c r="K20" s="42" t="str">
        <f>IFERROR(IF(VLOOKUP(K$13,Base2!$H$2:$AE$142623,Simulador!$H20,FALSE)="NULL",K21,VLOOKUP(K$13,Base2!$H$2:$AE$142623,Simulador!$H20,FALSE)),"")</f>
        <v/>
      </c>
      <c r="L20" s="42" t="str">
        <f>IFERROR(IF(VLOOKUP(L$13,Base2!$H$2:$AE$142623,Simulador!$H20,FALSE)="NULL",L21,VLOOKUP(L$13,Base2!$H$2:$AE$142623,Simulador!$H20,FALSE)),"")</f>
        <v/>
      </c>
      <c r="M20" s="42" t="str">
        <f>IFERROR(IF(VLOOKUP(M$13,Base2!$H$2:$AE$142623,Simulador!$H20,FALSE)="NULL",M21,VLOOKUP(M$13,Base2!$H$2:$AE$142623,Simulador!$H20,FALSE)),"")</f>
        <v/>
      </c>
      <c r="N20" s="42" t="str">
        <f>IFERROR(IF(VLOOKUP(N$13,Base2!$H$2:$AE$142623,Simulador!$H20,FALSE)="NULL",N21,VLOOKUP(N$13,Base2!$H$2:$AE$142623,Simulador!$H20,FALSE)),"")</f>
        <v/>
      </c>
      <c r="O20" s="42" t="str">
        <f>IFERROR(IF(VLOOKUP(O$13,Base2!$H$2:$AE$142623,Simulador!$H20,FALSE)="NULL",O21,VLOOKUP(O$13,Base2!$H$2:$AE$142623,Simulador!$H20,FALSE)),"")</f>
        <v/>
      </c>
      <c r="P20" s="42" t="str">
        <f>IFERROR(IF(VLOOKUP(P$13,Base2!$H$2:$AE$142623,Simulador!$H20,FALSE)="NULL",P21,VLOOKUP(P$13,Base2!$H$2:$AE$142623,Simulador!$H20,FALSE)),"")</f>
        <v/>
      </c>
      <c r="Q20" s="39"/>
      <c r="R20" s="39"/>
      <c r="S20" s="39"/>
      <c r="T20" s="39"/>
      <c r="U20" s="39"/>
      <c r="V20" s="39"/>
    </row>
    <row r="21" spans="1:22">
      <c r="A21" t="s">
        <v>141</v>
      </c>
      <c r="B21" t="s">
        <v>140</v>
      </c>
      <c r="C21" s="68" t="s">
        <v>132</v>
      </c>
      <c r="D21" s="42">
        <f>IFERROR(((SUMIFS($I$21:$P$21,$I$47:$P$47,0,$I$48:$P$48,0)+D20+D19+D18)*(1+D17))+(D23*D17)+(D24*D17)+(D25*D17)+(D17*D26),0)</f>
        <v>0</v>
      </c>
      <c r="E21" s="70">
        <f>D21*((1+0.0079)^$D$31)</f>
        <v>0</v>
      </c>
      <c r="F21" s="71" t="str">
        <f>IF(D21=0,"","Comercial")</f>
        <v/>
      </c>
      <c r="G21" s="24"/>
      <c r="H21" s="24">
        <v>5</v>
      </c>
      <c r="I21" s="38" t="s">
        <v>54</v>
      </c>
      <c r="J21" s="42" t="str">
        <f>IFERROR(VLOOKUP(J$13,Base2!$H$2:$AE$142623,Simulador!$H21,FALSE),"")</f>
        <v/>
      </c>
      <c r="K21" s="42" t="str">
        <f>IFERROR(VLOOKUP(K$13,Base2!$H$2:$AE$142623,Simulador!$H21,FALSE),"")</f>
        <v/>
      </c>
      <c r="L21" s="42" t="str">
        <f>IFERROR(VLOOKUP(L$13,Base2!$H$2:$AE$142623,Simulador!$H21,FALSE),"")</f>
        <v/>
      </c>
      <c r="M21" s="42" t="str">
        <f>IFERROR(VLOOKUP(M$13,Base2!$H$2:$AE$142623,Simulador!$H21,FALSE),"")</f>
        <v/>
      </c>
      <c r="N21" s="42" t="str">
        <f>IFERROR(VLOOKUP(N$13,Base2!$H$2:$AE$142623,Simulador!$H21,FALSE),"")</f>
        <v/>
      </c>
      <c r="O21" s="42" t="str">
        <f>IFERROR(VLOOKUP(O$13,Base2!$H$2:$AE$142623,Simulador!$H21,FALSE),"")</f>
        <v/>
      </c>
      <c r="P21" s="42" t="str">
        <f>IFERROR(VLOOKUP(P$13,Base2!$H$2:$AE$142623,Simulador!$H21,FALSE),"")</f>
        <v/>
      </c>
      <c r="Q21" s="39"/>
      <c r="R21" s="39"/>
      <c r="S21" s="39"/>
      <c r="T21" s="39">
        <v>0</v>
      </c>
      <c r="U21" s="39" t="s">
        <v>25</v>
      </c>
      <c r="V21" s="39"/>
    </row>
    <row r="22" spans="1:22">
      <c r="A22" t="str">
        <f>IF(E22=0,"",48-D31)</f>
        <v/>
      </c>
      <c r="C22" s="68" t="s">
        <v>133</v>
      </c>
      <c r="D22" s="42">
        <f>IFERROR(((SUMIFS($I$21:$P$21,$I$47:$P$47,0,$I$48:$P$48,1))+SUMIF($J$48:$P$48,1,$J$38:$P$38)+SUMIF($J$48:$P$48,1,$J$39:$P$39))*(1+D17),0)</f>
        <v>0</v>
      </c>
      <c r="E22" s="70">
        <f t="shared" ref="E22:E26" si="1">D22*((1+0.0079)^$D$31)</f>
        <v>0</v>
      </c>
      <c r="F22" s="71" t="str">
        <f>IF(D22=0,"","Consumo")</f>
        <v/>
      </c>
      <c r="G22" s="24"/>
      <c r="H22" s="24">
        <v>24</v>
      </c>
      <c r="I22" s="38" t="s">
        <v>49</v>
      </c>
      <c r="J22" s="38" t="str">
        <f>IFERROR(VLOOKUP(J$13,Base2!$H$2:$AE$142623,Simulador!$H22,FALSE),"")</f>
        <v/>
      </c>
      <c r="K22" s="38" t="str">
        <f>IFERROR(VLOOKUP(K$13,Base2!$H$2:$AE$142623,Simulador!$H22,FALSE),"")</f>
        <v/>
      </c>
      <c r="L22" s="38" t="str">
        <f>IFERROR(VLOOKUP(L$13,Base2!$H$2:$AE$142623,Simulador!$H22,FALSE),"")</f>
        <v/>
      </c>
      <c r="M22" s="38" t="str">
        <f>IFERROR(VLOOKUP(M$13,Base2!$H$2:$AE$142623,Simulador!$H22,FALSE),"")</f>
        <v/>
      </c>
      <c r="N22" s="38" t="str">
        <f>IFERROR(VLOOKUP(N$13,Base2!$H$2:$AE$142623,Simulador!$H22,FALSE),"")</f>
        <v/>
      </c>
      <c r="O22" s="38" t="str">
        <f>IFERROR(VLOOKUP(O$13,Base2!$H$2:$AE$142623,Simulador!$H22,FALSE),"")</f>
        <v/>
      </c>
      <c r="P22" s="38" t="str">
        <f>IFERROR(VLOOKUP(P$13,Base2!$H$2:$AE$142623,Simulador!$H22,FALSE),"")</f>
        <v/>
      </c>
      <c r="Q22" s="39"/>
      <c r="R22" s="39"/>
      <c r="S22" s="39"/>
      <c r="T22" s="39"/>
      <c r="U22" s="39"/>
      <c r="V22" s="39"/>
    </row>
    <row r="23" spans="1:22">
      <c r="A23" t="str">
        <f>IF(B23=1,HLOOKUP(1,$J$47:$P$50,3,FALSE)-$D$31,"")</f>
        <v/>
      </c>
      <c r="B23" t="str">
        <f>IFERROR(HLOOKUP(1,$J$47:$P$50,4,FALSE),"")</f>
        <v/>
      </c>
      <c r="C23" s="68" t="s">
        <v>122</v>
      </c>
      <c r="D23" s="42">
        <f>SUMIF($I$47:$P$47,1,$I$21:$P$21)</f>
        <v>0</v>
      </c>
      <c r="E23" s="70">
        <f t="shared" si="1"/>
        <v>0</v>
      </c>
      <c r="F23" s="71" t="str">
        <f>IF(D23=0,"",IF(B23=1,"Fogape","Corfo"))</f>
        <v/>
      </c>
      <c r="G23" s="24"/>
      <c r="H23" s="24">
        <v>18</v>
      </c>
      <c r="I23" s="38" t="s">
        <v>50</v>
      </c>
      <c r="J23" s="42" t="str">
        <f>IFERROR(IF(VLOOKUP(J$13,Base2!$H$2:$AE$142623,Simulador!$H23,FALSE)="NULL",14,VLOOKUP(J$13,Base2!$H$2:$AE$142623,Simulador!$H23,FALSE)),"")</f>
        <v/>
      </c>
      <c r="K23" s="42" t="str">
        <f>IFERROR(IF(VLOOKUP(K$13,Base2!$H$2:$AE$142623,Simulador!$H23,FALSE)="NULL",14,VLOOKUP(K$13,Base2!$H$2:$AE$142623,Simulador!$H23,FALSE)),"")</f>
        <v/>
      </c>
      <c r="L23" s="42" t="str">
        <f>IFERROR(IF(VLOOKUP(L$13,Base2!$H$2:$AE$142623,Simulador!$H23,FALSE)="NULL",14,VLOOKUP(L$13,Base2!$H$2:$AE$142623,Simulador!$H23,FALSE)),"")</f>
        <v/>
      </c>
      <c r="M23" s="42" t="str">
        <f>IFERROR(IF(VLOOKUP(M$13,Base2!$H$2:$AE$142623,Simulador!$H23,FALSE)="NULL",14,VLOOKUP(M$13,Base2!$H$2:$AE$142623,Simulador!$H23,FALSE)),"")</f>
        <v/>
      </c>
      <c r="N23" s="42" t="str">
        <f>IFERROR(IF(VLOOKUP(N$13,Base2!$H$2:$AE$142623,Simulador!$H23,FALSE)="NULL",14,VLOOKUP(N$13,Base2!$H$2:$AE$142623,Simulador!$H23,FALSE)),"")</f>
        <v/>
      </c>
      <c r="O23" s="42" t="str">
        <f>IFERROR(IF(VLOOKUP(O$13,Base2!$H$2:$AE$142623,Simulador!$H23,FALSE)="NULL",14,VLOOKUP(O$13,Base2!$H$2:$AE$142623,Simulador!$H23,FALSE)),"")</f>
        <v/>
      </c>
      <c r="P23" s="42" t="str">
        <f>IFERROR(IF(VLOOKUP(P$13,Base2!$H$2:$AE$142623,Simulador!$H23,FALSE)="NULL",14,VLOOKUP(P$13,Base2!$H$2:$AE$142623,Simulador!$H23,FALSE)),"")</f>
        <v/>
      </c>
      <c r="Q23" s="39"/>
      <c r="R23" s="39"/>
      <c r="S23" s="39"/>
      <c r="T23" s="39"/>
      <c r="U23" s="39"/>
      <c r="V23" s="39"/>
    </row>
    <row r="24" spans="1:22">
      <c r="A24" t="str">
        <f>IF(B24=1,HLOOKUP(2,$J$47:$P$50,3,FALSE)-$D$31,"")</f>
        <v/>
      </c>
      <c r="B24" t="str">
        <f>IFERROR(HLOOKUP(2,$J$47:$P$50,4,FALSE),"")</f>
        <v/>
      </c>
      <c r="C24" s="68" t="s">
        <v>123</v>
      </c>
      <c r="D24" s="42">
        <f>SUMIF($I$47:$P$47,2,$I$21:$P$21)</f>
        <v>0</v>
      </c>
      <c r="E24" s="70">
        <f t="shared" si="1"/>
        <v>0</v>
      </c>
      <c r="F24" s="71" t="str">
        <f t="shared" ref="F24:F26" si="2">IF(D24=0,"",IF(B24=1,"Fogape","Corfo"))</f>
        <v/>
      </c>
      <c r="G24" s="24"/>
      <c r="H24" s="24"/>
      <c r="I24" s="43" t="s">
        <v>85</v>
      </c>
      <c r="J24" s="44" t="str">
        <f t="shared" ref="J24:P24" si="3">IF(J15="","",IF(J37=0,0,IF(J37&lt;=30,1,IF(J37&lt;=60,2,3))))</f>
        <v/>
      </c>
      <c r="K24" s="44" t="str">
        <f t="shared" si="3"/>
        <v/>
      </c>
      <c r="L24" s="44" t="str">
        <f t="shared" si="3"/>
        <v/>
      </c>
      <c r="M24" s="44" t="str">
        <f t="shared" si="3"/>
        <v/>
      </c>
      <c r="N24" s="44" t="str">
        <f t="shared" si="3"/>
        <v/>
      </c>
      <c r="O24" s="44" t="str">
        <f t="shared" si="3"/>
        <v/>
      </c>
      <c r="P24" s="44" t="str">
        <f t="shared" si="3"/>
        <v/>
      </c>
      <c r="Q24" s="39"/>
      <c r="R24" s="39"/>
      <c r="S24" s="39"/>
      <c r="T24" s="39"/>
      <c r="U24" s="39"/>
      <c r="V24" s="39"/>
    </row>
    <row r="25" spans="1:22">
      <c r="A25" t="str">
        <f>IF(B25=1,HLOOKUP(3,$J$47:$P$50,3,FALSE)-$D$31,"")</f>
        <v/>
      </c>
      <c r="B25" t="str">
        <f>IFERROR(HLOOKUP(3,$J$47:$P$50,4,FALSE),"")</f>
        <v/>
      </c>
      <c r="C25" s="68" t="s">
        <v>124</v>
      </c>
      <c r="D25" s="42">
        <f>SUMIF($I$47:$P$47,3,$I$21:$P$21)</f>
        <v>0</v>
      </c>
      <c r="E25" s="70">
        <f t="shared" si="1"/>
        <v>0</v>
      </c>
      <c r="F25" s="71" t="str">
        <f t="shared" si="2"/>
        <v/>
      </c>
      <c r="G25" s="24"/>
      <c r="H25" s="24">
        <v>17</v>
      </c>
      <c r="I25" s="38" t="s">
        <v>51</v>
      </c>
      <c r="J25" s="42" t="str">
        <f>IFERROR(IF(VLOOKUP(J$13,Base2!$H$2:$AE$142623,Simulador!$H25,FALSE)="NULL",0,VLOOKUP(J$13,Base2!$H$2:$AE$142623,Simulador!$H25,FALSE)),"")</f>
        <v/>
      </c>
      <c r="K25" s="42" t="str">
        <f>IFERROR(IF(VLOOKUP(K$13,Base2!$H$2:$AE$142623,Simulador!$H25,FALSE)="NULL",0,VLOOKUP(K$13,Base2!$H$2:$AE$142623,Simulador!$H25,FALSE)),"")</f>
        <v/>
      </c>
      <c r="L25" s="42" t="str">
        <f>IFERROR(IF(VLOOKUP(L$13,Base2!$H$2:$AE$142623,Simulador!$H25,FALSE)="NULL",0,VLOOKUP(L$13,Base2!$H$2:$AE$142623,Simulador!$H25,FALSE)),"")</f>
        <v/>
      </c>
      <c r="M25" s="42" t="str">
        <f>IFERROR(IF(VLOOKUP(M$13,Base2!$H$2:$AE$142623,Simulador!$H25,FALSE)="NULL",0,VLOOKUP(M$13,Base2!$H$2:$AE$142623,Simulador!$H25,FALSE)),"")</f>
        <v/>
      </c>
      <c r="N25" s="42" t="str">
        <f>IFERROR(IF(VLOOKUP(N$13,Base2!$H$2:$AE$142623,Simulador!$H25,FALSE)="NULL",0,VLOOKUP(N$13,Base2!$H$2:$AE$142623,Simulador!$H25,FALSE)),"")</f>
        <v/>
      </c>
      <c r="O25" s="42" t="str">
        <f>IFERROR(IF(VLOOKUP(O$13,Base2!$H$2:$AE$142623,Simulador!$H25,FALSE)="NULL",0,VLOOKUP(O$13,Base2!$H$2:$AE$142623,Simulador!$H25,FALSE)),"")</f>
        <v/>
      </c>
      <c r="P25" s="42" t="str">
        <f>IFERROR(IF(VLOOKUP(P$13,Base2!$H$2:$AE$142623,Simulador!$H25,FALSE)="NULL",0,VLOOKUP(P$13,Base2!$H$2:$AE$142623,Simulador!$H25,FALSE)),"")</f>
        <v/>
      </c>
      <c r="Q25" s="39"/>
      <c r="R25" s="39"/>
      <c r="S25" s="39"/>
      <c r="T25" s="39"/>
      <c r="U25" s="39"/>
      <c r="V25" s="39"/>
    </row>
    <row r="26" spans="1:22">
      <c r="A26" t="str">
        <f>IF(B26=1,HLOOKUP(4,$J$47:$P$50,3,FALSE)-$D$31,"")</f>
        <v/>
      </c>
      <c r="B26" t="str">
        <f>IFERROR(HLOOKUP(4,$J$47:$P$50,4,FALSE),"")</f>
        <v/>
      </c>
      <c r="C26" s="68" t="s">
        <v>143</v>
      </c>
      <c r="D26" s="42">
        <f>SUMIF($I$47:$P$47,4,$I$21:$P$21)</f>
        <v>0</v>
      </c>
      <c r="E26" s="70">
        <f t="shared" si="1"/>
        <v>0</v>
      </c>
      <c r="F26" s="71" t="str">
        <f t="shared" si="2"/>
        <v/>
      </c>
      <c r="G26" s="24"/>
      <c r="H26" s="24"/>
      <c r="I26" s="38" t="s">
        <v>65</v>
      </c>
      <c r="J26" s="43" t="str">
        <f t="shared" ref="J26:P26" si="4">IF(J15="","",J23-J25)</f>
        <v/>
      </c>
      <c r="K26" s="43" t="str">
        <f t="shared" si="4"/>
        <v/>
      </c>
      <c r="L26" s="43" t="str">
        <f t="shared" si="4"/>
        <v/>
      </c>
      <c r="M26" s="43" t="str">
        <f t="shared" si="4"/>
        <v/>
      </c>
      <c r="N26" s="43" t="str">
        <f t="shared" si="4"/>
        <v/>
      </c>
      <c r="O26" s="43" t="str">
        <f t="shared" si="4"/>
        <v/>
      </c>
      <c r="P26" s="43" t="str">
        <f t="shared" si="4"/>
        <v/>
      </c>
      <c r="Q26" s="39"/>
      <c r="R26" s="39"/>
      <c r="S26" s="39"/>
      <c r="T26" s="39"/>
      <c r="U26" s="39"/>
      <c r="V26" s="39"/>
    </row>
    <row r="27" spans="1:22">
      <c r="C27" s="68" t="s">
        <v>41</v>
      </c>
      <c r="D27" s="40" t="str">
        <f>IFERROR(IF(TRIM(VLOOKUP(D15,Base2!$D$1:$AF$131353,29,FALSE))="Null","Bueno",TRIM(VLOOKUP(D15,Base2!$D$1:$AF$131353,29,FALSE))),"")</f>
        <v/>
      </c>
      <c r="E27" s="72"/>
      <c r="F27" s="39"/>
      <c r="G27" s="24"/>
      <c r="H27" s="24">
        <v>19</v>
      </c>
      <c r="I27" s="38" t="s">
        <v>53</v>
      </c>
      <c r="J27" s="45" t="str">
        <f>IFERROR(VLOOKUP(J$13,Base2!$H$2:$AE$142623,Simulador!$H27,FALSE)/100,"")</f>
        <v/>
      </c>
      <c r="K27" s="45" t="str">
        <f>IFERROR(VLOOKUP(K$13,Base2!$H$2:$AE$142623,Simulador!$H27,FALSE)/100,"")</f>
        <v/>
      </c>
      <c r="L27" s="45" t="str">
        <f>IFERROR(VLOOKUP(L$13,Base2!$H$2:$AE$142623,Simulador!$H27,FALSE)/100,"")</f>
        <v/>
      </c>
      <c r="M27" s="45" t="str">
        <f>IFERROR(VLOOKUP(M$13,Base2!$H$2:$AE$142623,Simulador!$H27,FALSE)/100,"")</f>
        <v/>
      </c>
      <c r="N27" s="45" t="str">
        <f>IFERROR(VLOOKUP(N$13,Base2!$H$2:$AE$142623,Simulador!$H27,FALSE)/100,"")</f>
        <v/>
      </c>
      <c r="O27" s="45" t="str">
        <f>IFERROR(VLOOKUP(O$13,Base2!$H$2:$AE$142623,Simulador!$H27,FALSE)/100,"")</f>
        <v/>
      </c>
      <c r="P27" s="45" t="str">
        <f>IFERROR(VLOOKUP(P$13,Base2!$H$2:$AE$142623,Simulador!$H27,FALSE)/100,"")</f>
        <v/>
      </c>
      <c r="Q27" s="39"/>
      <c r="R27" s="39"/>
      <c r="S27" s="39"/>
      <c r="T27" s="39">
        <v>1000001</v>
      </c>
      <c r="U27" s="39" t="s">
        <v>26</v>
      </c>
      <c r="V27" s="39"/>
    </row>
    <row r="28" spans="1:22">
      <c r="C28" s="68" t="s">
        <v>42</v>
      </c>
      <c r="D28" s="73">
        <f>SUMIF($J$29:$P$29,0,$J$28:$P$28)</f>
        <v>0</v>
      </c>
      <c r="E28" s="39"/>
      <c r="F28" s="39"/>
      <c r="G28" s="24"/>
      <c r="H28" s="24">
        <v>4</v>
      </c>
      <c r="I28" s="38" t="s">
        <v>52</v>
      </c>
      <c r="J28" s="46" t="str">
        <f>IFERROR(IF(VLOOKUP(J$13,Base2!$H$2:$AE$142623,Simulador!$H28,FALSE)=0,J21/J23,VLOOKUP(J$13,Base2!$H$2:$AE$142623,Simulador!$H28,FALSE)),"")</f>
        <v/>
      </c>
      <c r="K28" s="46" t="str">
        <f>IFERROR(IF(VLOOKUP(K$13,Base2!$H$2:$AE$142623,Simulador!$H28,FALSE)=0,K21/K23,VLOOKUP(K$13,Base2!$H$2:$AE$142623,Simulador!$H28,FALSE)),"")</f>
        <v/>
      </c>
      <c r="L28" s="46" t="str">
        <f>IFERROR(IF(VLOOKUP(L$13,Base2!$H$2:$AE$142623,Simulador!$H28,FALSE)=0,L21/L23,VLOOKUP(L$13,Base2!$H$2:$AE$142623,Simulador!$H28,FALSE)),"")</f>
        <v/>
      </c>
      <c r="M28" s="46" t="str">
        <f>IFERROR(IF(VLOOKUP(M$13,Base2!$H$2:$AE$142623,Simulador!$H28,FALSE)=0,M21/M23,VLOOKUP(M$13,Base2!$H$2:$AE$142623,Simulador!$H28,FALSE)),"")</f>
        <v/>
      </c>
      <c r="N28" s="46" t="str">
        <f>IFERROR(IF(VLOOKUP(N$13,Base2!$H$2:$AE$142623,Simulador!$H28,FALSE)=0,N21/N23,VLOOKUP(N$13,Base2!$H$2:$AE$142623,Simulador!$H28,FALSE)),"")</f>
        <v/>
      </c>
      <c r="O28" s="46" t="str">
        <f>IFERROR(IF(VLOOKUP(O$13,Base2!$H$2:$AE$142623,Simulador!$H28,FALSE)=0,O21/O23,VLOOKUP(O$13,Base2!$H$2:$AE$142623,Simulador!$H28,FALSE)),"")</f>
        <v/>
      </c>
      <c r="P28" s="46" t="str">
        <f>IFERROR(IF(VLOOKUP(P$13,Base2!$H$2:$AE$142623,Simulador!$H28,FALSE)=0,P21/P23,VLOOKUP(P$13,Base2!$H$2:$AE$142623,Simulador!$H28,FALSE)),"")</f>
        <v/>
      </c>
      <c r="Q28" s="39"/>
      <c r="R28" s="39"/>
      <c r="S28" s="39"/>
      <c r="T28" s="39">
        <v>3000001</v>
      </c>
      <c r="U28" s="39" t="s">
        <v>27</v>
      </c>
      <c r="V28" s="39"/>
    </row>
    <row r="29" spans="1:22">
      <c r="C29" s="68" t="s">
        <v>68</v>
      </c>
      <c r="D29" s="38">
        <f>MAX(J30:P30)+(MAX(J31:P31))</f>
        <v>0</v>
      </c>
      <c r="E29" s="39"/>
      <c r="F29" s="39"/>
      <c r="G29" s="24"/>
      <c r="H29" s="36"/>
      <c r="I29" s="47" t="s">
        <v>67</v>
      </c>
      <c r="J29" s="47" t="str">
        <f>IF(J15="","",IF(OR(J18&gt;K19,J18&gt;L19,J18&gt;M19,J18&gt;N19,J18&gt;O19,J18&gt;P19),1,0))</f>
        <v/>
      </c>
      <c r="K29" s="47" t="str">
        <f>IF(K15="","",IF(OR(K18&gt;L19,K18&gt;M19,K18&gt;N19,K18&gt;O19,K18&gt;P19,K18&gt;J19),1,0))</f>
        <v/>
      </c>
      <c r="L29" s="47" t="str">
        <f>IF(L15="","",IF(OR(L18&gt;M19,L18&gt;N19,L18&gt;O19,L18&gt;P19,L18&gt;J19,L18&gt;K19),1,0))</f>
        <v/>
      </c>
      <c r="M29" s="47" t="str">
        <f>IF(M15="","",IF(OR(M18&gt;N19,M18&gt;O19,M18&gt;P19,M18&gt;J19,M18&gt;K19,M18&gt;L19),1,0))</f>
        <v/>
      </c>
      <c r="N29" s="47" t="str">
        <f>IF(N15="","",IF(OR(N18&gt;O19,N18&gt;P19,N18&gt;J19,N18&gt;K19,N18&gt;L19,N18&gt;M19),1,0))</f>
        <v/>
      </c>
      <c r="O29" s="47" t="str">
        <f>IF(O15="","",IF(OR(O18&gt;P19,O18&gt;J19,O18&gt;K19,O18&gt;L19,O18&gt;M19,O18&gt;N19),1,0))</f>
        <v/>
      </c>
      <c r="P29" s="47" t="str">
        <f>IF(P15="","",IF(OR(P18&gt;J19,P18&gt;K19,P18&gt;L19,P18&gt;M19,P18&gt;N19,P18&gt;O19),1,0))</f>
        <v/>
      </c>
      <c r="Q29" s="39"/>
      <c r="R29" s="39"/>
      <c r="S29" s="39"/>
      <c r="T29" s="39">
        <v>4000001</v>
      </c>
      <c r="U29" s="39" t="s">
        <v>28</v>
      </c>
      <c r="V29" s="39"/>
    </row>
    <row r="30" spans="1:22">
      <c r="C30" s="68" t="s">
        <v>69</v>
      </c>
      <c r="D30" s="45" t="str">
        <f>IFERROR(AVERAGEIF($J$29:$P$29,0,J27:P27),"")</f>
        <v/>
      </c>
      <c r="E30" s="39"/>
      <c r="F30" s="39"/>
      <c r="G30" s="24"/>
      <c r="H30" s="36"/>
      <c r="I30" s="47" t="s">
        <v>104</v>
      </c>
      <c r="J30" s="47" t="str">
        <f t="shared" ref="J30:P30" si="5">IF(J15="","",IF(J29=0,J26,0))</f>
        <v/>
      </c>
      <c r="K30" s="47" t="str">
        <f t="shared" si="5"/>
        <v/>
      </c>
      <c r="L30" s="47" t="str">
        <f t="shared" si="5"/>
        <v/>
      </c>
      <c r="M30" s="47" t="str">
        <f t="shared" si="5"/>
        <v/>
      </c>
      <c r="N30" s="47" t="str">
        <f t="shared" si="5"/>
        <v/>
      </c>
      <c r="O30" s="47" t="str">
        <f t="shared" si="5"/>
        <v/>
      </c>
      <c r="P30" s="47" t="str">
        <f t="shared" si="5"/>
        <v/>
      </c>
      <c r="Q30" s="39"/>
      <c r="R30" s="39"/>
      <c r="S30" s="39"/>
      <c r="T30" s="39">
        <v>5000001</v>
      </c>
      <c r="U30" s="39" t="s">
        <v>29</v>
      </c>
      <c r="V30" s="39"/>
    </row>
    <row r="31" spans="1:22">
      <c r="C31" s="68" t="s">
        <v>88</v>
      </c>
      <c r="D31" s="74">
        <v>6</v>
      </c>
      <c r="E31" s="39"/>
      <c r="F31" s="39"/>
      <c r="G31" s="24"/>
      <c r="H31" s="36"/>
      <c r="I31" s="47" t="s">
        <v>105</v>
      </c>
      <c r="J31" s="47" t="str">
        <f t="shared" ref="J31:P31" si="6">IF(J15="","",IF(J34=1,J26,0))</f>
        <v/>
      </c>
      <c r="K31" s="47" t="str">
        <f t="shared" si="6"/>
        <v/>
      </c>
      <c r="L31" s="47" t="str">
        <f t="shared" si="6"/>
        <v/>
      </c>
      <c r="M31" s="47" t="str">
        <f t="shared" si="6"/>
        <v/>
      </c>
      <c r="N31" s="47" t="str">
        <f t="shared" si="6"/>
        <v/>
      </c>
      <c r="O31" s="47" t="str">
        <f t="shared" si="6"/>
        <v/>
      </c>
      <c r="P31" s="47" t="str">
        <f t="shared" si="6"/>
        <v/>
      </c>
      <c r="Q31" s="39"/>
      <c r="R31" s="39"/>
      <c r="S31" s="39"/>
      <c r="T31" s="39">
        <v>7000001</v>
      </c>
      <c r="U31" s="39" t="s">
        <v>30</v>
      </c>
      <c r="V31" s="39"/>
    </row>
    <row r="32" spans="1:22">
      <c r="C32" s="68" t="s">
        <v>151</v>
      </c>
      <c r="D32" s="90">
        <f>SUM(J32:P32)</f>
        <v>0</v>
      </c>
      <c r="E32" s="39"/>
      <c r="F32" s="39"/>
      <c r="G32" s="24"/>
      <c r="H32" s="36"/>
      <c r="I32" s="47"/>
      <c r="J32" s="47" t="str">
        <f>IF(J15="","",(J28*J26)+SUM(J38:J40))</f>
        <v/>
      </c>
      <c r="K32" s="47" t="str">
        <f t="shared" ref="K32:P32" si="7">IF(K15="","",(K28*K26)+SUM(K38:K40))</f>
        <v/>
      </c>
      <c r="L32" s="47" t="str">
        <f t="shared" si="7"/>
        <v/>
      </c>
      <c r="M32" s="47" t="str">
        <f t="shared" si="7"/>
        <v/>
      </c>
      <c r="N32" s="47" t="str">
        <f t="shared" si="7"/>
        <v/>
      </c>
      <c r="O32" s="47" t="str">
        <f t="shared" si="7"/>
        <v/>
      </c>
      <c r="P32" s="47" t="str">
        <f t="shared" si="7"/>
        <v/>
      </c>
      <c r="Q32" s="39"/>
      <c r="R32" s="39"/>
      <c r="S32" s="39"/>
      <c r="T32" s="39"/>
      <c r="U32" s="39"/>
      <c r="V32" s="39"/>
    </row>
    <row r="33" spans="2:26">
      <c r="C33" s="39"/>
      <c r="D33" s="75"/>
      <c r="E33" s="39"/>
      <c r="F33" s="39"/>
      <c r="G33" s="24"/>
      <c r="H33" s="36"/>
      <c r="I33" s="47" t="s">
        <v>106</v>
      </c>
      <c r="J33" s="48">
        <f t="shared" ref="J33:P33" ca="1" si="8">IF(J15="",TODAY(),J19)</f>
        <v>43991</v>
      </c>
      <c r="K33" s="48">
        <f t="shared" ca="1" si="8"/>
        <v>43991</v>
      </c>
      <c r="L33" s="48">
        <f t="shared" ca="1" si="8"/>
        <v>43991</v>
      </c>
      <c r="M33" s="48">
        <f t="shared" ca="1" si="8"/>
        <v>43991</v>
      </c>
      <c r="N33" s="48">
        <f t="shared" ca="1" si="8"/>
        <v>43991</v>
      </c>
      <c r="O33" s="48">
        <f t="shared" ca="1" si="8"/>
        <v>43991</v>
      </c>
      <c r="P33" s="48">
        <f t="shared" ca="1" si="8"/>
        <v>43991</v>
      </c>
      <c r="Q33" s="39"/>
      <c r="R33" s="39"/>
      <c r="S33" s="39"/>
      <c r="T33" s="39"/>
      <c r="U33" s="39"/>
      <c r="V33" s="39"/>
    </row>
    <row r="34" spans="2:26">
      <c r="C34" s="76" t="s">
        <v>148</v>
      </c>
      <c r="D34" s="77" t="s">
        <v>74</v>
      </c>
      <c r="E34" s="39"/>
      <c r="F34" s="39"/>
      <c r="G34" s="24"/>
      <c r="H34" s="36"/>
      <c r="I34" s="47" t="s">
        <v>107</v>
      </c>
      <c r="J34" s="47" t="str">
        <f>IF(K15="","",IF(AND(J18&gt;K33,J18&gt;L33,J18&gt;M33,J18&gt;N33,J18&gt;O33,J18&gt;P33),1,0))</f>
        <v/>
      </c>
      <c r="K34" s="47" t="str">
        <f>IF(K15="","",IF(AND(K18&gt;L33,K18&gt;M33,K18&gt;N33,K18&gt;O33,K18&gt;P33,K18&gt;J33),1,0))</f>
        <v/>
      </c>
      <c r="L34" s="47" t="str">
        <f>IF(L15="","",IF(AND(L18&gt;M33,L18&gt;N33,L18&gt;O33,L18&gt;P33,L18&gt;J33,L18&gt;K33),1,0))</f>
        <v/>
      </c>
      <c r="M34" s="47" t="str">
        <f>IF(M15="","",IF(AND(M18&gt;N33,M18&gt;O33,M18&gt;P33,M18&gt;J33,M18&gt;K33,M18&gt;L33),1,0))</f>
        <v/>
      </c>
      <c r="N34" s="47" t="str">
        <f>IF(N15="","",IF(AND(N18&gt;O33,N18&gt;P33,N18&gt;J33,N18&gt;K33,N18&gt;L33,N18&gt;M33),1,0))</f>
        <v/>
      </c>
      <c r="O34" s="47" t="str">
        <f>IF(O15="","",IF(AND(O18&gt;P33,O18&gt;J33,O18&gt;K33,O18&gt;L33,O18&gt;M33,O18&gt;N33),1,0))</f>
        <v/>
      </c>
      <c r="P34" s="47" t="str">
        <f>IF(P15="","",IF(AND(P18&gt;J33,P18&gt;K33,P18&gt;L33,P18&gt;M33,P18&gt;N33,P18&gt;O33),1,0))</f>
        <v/>
      </c>
      <c r="Q34" s="39"/>
      <c r="R34" s="39"/>
      <c r="S34" s="39"/>
      <c r="T34" s="39">
        <v>10000001</v>
      </c>
      <c r="U34" s="39" t="s">
        <v>31</v>
      </c>
      <c r="V34" s="39"/>
    </row>
    <row r="35" spans="2:26">
      <c r="C35" s="78"/>
      <c r="D35" s="79"/>
      <c r="E35" s="39"/>
      <c r="F35" s="39"/>
      <c r="G35" s="24"/>
      <c r="H35" s="24"/>
      <c r="I35" s="49" t="s">
        <v>70</v>
      </c>
      <c r="J35" s="42" t="str">
        <f t="shared" ref="J35:P35" si="9">IF(J15="","",-CUMIPMT(J27,J23,J20,J25+1,J23,0))</f>
        <v/>
      </c>
      <c r="K35" s="42" t="str">
        <f t="shared" si="9"/>
        <v/>
      </c>
      <c r="L35" s="42" t="str">
        <f t="shared" si="9"/>
        <v/>
      </c>
      <c r="M35" s="42" t="str">
        <f t="shared" si="9"/>
        <v/>
      </c>
      <c r="N35" s="42" t="str">
        <f t="shared" si="9"/>
        <v/>
      </c>
      <c r="O35" s="42" t="str">
        <f t="shared" si="9"/>
        <v/>
      </c>
      <c r="P35" s="42" t="str">
        <f t="shared" si="9"/>
        <v/>
      </c>
      <c r="Q35" s="39"/>
      <c r="R35" s="39"/>
      <c r="S35" s="39"/>
      <c r="T35" s="39">
        <v>15000001</v>
      </c>
      <c r="U35" s="39" t="s">
        <v>32</v>
      </c>
      <c r="V35" s="39"/>
    </row>
    <row r="36" spans="2:26">
      <c r="C36" s="78" t="s">
        <v>43</v>
      </c>
      <c r="D36" s="80">
        <f>0.79%</f>
        <v>7.9000000000000008E-3</v>
      </c>
      <c r="E36" s="39"/>
      <c r="F36" s="39"/>
      <c r="G36" s="24"/>
      <c r="H36" s="24"/>
      <c r="I36" s="38" t="s">
        <v>72</v>
      </c>
      <c r="J36" s="50" t="str">
        <f t="shared" ref="J36:P36" si="10">IF(J15="","",IF(J25=0,J21,CUMPRINC(J27,J23,J20,1,J25,0)+J20))</f>
        <v/>
      </c>
      <c r="K36" s="50" t="str">
        <f t="shared" si="10"/>
        <v/>
      </c>
      <c r="L36" s="50" t="str">
        <f t="shared" si="10"/>
        <v/>
      </c>
      <c r="M36" s="50" t="str">
        <f t="shared" si="10"/>
        <v/>
      </c>
      <c r="N36" s="50" t="str">
        <f t="shared" si="10"/>
        <v/>
      </c>
      <c r="O36" s="50" t="str">
        <f t="shared" si="10"/>
        <v/>
      </c>
      <c r="P36" s="50" t="str">
        <f t="shared" si="10"/>
        <v/>
      </c>
      <c r="Q36" s="39"/>
      <c r="R36" s="39"/>
      <c r="S36" s="39"/>
      <c r="T36" s="39">
        <v>20000001</v>
      </c>
      <c r="U36" s="39" t="s">
        <v>33</v>
      </c>
      <c r="V36" s="39"/>
    </row>
    <row r="37" spans="2:26">
      <c r="C37" s="78" t="s">
        <v>150</v>
      </c>
      <c r="D37" s="81">
        <f>IFERROR(IF(ROUNDUP(NPER(D36,-D38,SUM(E21:E26)),0)&gt;84-D31,84-D31,ROUNDUP(NPER(D36,-D38,SUM(E21:E26)),0)),D29+3)</f>
        <v>3</v>
      </c>
      <c r="E37" s="39"/>
      <c r="F37" s="39"/>
      <c r="G37" s="24"/>
      <c r="H37" s="24">
        <v>7</v>
      </c>
      <c r="I37" s="38" t="s">
        <v>86</v>
      </c>
      <c r="J37" s="38" t="str">
        <f>IFERROR(VLOOKUP(J$13,Base2!$H$2:$AE$142623,Simulador!$H37,FALSE),"")</f>
        <v/>
      </c>
      <c r="K37" s="38" t="str">
        <f>IFERROR(VLOOKUP(K$13,Base2!$H$2:$AE$142623,Simulador!$H37,FALSE),"")</f>
        <v/>
      </c>
      <c r="L37" s="38" t="str">
        <f>IFERROR(VLOOKUP(L$13,Base2!$H$2:$AE$142623,Simulador!$H37,FALSE),"")</f>
        <v/>
      </c>
      <c r="M37" s="38" t="str">
        <f>IFERROR(VLOOKUP(M$13,Base2!$H$2:$AE$142623,Simulador!$H37,FALSE),"")</f>
        <v/>
      </c>
      <c r="N37" s="38" t="str">
        <f>IFERROR(VLOOKUP(N$13,Base2!$H$2:$AE$142623,Simulador!$H37,FALSE),"")</f>
        <v/>
      </c>
      <c r="O37" s="38" t="str">
        <f>IFERROR(VLOOKUP(O$13,Base2!$H$2:$AE$142623,Simulador!$H37,FALSE),"")</f>
        <v/>
      </c>
      <c r="P37" s="38" t="str">
        <f>IFERROR(VLOOKUP(P$13,Base2!$H$2:$AE$142623,Simulador!$H37,FALSE),"")</f>
        <v/>
      </c>
      <c r="Q37" s="51"/>
      <c r="R37" s="39"/>
      <c r="S37" s="39"/>
      <c r="T37" s="39"/>
      <c r="U37" s="39"/>
      <c r="V37" s="39"/>
    </row>
    <row r="38" spans="2:26">
      <c r="C38" s="78" t="s">
        <v>71</v>
      </c>
      <c r="D38" s="82">
        <f>D28*0.95</f>
        <v>0</v>
      </c>
      <c r="E38" s="95" t="s">
        <v>159</v>
      </c>
      <c r="F38" s="39"/>
      <c r="G38" s="24"/>
      <c r="H38" s="24"/>
      <c r="I38" s="38" t="s">
        <v>78</v>
      </c>
      <c r="J38" s="42" t="str">
        <f>IF(J15="","",IF(VLOOKUP(J$13,Base2!$H$2:$AE$142623,Simulador!$H28,FALSE)=0,IF(J37=0,0,J21*J42*J37),IFERROR(IF(J37=0,0,IF(J37&lt;=30,J37*J42*J28,IF(J37&lt;=62,(J37*J42*J28)+((J37-30)*J42*J28)))),0)))</f>
        <v/>
      </c>
      <c r="K38" s="42" t="str">
        <f>IF(K15="","",IF(VLOOKUP(K$13,Base2!$H$2:$AE$142623,Simulador!$H28,FALSE)=0,IF(K37=0,0,K21*K42*K37),IFERROR(IF(K37=0,0,IF(K37&lt;=30,K37*K42*K28,IF(K37&lt;=60,(K37*K42*K28)+((K37-30)*K42*K28)))),0)))</f>
        <v/>
      </c>
      <c r="L38" s="42" t="str">
        <f>IF(L15="","",IF(VLOOKUP(L$13,Base2!$H$2:$AE$142623,Simulador!$H28,FALSE)=0,IF(L37=0,0,L21*L42*L37),IFERROR(IF(L37=0,0,IF(L37&lt;=30,L37*L42*L28,IF(L37&lt;=60,(L37*L42*L28)+((L37-30)*L42*L28)))),0)))</f>
        <v/>
      </c>
      <c r="M38" s="42" t="str">
        <f>IF(M15="","",IF(VLOOKUP(M$13,Base2!$H$2:$AE$142623,Simulador!$H28,FALSE)=0,IF(M37=0,0,M21*M42*M37),IFERROR(IF(M37=0,0,IF(M37&lt;=30,M37*M42*M28,IF(M37&lt;=60,(M37*M42*M28)+((M37-30)*M42*M28)))),0)))</f>
        <v/>
      </c>
      <c r="N38" s="42" t="str">
        <f>IF(N15="","",IF(VLOOKUP(N$13,Base2!$H$2:$AE$142623,Simulador!$H28,FALSE)=0,IF(N37=0,0,N21*N42*N37),IFERROR(IF(N37=0,0,IF(N37&lt;=30,N37*N42*N28,IF(N37&lt;=60,(N37*N42*N28)+((N37-30)*N42*N28)))),0)))</f>
        <v/>
      </c>
      <c r="O38" s="42" t="str">
        <f>IF(O15="","",IF(VLOOKUP(O$13,Base2!$H$2:$AE$142623,Simulador!$H28,FALSE)=0,IF(O37=0,0,O21*O42*O37),IFERROR(IF(O37=0,0,IF(O37&lt;=30,O37*O42*O28,IF(O37&lt;=60,(O37*O42*O28)+((O37-30)*O42*O28)))),0)))</f>
        <v/>
      </c>
      <c r="P38" s="42" t="str">
        <f>IF(P15="","",IF(VLOOKUP(P$13,Base2!$H$2:$AE$142623,Simulador!$H28,FALSE)=0,IF(P37=0,0,P21*P42*P37),IFERROR(IF(P37=0,0,IF(P37&lt;=30,P37*P42*P28,IF(P37&lt;=60,(P37*P42*P28)+((P37-30)*P42*P28)))),0)))</f>
        <v/>
      </c>
      <c r="Q38" s="39"/>
      <c r="R38" s="39"/>
      <c r="S38" s="39"/>
      <c r="T38" s="39" t="s">
        <v>61</v>
      </c>
      <c r="U38" s="39" t="s">
        <v>62</v>
      </c>
      <c r="V38" s="39"/>
    </row>
    <row r="39" spans="2:26">
      <c r="C39" s="83" t="s">
        <v>135</v>
      </c>
      <c r="D39" s="84">
        <f>IFERROR((((1+D36)^D37)*D36*E21)/(((1+D36)^D37)-1),0)</f>
        <v>0</v>
      </c>
      <c r="E39" s="40" t="str">
        <f>IF(D39=0,"",D37+D31)</f>
        <v/>
      </c>
      <c r="F39" s="39"/>
      <c r="G39" s="24"/>
      <c r="H39" s="24"/>
      <c r="I39" s="38" t="s">
        <v>79</v>
      </c>
      <c r="J39" s="42" t="str">
        <f t="shared" ref="J39:P39" si="11">IF(OR(J37="",J37&lt;21),"",((IF(J41&gt;50,((J41-50)*0.03)+(40*0.06)+(10*0.09),IF(J41&gt;10,((J41-10)*0.06)+(10*0.09),J41*0.09)))*$J$54)*J24)</f>
        <v/>
      </c>
      <c r="K39" s="42" t="str">
        <f t="shared" si="11"/>
        <v/>
      </c>
      <c r="L39" s="42" t="str">
        <f t="shared" si="11"/>
        <v/>
      </c>
      <c r="M39" s="42" t="str">
        <f t="shared" si="11"/>
        <v/>
      </c>
      <c r="N39" s="42" t="str">
        <f t="shared" si="11"/>
        <v/>
      </c>
      <c r="O39" s="42" t="str">
        <f t="shared" si="11"/>
        <v/>
      </c>
      <c r="P39" s="42" t="str">
        <f t="shared" si="11"/>
        <v/>
      </c>
      <c r="Q39" s="39"/>
      <c r="R39" s="39"/>
      <c r="S39" s="39"/>
      <c r="T39" s="39" t="s">
        <v>57</v>
      </c>
      <c r="U39" s="39" t="s">
        <v>24</v>
      </c>
      <c r="V39" s="39"/>
    </row>
    <row r="40" spans="2:26">
      <c r="B40">
        <f>IF(A22="",D37,IF(A22&lt;D37,A22,D37))</f>
        <v>3</v>
      </c>
      <c r="C40" s="78" t="s">
        <v>134</v>
      </c>
      <c r="D40" s="85">
        <f>IFERROR((((1+D36)^B40)*D36*E22)/(((1+D36)^B40)-1),0)</f>
        <v>0</v>
      </c>
      <c r="E40" s="40" t="str">
        <f>IF(D40=0,"",B40+D31)</f>
        <v/>
      </c>
      <c r="F40" s="39"/>
      <c r="G40" s="24"/>
      <c r="H40" s="24"/>
      <c r="I40" s="43" t="s">
        <v>87</v>
      </c>
      <c r="J40" s="44"/>
      <c r="K40" s="44"/>
      <c r="L40" s="44"/>
      <c r="M40" s="44"/>
      <c r="N40" s="38"/>
      <c r="O40" s="38"/>
      <c r="P40" s="38"/>
      <c r="Q40" s="39"/>
      <c r="R40" s="39"/>
      <c r="S40" s="39"/>
      <c r="T40" s="39"/>
      <c r="U40" s="39"/>
      <c r="V40" s="39"/>
    </row>
    <row r="41" spans="2:26">
      <c r="B41">
        <f>IF(A23="",D37,IF(A23&lt;D37,A23,D37))</f>
        <v>3</v>
      </c>
      <c r="C41" s="78" t="s">
        <v>136</v>
      </c>
      <c r="D41" s="85">
        <f>IFERROR((((1+D36)^B41)*D36*E23)/(((1+D36)^B41)-1),0)</f>
        <v>0</v>
      </c>
      <c r="E41" s="40" t="str">
        <f>IF(D41=0,"",B41+D31)</f>
        <v/>
      </c>
      <c r="F41" s="39"/>
      <c r="G41" s="24"/>
      <c r="H41" s="24"/>
      <c r="I41" s="43" t="s">
        <v>83</v>
      </c>
      <c r="J41" s="52" t="str">
        <f>IF(J15="","",IF(OR(VLOOKUP(J$13,Base2!$H$2:$AE$142623,Simulador!$H28,FALSE)=0,VLOOKUP(J$13,Base2!$H$2:$AE$142623,Simulador!$H28,FALSE)="NULL"),J21/$J$54,J28/$J$54))</f>
        <v/>
      </c>
      <c r="K41" s="52" t="str">
        <f>IF(K15="","",IF(OR(VLOOKUP(K$13,Base2!$H$2:$AE$142623,Simulador!$H28,FALSE)=0,VLOOKUP(K$13,Base2!$H$2:$AE$142623,Simulador!$H28,FALSE)="NULL"),K21/$J$54,K28/$J$54))</f>
        <v/>
      </c>
      <c r="L41" s="52" t="str">
        <f>IF(L15="","",IF(OR(VLOOKUP(L$13,Base2!$H$2:$AE$142623,Simulador!$H28,FALSE)=0,VLOOKUP(L$13,Base2!$H$2:$AE$142623,Simulador!$H28,FALSE)="NULL"),L21/$J$54,L28/$J$54))</f>
        <v/>
      </c>
      <c r="M41" s="52" t="str">
        <f>IF(M15="","",IF(OR(VLOOKUP(M$13,Base2!$H$2:$AE$142623,Simulador!$H28,FALSE)=0,VLOOKUP(M$13,Base2!$H$2:$AE$142623,Simulador!$H28,FALSE)="NULL"),M21/$J$54,M28/$J$54))</f>
        <v/>
      </c>
      <c r="N41" s="52" t="str">
        <f>IF(N15="","",IF(OR(VLOOKUP(N$13,Base2!$H$2:$AE$142623,Simulador!$H28,FALSE)=0,VLOOKUP(N$13,Base2!$H$2:$AE$142623,Simulador!$H28,FALSE)="NULL"),N21/$J$54,N28/$J$54))</f>
        <v/>
      </c>
      <c r="O41" s="52" t="str">
        <f>IF(O15="","",IF(OR(VLOOKUP(O$13,Base2!$H$2:$AE$142623,Simulador!$H28,FALSE)=0,VLOOKUP(O$13,Base2!$H$2:$AE$142623,Simulador!$H28,FALSE)="NULL"),O21/$J$54,O28/$J$54))</f>
        <v/>
      </c>
      <c r="P41" s="52" t="str">
        <f>IF(P15="","",IF(OR(VLOOKUP(P$13,Base2!$H$2:$AE$142623,Simulador!$H28,FALSE)=0,VLOOKUP(P$13,Base2!$H$2:$AE$142623,Simulador!$H28,FALSE)="NULL"),P21/$J$54,P28/$J$54))</f>
        <v/>
      </c>
      <c r="Q41" s="39"/>
      <c r="R41" s="39"/>
      <c r="S41" s="39"/>
      <c r="T41" s="39" t="s">
        <v>58</v>
      </c>
      <c r="U41" s="39" t="s">
        <v>34</v>
      </c>
      <c r="V41" s="39"/>
    </row>
    <row r="42" spans="2:26">
      <c r="B42">
        <f>IF(A24="",D37,IF(A24&lt;D37,A24,D37))</f>
        <v>3</v>
      </c>
      <c r="C42" s="78" t="s">
        <v>137</v>
      </c>
      <c r="D42" s="85">
        <f>IFERROR((((1+D36)^B42)*D36*E24)/(((1+D36)^B42)-1),0)</f>
        <v>0</v>
      </c>
      <c r="E42" s="40" t="str">
        <f>IF(D42=0,"",B42+D31)</f>
        <v/>
      </c>
      <c r="F42" s="39"/>
      <c r="G42" s="24"/>
      <c r="H42" s="24">
        <v>20</v>
      </c>
      <c r="I42" s="43" t="s">
        <v>84</v>
      </c>
      <c r="J42" s="45" t="str">
        <f>IF(J15="","",IFERROR((((VLOOKUP(J$13,Base2!$H$2:$AE$142623,Simulador!$H42,FALSE)/100)/365)),$J$55))</f>
        <v/>
      </c>
      <c r="K42" s="45" t="str">
        <f>IF(K15="","",IFERROR((((VLOOKUP(K$13,Base2!$H$2:$AE$142623,Simulador!$H42,FALSE)/100)/365)),$J$55))</f>
        <v/>
      </c>
      <c r="L42" s="45" t="str">
        <f>IF(L15="","",IFERROR((((VLOOKUP(L$13,Base2!$H$2:$AE$142623,Simulador!$H42,FALSE)/100)/365)),$J$55))</f>
        <v/>
      </c>
      <c r="M42" s="45" t="str">
        <f>IF(M15="","",IFERROR((((VLOOKUP(M$13,Base2!$H$2:$AE$142623,Simulador!$H42,FALSE)/100)/365)),$J$55))</f>
        <v/>
      </c>
      <c r="N42" s="45" t="str">
        <f>IF(N15="","",IFERROR((((VLOOKUP(N$13,Base2!$H$2:$AE$142623,Simulador!$H42,FALSE)/100)/365)),$J$55))</f>
        <v/>
      </c>
      <c r="O42" s="45" t="str">
        <f>IF(O15="","",IFERROR((((VLOOKUP(O$13,Base2!$H$2:$AE$142623,Simulador!$H42,FALSE)/100)/365)),$J$55))</f>
        <v/>
      </c>
      <c r="P42" s="45" t="str">
        <f>IF(P15="","",IFERROR((((VLOOKUP(P$13,Base2!$H$2:$AE$142623,Simulador!$H42,FALSE)/100)/365)),$J$55))</f>
        <v/>
      </c>
      <c r="Q42" s="39"/>
      <c r="R42" s="39"/>
      <c r="S42" s="39"/>
      <c r="T42" s="39" t="s">
        <v>59</v>
      </c>
      <c r="U42" s="39" t="s">
        <v>35</v>
      </c>
      <c r="V42" s="39"/>
    </row>
    <row r="43" spans="2:26">
      <c r="B43">
        <f>IF(A25="",D37,IF(A25&lt;D37,A25,D37))</f>
        <v>3</v>
      </c>
      <c r="C43" s="78" t="s">
        <v>138</v>
      </c>
      <c r="D43" s="85">
        <f>IFERROR((((1+D36)^B43)*D36*E25)/(((1+D36)^B43)-1),0)</f>
        <v>0</v>
      </c>
      <c r="E43" s="40" t="str">
        <f>IF(D43=0,"",B43+D31)</f>
        <v/>
      </c>
      <c r="F43" s="39"/>
      <c r="G43" s="24"/>
      <c r="I43" s="43" t="s">
        <v>111</v>
      </c>
      <c r="J43" s="53" t="str">
        <f t="shared" ref="J43:P43" si="12">IF(J15="","",IF(OR(TRIM(J17)="MF",TRIM(J17)="MRF"),J27*J21,0))</f>
        <v/>
      </c>
      <c r="K43" s="53" t="str">
        <f t="shared" si="12"/>
        <v/>
      </c>
      <c r="L43" s="53" t="str">
        <f t="shared" si="12"/>
        <v/>
      </c>
      <c r="M43" s="53" t="str">
        <f t="shared" si="12"/>
        <v/>
      </c>
      <c r="N43" s="53" t="str">
        <f t="shared" si="12"/>
        <v/>
      </c>
      <c r="O43" s="53" t="str">
        <f t="shared" si="12"/>
        <v/>
      </c>
      <c r="P43" s="53" t="str">
        <f t="shared" si="12"/>
        <v/>
      </c>
      <c r="Q43" s="39"/>
      <c r="R43" s="39"/>
      <c r="S43" s="39"/>
      <c r="T43" s="39"/>
      <c r="U43" s="39"/>
      <c r="V43" s="39"/>
    </row>
    <row r="44" spans="2:26">
      <c r="B44">
        <f>IF(A26="",D37,IF(A26&lt;D37,A26,D37))</f>
        <v>3</v>
      </c>
      <c r="C44" s="78" t="s">
        <v>144</v>
      </c>
      <c r="D44" s="86">
        <f>IFERROR((((1+D36)^B44)*D36*E26)/(((1+D36)^B44)-1),0)</f>
        <v>0</v>
      </c>
      <c r="E44" s="40" t="str">
        <f>IF(D44=0,"",B44+D31)</f>
        <v/>
      </c>
      <c r="F44" s="39"/>
      <c r="G44" s="24"/>
      <c r="H44">
        <v>22</v>
      </c>
      <c r="I44" s="54" t="s">
        <v>113</v>
      </c>
      <c r="J44" s="38" t="str">
        <f>IF(J15="","",IF(OR(VLOOKUP(J$13,Base2!$H$2:$AE$142623,Simulador!$H44,FALSE)=0,VLOOKUP(J$13,Base2!$H$2:$AE$142623,Simulador!$H44,FALSE)="Null"),0,1))</f>
        <v/>
      </c>
      <c r="K44" s="38" t="str">
        <f>IF(K15="","",IF(OR(VLOOKUP(K$13,Base2!$H$2:$AE$142623,Simulador!$H44,FALSE)=0,VLOOKUP(K$13,Base2!$H$2:$AE$142623,Simulador!$H44,FALSE)="Null"),0,1))</f>
        <v/>
      </c>
      <c r="L44" s="38" t="str">
        <f>IF(L15="","",IF(OR(VLOOKUP(L$13,Base2!$H$2:$AE$142623,Simulador!$H44,FALSE)=0,VLOOKUP(L$13,Base2!$H$2:$AE$142623,Simulador!$H44,FALSE)="Null"),0,1))</f>
        <v/>
      </c>
      <c r="M44" s="38" t="str">
        <f>IF(M15="","",IF(OR(VLOOKUP(M$13,Base2!$H$2:$AE$142623,Simulador!$H44,FALSE)=0,VLOOKUP(M$13,Base2!$H$2:$AE$142623,Simulador!$H44,FALSE)="Null"),0,1))</f>
        <v/>
      </c>
      <c r="N44" s="38" t="str">
        <f>IF(N15="","",IF(OR(VLOOKUP(N$13,Base2!$H$2:$AE$142623,Simulador!$H44,FALSE)=0,VLOOKUP(N$13,Base2!$H$2:$AE$142623,Simulador!$H44,FALSE)="Null"),0,1))</f>
        <v/>
      </c>
      <c r="O44" s="38" t="str">
        <f>IF(O15="","",IF(OR(VLOOKUP(O$13,Base2!$H$2:$AE$142623,Simulador!$H44,FALSE)=0,VLOOKUP(O$13,Base2!$H$2:$AE$142623,Simulador!$H44,FALSE)="Null"),0,1))</f>
        <v/>
      </c>
      <c r="P44" s="38" t="str">
        <f>IF(P15="","",IF(OR(VLOOKUP(P$13,Base2!$H$2:$AE$142623,Simulador!$H44,FALSE)=0,VLOOKUP(P$13,Base2!$H$2:$AE$142623,Simulador!$H44,FALSE)="Null"),0,1))</f>
        <v/>
      </c>
      <c r="Q44" s="39"/>
      <c r="R44" s="39"/>
      <c r="S44" s="39"/>
      <c r="T44" s="39"/>
      <c r="U44" s="39"/>
      <c r="V44" s="39"/>
    </row>
    <row r="45" spans="2:26">
      <c r="C45" s="87" t="s">
        <v>128</v>
      </c>
      <c r="D45" s="88">
        <f>SUM(D39:D44)</f>
        <v>0</v>
      </c>
      <c r="E45" s="39"/>
      <c r="F45" s="39"/>
      <c r="G45" s="24"/>
      <c r="I45" s="43" t="s">
        <v>112</v>
      </c>
      <c r="J45" s="44" t="str">
        <f t="shared" ref="J45:P45" si="13">IF(J15="","",IF(AND(J44=1,OR(TRIM(J17)="MG",TRIM(J17)="MF",TRIM(J17)="MRF",TRIM(J17)="MRG")),1,0))</f>
        <v/>
      </c>
      <c r="K45" s="44" t="str">
        <f t="shared" si="13"/>
        <v/>
      </c>
      <c r="L45" s="44" t="str">
        <f t="shared" si="13"/>
        <v/>
      </c>
      <c r="M45" s="44" t="str">
        <f t="shared" si="13"/>
        <v/>
      </c>
      <c r="N45" s="44" t="str">
        <f t="shared" si="13"/>
        <v/>
      </c>
      <c r="O45" s="44" t="str">
        <f t="shared" si="13"/>
        <v/>
      </c>
      <c r="P45" s="44" t="str">
        <f t="shared" si="13"/>
        <v/>
      </c>
      <c r="Q45" s="39"/>
      <c r="R45" s="39"/>
      <c r="S45" s="39"/>
      <c r="T45" s="39" t="s">
        <v>60</v>
      </c>
      <c r="U45" s="39" t="s">
        <v>36</v>
      </c>
      <c r="V45" s="39"/>
    </row>
    <row r="46" spans="2:26">
      <c r="C46" s="91" t="s">
        <v>152</v>
      </c>
      <c r="D46" s="92">
        <f>D45*D37</f>
        <v>0</v>
      </c>
      <c r="E46" s="39"/>
      <c r="F46" s="39"/>
      <c r="G46" s="24"/>
      <c r="I46" s="43"/>
      <c r="J46" s="44"/>
      <c r="K46" s="44"/>
      <c r="L46" s="44"/>
      <c r="M46" s="44"/>
      <c r="N46" s="44"/>
      <c r="O46" s="44"/>
      <c r="P46" s="44"/>
      <c r="Q46" s="39"/>
      <c r="R46" s="39"/>
      <c r="S46" s="39"/>
      <c r="T46" s="39"/>
      <c r="U46" s="39"/>
      <c r="V46" s="39"/>
    </row>
    <row r="47" spans="2:26">
      <c r="C47" s="39"/>
      <c r="D47" s="39"/>
      <c r="E47" s="39"/>
      <c r="F47" s="39"/>
      <c r="G47" s="24"/>
      <c r="I47" s="43" t="s">
        <v>125</v>
      </c>
      <c r="J47" s="44" t="str">
        <f>J45</f>
        <v/>
      </c>
      <c r="K47" s="44" t="str">
        <f>IF(K15="","",IF(K45=0,0,SUM($J$45:K45)))</f>
        <v/>
      </c>
      <c r="L47" s="44" t="str">
        <f>IF(L15="","",IF(L45=0,0,SUM($J$45:L45)))</f>
        <v/>
      </c>
      <c r="M47" s="44" t="str">
        <f>IF(M15="","",IF(M45=0,0,SUM($J$45:M45)))</f>
        <v/>
      </c>
      <c r="N47" s="44" t="str">
        <f>IF(N15="","",IF(N45=0,0,SUM($J$45:N45)))</f>
        <v/>
      </c>
      <c r="O47" s="44" t="str">
        <f>IF(O15="","",IF(O45=0,0,SUM($J$45:O45)))</f>
        <v/>
      </c>
      <c r="P47" s="44" t="str">
        <f>IF(P15="","",IF(P45=0,0,SUM($J$45:P45)))</f>
        <v/>
      </c>
      <c r="Q47" s="39"/>
      <c r="R47" s="39"/>
      <c r="S47" s="39"/>
      <c r="T47" s="39"/>
      <c r="U47" s="39"/>
      <c r="V47" s="39"/>
      <c r="Y47" s="24"/>
      <c r="Z47" s="24"/>
    </row>
    <row r="48" spans="2:26">
      <c r="C48" s="76" t="s">
        <v>149</v>
      </c>
      <c r="D48" s="77" t="s">
        <v>73</v>
      </c>
      <c r="E48" s="39"/>
      <c r="F48" s="39"/>
      <c r="G48" s="24"/>
      <c r="I48" s="43" t="s">
        <v>130</v>
      </c>
      <c r="J48" s="44" t="str">
        <f>IF(J15="","",IF(TRIM(VLOOKUP(J15,Base2!$A$2:$C$1048576,3,FALSE))="k",1,0))</f>
        <v/>
      </c>
      <c r="K48" s="44" t="str">
        <f>IF(K15="","",IF(TRIM(VLOOKUP(K15,Base2!$A$2:$C$1048576,3,FALSE))="k",1,0))</f>
        <v/>
      </c>
      <c r="L48" s="44" t="str">
        <f>IF(L15="","",IF(TRIM(VLOOKUP(L15,Base2!$A$2:$C$1048576,3,FALSE))="k",1,0))</f>
        <v/>
      </c>
      <c r="M48" s="44" t="str">
        <f>IF(M15="","",IF(TRIM(VLOOKUP(M15,Base2!$A$2:$C$1048576,3,FALSE))="k",1,0))</f>
        <v/>
      </c>
      <c r="N48" s="44" t="str">
        <f>IF(N15="","",IF(TRIM(VLOOKUP(N15,Base2!$A$2:$C$1048576,3,FALSE))="k",1,0))</f>
        <v/>
      </c>
      <c r="O48" s="44" t="str">
        <f>IF(O15="","",IF(TRIM(VLOOKUP(O15,Base2!$A$2:$C$1048576,3,FALSE))="k",1,0))</f>
        <v/>
      </c>
      <c r="P48" s="44" t="str">
        <f>IF(P15="","",IF(TRIM(VLOOKUP(P15,Base2!$A$2:$C$1048576,3,FALSE))="k",1,0))</f>
        <v/>
      </c>
      <c r="Q48" s="39"/>
      <c r="R48" s="39"/>
      <c r="S48" s="39"/>
      <c r="T48" s="39"/>
      <c r="U48" s="39"/>
      <c r="V48" s="39"/>
      <c r="Y48" s="24"/>
      <c r="Z48" s="24"/>
    </row>
    <row r="49" spans="2:26">
      <c r="C49" s="78"/>
      <c r="D49" s="79"/>
      <c r="E49" s="39"/>
      <c r="F49" s="39"/>
      <c r="G49" s="24"/>
      <c r="I49" s="43" t="s">
        <v>131</v>
      </c>
      <c r="J49" s="44" t="str">
        <f ca="1">IF(J15="","",IF(OR(TRIM(J17)="MF",TRIM(J17)="MRF"),ROUND(120-((TODAY()-VLOOKUP(J15,Base2!$A$2:$P$1048576,16,FALSE))/30),0),""))</f>
        <v/>
      </c>
      <c r="K49" s="44" t="str">
        <f ca="1">IF(K15="","",IF(OR(TRIM(K17)="MF",TRIM(K17)="MRF"),ROUND(120-((TODAY()-VLOOKUP(K15,Base2!$A$2:$P$1048576,16,FALSE))/30),0),""))</f>
        <v/>
      </c>
      <c r="L49" s="44" t="str">
        <f ca="1">IF(L15="","",IF(OR(TRIM(L17)="MF",TRIM(L17)="MRF"),ROUND(120-((TODAY()-VLOOKUP(L15,Base2!$A$2:$P$1048576,16,FALSE))/30),0),""))</f>
        <v/>
      </c>
      <c r="M49" s="44" t="str">
        <f ca="1">IF(M15="","",IF(OR(TRIM(M17)="MF",TRIM(M17)="MRF"),ROUND(120-((TODAY()-VLOOKUP(M15,Base2!$A$2:$P$1048576,16,FALSE))/30),0),""))</f>
        <v/>
      </c>
      <c r="N49" s="44" t="str">
        <f ca="1">IF(N15="","",IF(OR(TRIM(N17)="MF",TRIM(N17)="MRF"),ROUND(120-((TODAY()-VLOOKUP(N15,Base2!$A$2:$P$1048576,16,FALSE))/30),0),""))</f>
        <v/>
      </c>
      <c r="O49" s="44" t="str">
        <f ca="1">IF(O15="","",IF(OR(TRIM(O17)="MF",TRIM(O17)="MRF"),ROUND(120-((TODAY()-VLOOKUP(O15,Base2!$A$2:$P$1048576,16,FALSE))/30),0),""))</f>
        <v/>
      </c>
      <c r="P49" s="44" t="str">
        <f ca="1">IF(P15="","",IF(OR(TRIM(P17)="MF",TRIM(P17)="MRF"),ROUND(120-((TODAY()-VLOOKUP(P15,Base2!$A$2:$P$1048576,16,FALSE))/30),0),""))</f>
        <v/>
      </c>
      <c r="Q49" s="39"/>
      <c r="R49" s="55"/>
      <c r="S49" s="39"/>
      <c r="T49" s="39" t="s">
        <v>44</v>
      </c>
      <c r="U49" s="39" t="s">
        <v>63</v>
      </c>
      <c r="V49" s="39"/>
      <c r="Y49" s="24"/>
      <c r="Z49" s="24"/>
    </row>
    <row r="50" spans="2:26">
      <c r="C50" s="78" t="s">
        <v>43</v>
      </c>
      <c r="D50" s="80">
        <v>7.9000000000000008E-3</v>
      </c>
      <c r="E50" s="39"/>
      <c r="F50" s="39"/>
      <c r="G50" s="24"/>
      <c r="I50" s="43" t="s">
        <v>139</v>
      </c>
      <c r="J50" s="44" t="str">
        <f t="shared" ref="J50:P50" si="14">IF(J15="","",IF(OR(TRIM(J17)="MF",TRIM(J17)="MRF"),1,0))</f>
        <v/>
      </c>
      <c r="K50" s="44" t="str">
        <f t="shared" si="14"/>
        <v/>
      </c>
      <c r="L50" s="44" t="str">
        <f t="shared" si="14"/>
        <v/>
      </c>
      <c r="M50" s="44" t="str">
        <f t="shared" si="14"/>
        <v/>
      </c>
      <c r="N50" s="44" t="str">
        <f t="shared" si="14"/>
        <v/>
      </c>
      <c r="O50" s="44" t="str">
        <f t="shared" si="14"/>
        <v/>
      </c>
      <c r="P50" s="44" t="str">
        <f t="shared" si="14"/>
        <v/>
      </c>
      <c r="Q50" s="51"/>
      <c r="R50" s="39"/>
      <c r="S50" s="39"/>
      <c r="T50" s="39">
        <v>0</v>
      </c>
      <c r="U50" s="39" t="s">
        <v>23</v>
      </c>
      <c r="V50" s="39"/>
      <c r="Y50" s="24"/>
      <c r="Z50" s="24"/>
    </row>
    <row r="51" spans="2:26">
      <c r="C51" s="78" t="s">
        <v>150</v>
      </c>
      <c r="D51" s="81">
        <f>IFERROR(IF(ROUNDUP(NPER(D50,-D52,SUM(E21:E26)),0)&gt;84-D31,84-D31,ROUNDUP(NPER(D50,-D52,SUM(E21:E26)),0)),D29+9)</f>
        <v>9</v>
      </c>
      <c r="E51" s="39"/>
      <c r="F51" s="39"/>
      <c r="G51" s="24"/>
      <c r="I51" s="56"/>
      <c r="J51" s="56"/>
      <c r="K51" s="56"/>
      <c r="L51" s="56"/>
      <c r="M51" s="56"/>
      <c r="N51" s="56"/>
      <c r="O51" s="56"/>
      <c r="P51" s="56"/>
      <c r="Q51" s="51"/>
      <c r="R51" s="39"/>
      <c r="S51" s="39"/>
      <c r="T51" s="39">
        <v>25</v>
      </c>
      <c r="U51" s="39" t="s">
        <v>37</v>
      </c>
      <c r="V51" s="39"/>
      <c r="Y51" s="24"/>
      <c r="Z51" s="24"/>
    </row>
    <row r="52" spans="2:26">
      <c r="C52" s="78" t="s">
        <v>77</v>
      </c>
      <c r="D52" s="82">
        <f>D28*0.7</f>
        <v>0</v>
      </c>
      <c r="E52" s="95" t="s">
        <v>159</v>
      </c>
      <c r="F52" s="39"/>
      <c r="G52" s="24"/>
      <c r="I52" s="56"/>
      <c r="J52" s="56"/>
      <c r="K52" s="56"/>
      <c r="L52" s="56"/>
      <c r="M52" s="56"/>
      <c r="N52" s="56"/>
      <c r="O52" s="56"/>
      <c r="P52" s="56"/>
      <c r="Q52" s="39"/>
      <c r="R52" s="39"/>
      <c r="S52" s="39"/>
      <c r="T52" s="39">
        <v>49</v>
      </c>
      <c r="U52" s="57" t="s">
        <v>38</v>
      </c>
      <c r="V52" s="39"/>
      <c r="Y52" s="24"/>
      <c r="Z52" s="24"/>
    </row>
    <row r="53" spans="2:26">
      <c r="C53" s="83" t="s">
        <v>127</v>
      </c>
      <c r="D53" s="84">
        <f>IFERROR((((1+D50)^D51)*D50*E21)/(((1+D50)^D51)-1),0)</f>
        <v>0</v>
      </c>
      <c r="E53" s="40" t="str">
        <f>IF(D53=0,"",D51+D31)</f>
        <v/>
      </c>
      <c r="F53" s="39"/>
      <c r="G53" s="24"/>
      <c r="I53" s="56"/>
      <c r="J53" s="56"/>
      <c r="K53" s="56"/>
      <c r="L53" s="56"/>
      <c r="M53" s="56"/>
      <c r="N53" s="56"/>
      <c r="O53" s="56"/>
      <c r="P53" s="56"/>
      <c r="Q53" s="58"/>
      <c r="R53" s="39"/>
      <c r="S53" s="39"/>
      <c r="T53" s="39"/>
      <c r="U53" s="39"/>
      <c r="V53" s="39"/>
      <c r="Y53" s="24"/>
      <c r="Z53" s="24"/>
    </row>
    <row r="54" spans="2:26">
      <c r="B54">
        <f>IF(A22="",D51,IF(A22&lt;D51,A22,D51))</f>
        <v>9</v>
      </c>
      <c r="C54" s="78" t="s">
        <v>134</v>
      </c>
      <c r="D54" s="89">
        <f>IFERROR((((1+D50)^B54)*D50*E22)/(((1+D50)^B54)-1),0)</f>
        <v>0</v>
      </c>
      <c r="E54" s="40" t="str">
        <f>IF(D54=0,"",B54+D31)</f>
        <v/>
      </c>
      <c r="F54" s="39"/>
      <c r="G54" s="24"/>
      <c r="I54" s="59" t="s">
        <v>80</v>
      </c>
      <c r="J54" s="60" t="e">
        <f ca="1">VLOOKUP(TODAY(),$T$61:$U$125,2,FALSE)</f>
        <v>#N/A</v>
      </c>
      <c r="K54" s="56"/>
      <c r="L54" s="56"/>
      <c r="M54" s="56"/>
      <c r="N54" s="56"/>
      <c r="O54" s="56"/>
      <c r="P54" s="56"/>
      <c r="Q54" s="58"/>
      <c r="R54" s="39"/>
      <c r="S54" s="39"/>
      <c r="T54" s="39"/>
      <c r="U54" s="39"/>
      <c r="V54" s="39"/>
      <c r="Y54" s="24"/>
      <c r="Z54" s="24"/>
    </row>
    <row r="55" spans="2:26">
      <c r="B55">
        <f>IF(A23="",D51,IF(A23&lt;D51,A23,D51))</f>
        <v>9</v>
      </c>
      <c r="C55" s="78" t="s">
        <v>136</v>
      </c>
      <c r="D55" s="89">
        <f>IFERROR((((1+D50)^B55)*D50*E23)/(((1+D50)^B55)-1),0)</f>
        <v>0</v>
      </c>
      <c r="E55" s="40" t="str">
        <f>IF(D55=0,"",B55+D31)</f>
        <v/>
      </c>
      <c r="F55" s="39"/>
      <c r="G55" s="24"/>
      <c r="I55" s="61" t="s">
        <v>129</v>
      </c>
      <c r="J55" s="94">
        <f>((MAX(Base2!AA2:AA1048576)/100)/365)</f>
        <v>0</v>
      </c>
      <c r="K55" s="56"/>
      <c r="L55" s="56"/>
      <c r="M55" s="56"/>
      <c r="N55" s="56"/>
      <c r="O55" s="56"/>
      <c r="P55" s="56"/>
      <c r="Q55" s="62"/>
      <c r="R55" s="39"/>
      <c r="S55" s="39"/>
      <c r="T55" s="39"/>
      <c r="U55" s="39"/>
      <c r="V55" s="39"/>
      <c r="Y55" s="24"/>
      <c r="Z55" s="24"/>
    </row>
    <row r="56" spans="2:26">
      <c r="B56">
        <f>IF(A24="",D51,IF(A24&lt;D51,A24,D51))</f>
        <v>9</v>
      </c>
      <c r="C56" s="78" t="s">
        <v>137</v>
      </c>
      <c r="D56" s="89">
        <f>IFERROR((((1+D50)^B56)*D50*E24)/(((1+D50)^B56)-1),0)</f>
        <v>0</v>
      </c>
      <c r="E56" s="40" t="str">
        <f>IF(D56=0,"",B56+D31)</f>
        <v/>
      </c>
      <c r="F56" s="39"/>
      <c r="G56" s="24"/>
      <c r="H56" s="24"/>
      <c r="I56" s="56"/>
      <c r="J56" s="63"/>
      <c r="K56" s="56"/>
      <c r="L56" s="56"/>
      <c r="M56" s="56"/>
      <c r="N56" s="56"/>
      <c r="O56" s="56"/>
      <c r="P56" s="56"/>
      <c r="Q56" s="56"/>
      <c r="R56" s="64"/>
      <c r="S56" s="39"/>
      <c r="T56" s="39"/>
      <c r="U56" s="39"/>
      <c r="V56" s="39"/>
      <c r="Y56" s="24"/>
      <c r="Z56" s="24"/>
    </row>
    <row r="57" spans="2:26">
      <c r="B57">
        <f>IF(A25="",D51,IF(A25&lt;D51,A25,D51))</f>
        <v>9</v>
      </c>
      <c r="C57" s="78" t="s">
        <v>138</v>
      </c>
      <c r="D57" s="89">
        <f>IFERROR((((1+D50)^B57)*D50*E25)/(((1+D50)^B57)-1),0)</f>
        <v>0</v>
      </c>
      <c r="E57" s="40" t="str">
        <f>IF(D57=0,"",B57+D31)</f>
        <v/>
      </c>
      <c r="F57" s="39"/>
      <c r="G57" s="24"/>
      <c r="H57" s="24"/>
      <c r="I57" s="56"/>
      <c r="J57" s="56"/>
      <c r="K57" s="56"/>
      <c r="L57" s="56"/>
      <c r="M57" s="56"/>
      <c r="N57" s="56"/>
      <c r="O57" s="56"/>
      <c r="P57" s="56"/>
      <c r="Q57" s="56"/>
      <c r="R57" s="64"/>
      <c r="S57" s="39"/>
      <c r="T57" s="39"/>
      <c r="U57" s="39"/>
      <c r="V57" s="39"/>
      <c r="Y57" s="24"/>
      <c r="Z57" s="24"/>
    </row>
    <row r="58" spans="2:26">
      <c r="B58">
        <f>IF(A26="",D51,IF(A26&lt;D51,A26,D51))</f>
        <v>9</v>
      </c>
      <c r="C58" s="78" t="s">
        <v>144</v>
      </c>
      <c r="D58" s="89">
        <f>IFERROR((((1+D50)^B58)*D50*E26)/(((1+D50)^B58)-1),0)</f>
        <v>0</v>
      </c>
      <c r="E58" s="40" t="str">
        <f>IF(D58=0,"",B58+D31)</f>
        <v/>
      </c>
      <c r="F58" s="39"/>
      <c r="G58" s="24"/>
      <c r="H58" s="24"/>
      <c r="I58" s="56"/>
      <c r="J58" s="56"/>
      <c r="K58" s="56"/>
      <c r="L58" s="56"/>
      <c r="M58" s="56"/>
      <c r="N58" s="56"/>
      <c r="O58" s="56"/>
      <c r="P58" s="56"/>
      <c r="Q58" s="56"/>
      <c r="R58" s="64"/>
      <c r="S58" s="39"/>
      <c r="T58" s="39"/>
      <c r="U58" s="39"/>
      <c r="V58" s="39"/>
      <c r="Y58" s="24"/>
      <c r="Z58" s="24"/>
    </row>
    <row r="59" spans="2:26">
      <c r="C59" s="87" t="s">
        <v>128</v>
      </c>
      <c r="D59" s="88">
        <f>SUM(D53:D58)</f>
        <v>0</v>
      </c>
      <c r="E59" s="39"/>
      <c r="F59" s="39"/>
      <c r="G59" s="24"/>
      <c r="H59" s="24"/>
      <c r="I59" s="56"/>
      <c r="J59" s="56"/>
      <c r="K59" s="56"/>
      <c r="L59" s="56"/>
      <c r="M59" s="56"/>
      <c r="N59" s="39"/>
      <c r="O59" s="39"/>
      <c r="P59" s="39"/>
      <c r="Q59" s="39"/>
      <c r="R59" s="64"/>
      <c r="S59" s="39"/>
      <c r="T59" s="39"/>
      <c r="U59" s="39"/>
      <c r="V59" s="39"/>
      <c r="Y59" s="24"/>
      <c r="Z59" s="24"/>
    </row>
    <row r="60" spans="2:26">
      <c r="C60" s="91" t="s">
        <v>152</v>
      </c>
      <c r="D60" s="92">
        <f>D59*D51</f>
        <v>0</v>
      </c>
      <c r="E60" s="24"/>
      <c r="F60" s="24"/>
      <c r="G60" s="24"/>
      <c r="H60" s="24"/>
      <c r="I60" s="56"/>
      <c r="J60" s="56"/>
      <c r="K60" s="56"/>
      <c r="L60" s="56"/>
      <c r="M60" s="56"/>
      <c r="N60" s="39"/>
      <c r="O60" s="39"/>
      <c r="P60" s="39"/>
      <c r="Q60" s="39"/>
      <c r="R60" s="64"/>
      <c r="S60" s="39"/>
      <c r="T60" s="72" t="s">
        <v>81</v>
      </c>
      <c r="U60" s="39" t="s">
        <v>82</v>
      </c>
      <c r="V60" s="39"/>
      <c r="Z60" s="24"/>
    </row>
    <row r="61" spans="2:26">
      <c r="D61" s="33"/>
      <c r="E61" s="24"/>
      <c r="F61" s="24"/>
      <c r="G61" s="24"/>
      <c r="H61" s="24"/>
      <c r="I61" s="56"/>
      <c r="J61" s="56"/>
      <c r="K61" s="56"/>
      <c r="L61" s="56"/>
      <c r="M61" s="56"/>
      <c r="N61" s="39"/>
      <c r="O61" s="39"/>
      <c r="P61" s="39"/>
      <c r="Q61" s="39"/>
      <c r="R61" s="39"/>
      <c r="S61" s="39"/>
      <c r="T61" s="115">
        <v>43922</v>
      </c>
      <c r="U61" s="24" t="s">
        <v>198</v>
      </c>
      <c r="V61" s="110"/>
      <c r="W61" s="116"/>
      <c r="Y61" s="30"/>
      <c r="Z61" s="24"/>
    </row>
    <row r="62" spans="2:26" ht="18.75">
      <c r="E62" s="24"/>
      <c r="F62" s="24"/>
      <c r="G62" s="24"/>
      <c r="H62" s="24"/>
      <c r="I62" s="65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115">
        <v>43923</v>
      </c>
      <c r="U62" s="24" t="s">
        <v>199</v>
      </c>
      <c r="V62" s="110"/>
      <c r="W62" s="116"/>
      <c r="Y62" s="30"/>
      <c r="Z62" s="24"/>
    </row>
    <row r="63" spans="2:26">
      <c r="E63" s="24"/>
      <c r="F63" s="24"/>
      <c r="G63" s="24"/>
      <c r="H63" s="24"/>
      <c r="I63" s="66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115">
        <v>43924</v>
      </c>
      <c r="U63" s="24" t="s">
        <v>200</v>
      </c>
      <c r="V63" s="110"/>
      <c r="W63" s="116"/>
      <c r="Y63" s="30"/>
      <c r="Z63" s="24"/>
    </row>
    <row r="64" spans="2:26">
      <c r="E64" s="24"/>
      <c r="F64" s="24"/>
      <c r="G64" s="24"/>
      <c r="H64" s="24"/>
      <c r="I64" s="66"/>
      <c r="J64" s="67"/>
      <c r="K64" s="67"/>
      <c r="L64" s="67"/>
      <c r="M64" s="67"/>
      <c r="N64" s="39"/>
      <c r="O64" s="39"/>
      <c r="P64" s="39"/>
      <c r="Q64" s="39"/>
      <c r="R64" s="39"/>
      <c r="S64" s="39"/>
      <c r="T64" s="115">
        <v>43925</v>
      </c>
      <c r="U64" s="24" t="s">
        <v>201</v>
      </c>
      <c r="V64" s="110"/>
      <c r="W64" s="116"/>
      <c r="Y64" s="30"/>
      <c r="Z64" s="24"/>
    </row>
    <row r="65" spans="3:26" s="23" customFormat="1">
      <c r="E65" s="24"/>
      <c r="F65" s="28"/>
      <c r="G65" s="28"/>
      <c r="H65" s="24"/>
      <c r="I65" s="66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115">
        <v>43926</v>
      </c>
      <c r="U65" s="24" t="s">
        <v>202</v>
      </c>
      <c r="V65" s="110"/>
      <c r="W65" s="116"/>
      <c r="X65" s="24"/>
      <c r="Y65" s="30"/>
      <c r="Z65" s="24"/>
    </row>
    <row r="66" spans="3:26">
      <c r="E66" s="24"/>
      <c r="F66" s="29"/>
      <c r="G66" s="29"/>
      <c r="H66" s="24"/>
      <c r="I66" s="66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115">
        <v>43927</v>
      </c>
      <c r="U66" s="24" t="s">
        <v>203</v>
      </c>
      <c r="V66" s="110"/>
      <c r="W66" s="116"/>
      <c r="Y66" s="30"/>
      <c r="Z66" s="24"/>
    </row>
    <row r="67" spans="3:26">
      <c r="E67" s="24"/>
      <c r="F67" s="24"/>
      <c r="G67" s="24"/>
      <c r="H67" s="24"/>
      <c r="I67" s="66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115">
        <v>43928</v>
      </c>
      <c r="U67" s="24" t="s">
        <v>204</v>
      </c>
      <c r="V67" s="110"/>
      <c r="W67" s="116"/>
      <c r="Y67" s="30"/>
      <c r="Z67" s="24"/>
    </row>
    <row r="68" spans="3:26">
      <c r="E68" s="24"/>
      <c r="F68" s="24"/>
      <c r="G68" s="24"/>
      <c r="H68" s="24"/>
      <c r="I68" s="56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115">
        <v>43929</v>
      </c>
      <c r="U68" s="24" t="s">
        <v>205</v>
      </c>
      <c r="V68" s="110"/>
      <c r="W68" s="116"/>
      <c r="Y68" s="30"/>
      <c r="Z68" s="24"/>
    </row>
    <row r="69" spans="3:26">
      <c r="E69" s="24"/>
      <c r="F69" s="24"/>
      <c r="G69" s="24"/>
      <c r="H69" s="24"/>
      <c r="I69" s="56"/>
      <c r="J69" s="51"/>
      <c r="K69" s="39"/>
      <c r="L69" s="39"/>
      <c r="M69" s="39"/>
      <c r="N69" s="39"/>
      <c r="O69" s="39"/>
      <c r="P69" s="39"/>
      <c r="Q69" s="39"/>
      <c r="R69" s="39"/>
      <c r="S69" s="39"/>
      <c r="T69" s="115">
        <v>43930</v>
      </c>
      <c r="U69" s="24" t="s">
        <v>206</v>
      </c>
      <c r="V69" s="110"/>
      <c r="W69" s="116"/>
      <c r="Y69" s="30"/>
    </row>
    <row r="70" spans="3:26">
      <c r="C70" s="24"/>
      <c r="D70" s="24"/>
      <c r="E70" s="24"/>
      <c r="F70" s="24"/>
      <c r="G70" s="24"/>
      <c r="H70" s="24"/>
      <c r="I70" s="56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115">
        <v>43931</v>
      </c>
      <c r="U70" s="24" t="s">
        <v>207</v>
      </c>
      <c r="V70" s="39"/>
    </row>
    <row r="71" spans="3:26">
      <c r="E71" s="24"/>
      <c r="F71" s="24"/>
      <c r="G71" s="24"/>
      <c r="H71" s="24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115">
        <v>43932</v>
      </c>
      <c r="U71" s="24" t="s">
        <v>208</v>
      </c>
      <c r="V71" s="39"/>
    </row>
    <row r="72" spans="3:26">
      <c r="E72" s="24"/>
      <c r="F72" s="24"/>
      <c r="G72" s="24"/>
      <c r="H72" s="24"/>
      <c r="I72" s="56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115">
        <v>43933</v>
      </c>
      <c r="U72" s="24" t="s">
        <v>209</v>
      </c>
      <c r="V72" s="39"/>
    </row>
    <row r="73" spans="3:26">
      <c r="E73" s="24"/>
      <c r="F73" s="24"/>
      <c r="G73" s="24"/>
      <c r="H73" s="24"/>
      <c r="I73" s="56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115">
        <v>43934</v>
      </c>
      <c r="U73" s="24" t="s">
        <v>210</v>
      </c>
      <c r="V73" s="39"/>
    </row>
    <row r="74" spans="3:26">
      <c r="E74" s="24"/>
      <c r="F74" s="24"/>
      <c r="G74" s="24"/>
      <c r="H74" s="24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115">
        <v>43935</v>
      </c>
      <c r="U74" s="24" t="s">
        <v>211</v>
      </c>
      <c r="V74" s="39"/>
    </row>
    <row r="75" spans="3:26">
      <c r="E75" s="24"/>
      <c r="F75" s="24"/>
      <c r="G75" s="24"/>
      <c r="H75" s="24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115">
        <v>43936</v>
      </c>
      <c r="U75" s="24" t="s">
        <v>212</v>
      </c>
      <c r="V75" s="39"/>
    </row>
    <row r="76" spans="3:26">
      <c r="E76" s="24"/>
      <c r="F76" s="24"/>
      <c r="G76" s="24"/>
      <c r="H76" s="24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115">
        <v>43937</v>
      </c>
      <c r="U76" s="24" t="s">
        <v>213</v>
      </c>
      <c r="V76" s="39"/>
    </row>
    <row r="77" spans="3:26">
      <c r="E77" s="24"/>
      <c r="F77" s="24"/>
      <c r="G77" s="24"/>
      <c r="H77" s="24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115">
        <v>43938</v>
      </c>
      <c r="U77" s="24" t="s">
        <v>214</v>
      </c>
      <c r="V77" s="39"/>
    </row>
    <row r="78" spans="3:26">
      <c r="E78" s="24"/>
      <c r="F78" s="24"/>
      <c r="G78" s="24"/>
      <c r="H78" s="24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115">
        <v>43939</v>
      </c>
      <c r="U78" s="24" t="s">
        <v>215</v>
      </c>
      <c r="V78" s="39"/>
    </row>
    <row r="79" spans="3:26">
      <c r="E79" s="24"/>
      <c r="F79" s="24"/>
      <c r="G79" s="24"/>
      <c r="H79" s="24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115">
        <v>43940</v>
      </c>
      <c r="U79" s="24" t="s">
        <v>216</v>
      </c>
      <c r="V79" s="39"/>
    </row>
    <row r="80" spans="3:26">
      <c r="I80" s="56"/>
      <c r="J80" s="56"/>
      <c r="K80" s="56"/>
      <c r="L80" s="56"/>
      <c r="M80" s="56"/>
      <c r="N80" s="56"/>
      <c r="O80" s="56"/>
      <c r="P80" s="56"/>
      <c r="Q80" s="56"/>
      <c r="R80" s="39"/>
      <c r="S80" s="39"/>
      <c r="T80" s="115">
        <v>43941</v>
      </c>
      <c r="U80" s="24" t="s">
        <v>217</v>
      </c>
      <c r="V80" s="39"/>
    </row>
    <row r="81" spans="9:22">
      <c r="I81" s="56"/>
      <c r="J81" s="56"/>
      <c r="K81" s="56"/>
      <c r="L81" s="56"/>
      <c r="M81" s="56"/>
      <c r="N81" s="56"/>
      <c r="O81" s="56"/>
      <c r="P81" s="56"/>
      <c r="Q81" s="56"/>
      <c r="R81" s="39"/>
      <c r="S81" s="39"/>
      <c r="T81" s="115">
        <v>43942</v>
      </c>
      <c r="U81" s="24" t="s">
        <v>218</v>
      </c>
      <c r="V81" s="39"/>
    </row>
    <row r="82" spans="9:22">
      <c r="I82" s="56"/>
      <c r="J82" s="56"/>
      <c r="K82" s="56"/>
      <c r="L82" s="56"/>
      <c r="M82" s="56"/>
      <c r="N82" s="56"/>
      <c r="O82" s="56"/>
      <c r="P82" s="56"/>
      <c r="Q82" s="56"/>
      <c r="R82" s="39"/>
      <c r="S82" s="39"/>
      <c r="T82" s="115">
        <v>43943</v>
      </c>
      <c r="U82" s="24" t="s">
        <v>219</v>
      </c>
      <c r="V82" s="39"/>
    </row>
    <row r="83" spans="9:22">
      <c r="I83" s="56"/>
      <c r="J83" s="56"/>
      <c r="K83" s="56"/>
      <c r="L83" s="56"/>
      <c r="M83" s="56"/>
      <c r="N83" s="56"/>
      <c r="O83" s="56"/>
      <c r="P83" s="56"/>
      <c r="Q83" s="56"/>
      <c r="R83" s="39"/>
      <c r="S83" s="39"/>
      <c r="T83" s="115">
        <v>43944</v>
      </c>
      <c r="U83" s="24" t="s">
        <v>220</v>
      </c>
      <c r="V83" s="39"/>
    </row>
    <row r="84" spans="9:22">
      <c r="I84" s="56"/>
      <c r="J84" s="56"/>
      <c r="K84" s="56"/>
      <c r="L84" s="56"/>
      <c r="M84" s="56"/>
      <c r="N84" s="56"/>
      <c r="O84" s="56"/>
      <c r="P84" s="56"/>
      <c r="Q84" s="56"/>
      <c r="R84" s="39"/>
      <c r="S84" s="39"/>
      <c r="T84" s="115">
        <v>43945</v>
      </c>
      <c r="U84" s="24" t="s">
        <v>221</v>
      </c>
      <c r="V84" s="39"/>
    </row>
    <row r="85" spans="9:22">
      <c r="I85" s="56"/>
      <c r="J85" s="56"/>
      <c r="K85" s="56"/>
      <c r="L85" s="56"/>
      <c r="M85" s="56"/>
      <c r="N85" s="56"/>
      <c r="O85" s="56"/>
      <c r="P85" s="56"/>
      <c r="Q85" s="56"/>
      <c r="R85" s="39"/>
      <c r="S85" s="39"/>
      <c r="T85" s="115">
        <v>43946</v>
      </c>
      <c r="U85" s="24" t="s">
        <v>222</v>
      </c>
      <c r="V85" s="39"/>
    </row>
    <row r="86" spans="9:22">
      <c r="I86" s="56"/>
      <c r="J86" s="56"/>
      <c r="K86" s="56"/>
      <c r="L86" s="56"/>
      <c r="M86" s="56"/>
      <c r="N86" s="56"/>
      <c r="O86" s="56"/>
      <c r="P86" s="56"/>
      <c r="Q86" s="56"/>
      <c r="R86" s="39"/>
      <c r="S86" s="39"/>
      <c r="T86" s="115">
        <v>43947</v>
      </c>
      <c r="U86" s="24" t="s">
        <v>223</v>
      </c>
      <c r="V86" s="39"/>
    </row>
    <row r="87" spans="9:22">
      <c r="I87" s="56"/>
      <c r="J87" s="56"/>
      <c r="K87" s="56"/>
      <c r="L87" s="56"/>
      <c r="M87" s="56"/>
      <c r="N87" s="56"/>
      <c r="O87" s="56"/>
      <c r="P87" s="56"/>
      <c r="Q87" s="56"/>
      <c r="R87" s="39"/>
      <c r="S87" s="39"/>
      <c r="T87" s="115">
        <v>43948</v>
      </c>
      <c r="U87" s="24" t="s">
        <v>224</v>
      </c>
      <c r="V87" s="39"/>
    </row>
    <row r="88" spans="9:22">
      <c r="I88" s="56"/>
      <c r="J88" s="56"/>
      <c r="K88" s="56"/>
      <c r="L88" s="56"/>
      <c r="M88" s="56"/>
      <c r="N88" s="56"/>
      <c r="O88" s="56"/>
      <c r="P88" s="56"/>
      <c r="Q88" s="56"/>
      <c r="R88" s="39"/>
      <c r="S88" s="39"/>
      <c r="T88" s="115">
        <v>43949</v>
      </c>
      <c r="U88" s="24" t="s">
        <v>225</v>
      </c>
      <c r="V88" s="39"/>
    </row>
    <row r="89" spans="9:22">
      <c r="T89" s="115">
        <v>43950</v>
      </c>
      <c r="U89" s="24" t="s">
        <v>226</v>
      </c>
    </row>
    <row r="90" spans="9:22">
      <c r="T90" s="115">
        <v>43951</v>
      </c>
      <c r="U90" s="24" t="s">
        <v>227</v>
      </c>
    </row>
    <row r="91" spans="9:22">
      <c r="T91" s="115">
        <v>43952</v>
      </c>
      <c r="U91" s="24" t="s">
        <v>228</v>
      </c>
    </row>
    <row r="92" spans="9:22">
      <c r="T92" s="115">
        <v>43953</v>
      </c>
      <c r="U92" s="24" t="s">
        <v>229</v>
      </c>
    </row>
    <row r="93" spans="9:22">
      <c r="T93" s="115">
        <v>43954</v>
      </c>
      <c r="U93" s="24" t="s">
        <v>230</v>
      </c>
    </row>
    <row r="94" spans="9:22">
      <c r="T94" s="115">
        <v>43955</v>
      </c>
      <c r="U94" s="24" t="s">
        <v>231</v>
      </c>
    </row>
    <row r="95" spans="9:22">
      <c r="T95" s="115">
        <v>43956</v>
      </c>
      <c r="U95" s="24" t="s">
        <v>232</v>
      </c>
    </row>
    <row r="96" spans="9:22">
      <c r="T96" s="115">
        <v>43957</v>
      </c>
      <c r="U96" s="24" t="s">
        <v>233</v>
      </c>
    </row>
    <row r="97" spans="20:21">
      <c r="T97" s="115">
        <v>43958</v>
      </c>
      <c r="U97" s="24" t="s">
        <v>234</v>
      </c>
    </row>
    <row r="98" spans="20:21">
      <c r="T98" s="115">
        <v>43959</v>
      </c>
      <c r="U98" s="24" t="s">
        <v>235</v>
      </c>
    </row>
    <row r="99" spans="20:21">
      <c r="T99" s="115">
        <v>43960</v>
      </c>
      <c r="U99" s="24" t="s">
        <v>236</v>
      </c>
    </row>
    <row r="100" spans="20:21">
      <c r="T100" s="115">
        <v>43961</v>
      </c>
      <c r="U100" s="24" t="s">
        <v>236</v>
      </c>
    </row>
    <row r="101" spans="20:21">
      <c r="T101" s="115">
        <v>43962</v>
      </c>
      <c r="U101" s="24" t="s">
        <v>236</v>
      </c>
    </row>
    <row r="102" spans="20:21">
      <c r="T102" s="115">
        <v>43963</v>
      </c>
      <c r="U102" s="24" t="s">
        <v>236</v>
      </c>
    </row>
    <row r="103" spans="20:21">
      <c r="T103" s="115">
        <v>43964</v>
      </c>
      <c r="U103" s="24" t="s">
        <v>236</v>
      </c>
    </row>
    <row r="104" spans="20:21">
      <c r="T104" s="115">
        <v>43965</v>
      </c>
      <c r="U104" s="24" t="s">
        <v>236</v>
      </c>
    </row>
    <row r="105" spans="20:21">
      <c r="T105" s="115">
        <v>43966</v>
      </c>
      <c r="U105" s="24" t="s">
        <v>236</v>
      </c>
    </row>
    <row r="106" spans="20:21">
      <c r="T106" s="115">
        <v>43967</v>
      </c>
      <c r="U106" s="24" t="s">
        <v>236</v>
      </c>
    </row>
    <row r="107" spans="20:21">
      <c r="T107" s="115">
        <v>43968</v>
      </c>
      <c r="U107" s="24" t="s">
        <v>236</v>
      </c>
    </row>
    <row r="108" spans="20:21">
      <c r="T108" s="115">
        <v>43969</v>
      </c>
      <c r="U108" s="24" t="s">
        <v>236</v>
      </c>
    </row>
    <row r="109" spans="20:21">
      <c r="T109" s="115">
        <v>43970</v>
      </c>
      <c r="U109" s="24" t="s">
        <v>236</v>
      </c>
    </row>
    <row r="110" spans="20:21">
      <c r="T110" s="115">
        <v>43971</v>
      </c>
      <c r="U110" s="24" t="s">
        <v>236</v>
      </c>
    </row>
    <row r="111" spans="20:21">
      <c r="T111" s="115">
        <v>43972</v>
      </c>
      <c r="U111" s="24" t="s">
        <v>236</v>
      </c>
    </row>
    <row r="112" spans="20:21">
      <c r="T112" s="115">
        <v>43973</v>
      </c>
      <c r="U112" s="24" t="s">
        <v>236</v>
      </c>
    </row>
    <row r="113" spans="20:21">
      <c r="T113" s="115">
        <v>43974</v>
      </c>
      <c r="U113" s="24" t="s">
        <v>236</v>
      </c>
    </row>
    <row r="114" spans="20:21">
      <c r="T114" s="115">
        <v>43975</v>
      </c>
      <c r="U114" s="24" t="s">
        <v>236</v>
      </c>
    </row>
    <row r="115" spans="20:21">
      <c r="T115" s="115">
        <v>43976</v>
      </c>
      <c r="U115" s="24" t="s">
        <v>236</v>
      </c>
    </row>
    <row r="116" spans="20:21">
      <c r="T116" s="115">
        <v>43977</v>
      </c>
      <c r="U116" s="24" t="s">
        <v>236</v>
      </c>
    </row>
    <row r="117" spans="20:21">
      <c r="T117" s="115">
        <v>43978</v>
      </c>
      <c r="U117" s="24" t="s">
        <v>236</v>
      </c>
    </row>
    <row r="118" spans="20:21">
      <c r="T118" s="115">
        <v>43979</v>
      </c>
      <c r="U118" s="24" t="s">
        <v>236</v>
      </c>
    </row>
    <row r="119" spans="20:21">
      <c r="T119" s="115">
        <v>43980</v>
      </c>
      <c r="U119" s="24" t="s">
        <v>236</v>
      </c>
    </row>
    <row r="120" spans="20:21">
      <c r="T120" s="115">
        <v>43981</v>
      </c>
      <c r="U120" s="24" t="s">
        <v>236</v>
      </c>
    </row>
    <row r="121" spans="20:21">
      <c r="T121" s="115">
        <v>43982</v>
      </c>
      <c r="U121" s="24" t="s">
        <v>236</v>
      </c>
    </row>
    <row r="122" spans="20:21">
      <c r="T122" s="115">
        <v>43983</v>
      </c>
      <c r="U122" s="24" t="s">
        <v>236</v>
      </c>
    </row>
    <row r="123" spans="20:21">
      <c r="T123" s="115">
        <v>43984</v>
      </c>
      <c r="U123" s="24" t="s">
        <v>236</v>
      </c>
    </row>
    <row r="124" spans="20:21">
      <c r="T124" s="115">
        <v>43985</v>
      </c>
      <c r="U124" s="24" t="s">
        <v>236</v>
      </c>
    </row>
    <row r="125" spans="20:21">
      <c r="T125" s="115">
        <v>43986</v>
      </c>
      <c r="U125" s="24" t="s">
        <v>236</v>
      </c>
    </row>
    <row r="126" spans="20:21">
      <c r="T126" s="115">
        <v>43987</v>
      </c>
      <c r="U126" s="24" t="s">
        <v>236</v>
      </c>
    </row>
    <row r="127" spans="20:21">
      <c r="T127" s="115">
        <v>43988</v>
      </c>
      <c r="U127" s="24" t="s">
        <v>236</v>
      </c>
    </row>
    <row r="128" spans="20:21">
      <c r="T128" s="115">
        <v>43989</v>
      </c>
      <c r="U128" s="24" t="s">
        <v>236</v>
      </c>
    </row>
    <row r="129" spans="20:21">
      <c r="T129" s="115">
        <v>43990</v>
      </c>
      <c r="U129" s="24" t="s">
        <v>236</v>
      </c>
    </row>
    <row r="130" spans="20:21">
      <c r="T130" s="115">
        <v>43991</v>
      </c>
      <c r="U130" s="24" t="s">
        <v>236</v>
      </c>
    </row>
  </sheetData>
  <sheetProtection algorithmName="SHA-512" hashValue="Gea3Pg3Z8pc7rvC7MVfpKIaaCAmdAvDa2ixr9ciDrQreAB8kok4s9wyPNgYjjElBiy1VONtut21vkBRAGk+O8A==" saltValue="wWZKyUNXMeH588ixa1nREQ==" spinCount="100000" sheet="1" objects="1" scenarios="1"/>
  <mergeCells count="3">
    <mergeCell ref="C13:D13"/>
    <mergeCell ref="C14:D14"/>
    <mergeCell ref="C1:D1"/>
  </mergeCells>
  <phoneticPr fontId="11" type="noConversion"/>
  <pageMargins left="0.7" right="0.7" top="0.75" bottom="0.75" header="0.3" footer="0.3"/>
  <pageSetup paperSize="9" orientation="portrait" r:id="rId1"/>
  <ignoredErrors>
    <ignoredError sqref="D15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5126"/>
  <sheetViews>
    <sheetView zoomScale="80" zoomScaleNormal="80" workbookViewId="0">
      <selection activeCell="D10" sqref="D10"/>
    </sheetView>
  </sheetViews>
  <sheetFormatPr baseColWidth="10" defaultRowHeight="15"/>
  <cols>
    <col min="1" max="1" width="10.140625" bestFit="1" customWidth="1"/>
    <col min="2" max="2" width="12.7109375" hidden="1" customWidth="1"/>
    <col min="3" max="3" width="17.5703125" hidden="1" customWidth="1"/>
    <col min="4" max="4" width="37.42578125" customWidth="1"/>
    <col min="5" max="5" width="32.28515625" bestFit="1" customWidth="1"/>
    <col min="6" max="6" width="20.7109375" hidden="1" customWidth="1"/>
    <col min="7" max="7" width="19.28515625" hidden="1" customWidth="1"/>
    <col min="8" max="8" width="19.140625" bestFit="1" customWidth="1"/>
    <col min="9" max="9" width="37.7109375" hidden="1" customWidth="1"/>
    <col min="10" max="10" width="27.85546875" hidden="1" customWidth="1"/>
    <col min="11" max="11" width="17.5703125" bestFit="1" customWidth="1"/>
    <col min="12" max="15" width="29.42578125" bestFit="1" customWidth="1"/>
    <col min="16" max="16" width="49.140625" customWidth="1"/>
    <col min="17" max="17" width="32" hidden="1" customWidth="1"/>
    <col min="18" max="18" width="25.140625" customWidth="1"/>
    <col min="19" max="19" width="14.85546875" bestFit="1" customWidth="1"/>
    <col min="20" max="20" width="14.7109375" bestFit="1" customWidth="1"/>
    <col min="21" max="21" width="15.140625" customWidth="1"/>
    <col min="22" max="22" width="35.7109375" bestFit="1" customWidth="1"/>
    <col min="23" max="23" width="36" bestFit="1" customWidth="1"/>
    <col min="24" max="24" width="31.140625" bestFit="1" customWidth="1"/>
    <col min="25" max="25" width="13.140625" hidden="1" customWidth="1"/>
    <col min="26" max="26" width="51" bestFit="1" customWidth="1"/>
    <col min="27" max="27" width="20.5703125" bestFit="1" customWidth="1"/>
  </cols>
  <sheetData>
    <row r="1" spans="1:28" s="104" customFormat="1" ht="15.75">
      <c r="A1" s="104" t="s">
        <v>1</v>
      </c>
      <c r="B1" s="104" t="s">
        <v>145</v>
      </c>
      <c r="C1" s="104" t="s">
        <v>153</v>
      </c>
      <c r="D1" s="104" t="s">
        <v>163</v>
      </c>
      <c r="E1" s="104" t="s">
        <v>146</v>
      </c>
      <c r="F1" s="104" t="s">
        <v>147</v>
      </c>
      <c r="G1" s="104" t="s">
        <v>164</v>
      </c>
      <c r="H1" s="104" t="s">
        <v>181</v>
      </c>
      <c r="I1" s="104" t="s">
        <v>182</v>
      </c>
      <c r="J1" s="104" t="s">
        <v>183</v>
      </c>
      <c r="K1" s="104" t="s">
        <v>165</v>
      </c>
      <c r="L1" s="104" t="s">
        <v>166</v>
      </c>
      <c r="M1" s="104" t="s">
        <v>167</v>
      </c>
      <c r="N1" s="104" t="s">
        <v>168</v>
      </c>
      <c r="O1" s="104" t="s">
        <v>169</v>
      </c>
      <c r="P1" s="104" t="s">
        <v>170</v>
      </c>
      <c r="Q1" s="104" t="s">
        <v>172</v>
      </c>
      <c r="R1" s="104" t="s">
        <v>171</v>
      </c>
      <c r="S1" s="104" t="s">
        <v>173</v>
      </c>
      <c r="T1" s="104" t="s">
        <v>174</v>
      </c>
      <c r="U1" s="104" t="s">
        <v>175</v>
      </c>
      <c r="V1" s="104" t="s">
        <v>176</v>
      </c>
      <c r="W1" s="104" t="s">
        <v>177</v>
      </c>
      <c r="X1" s="104" t="s">
        <v>178</v>
      </c>
      <c r="Y1" s="105" t="s">
        <v>179</v>
      </c>
      <c r="Z1" s="105" t="s">
        <v>180</v>
      </c>
      <c r="AA1" s="104" t="s">
        <v>244</v>
      </c>
      <c r="AB1" s="104" t="s">
        <v>245</v>
      </c>
    </row>
    <row r="2" spans="1:28">
      <c r="X2" s="2"/>
      <c r="Y2" s="101"/>
      <c r="Z2" s="100"/>
    </row>
    <row r="3" spans="1:28">
      <c r="X3" s="2"/>
      <c r="Y3" s="101"/>
      <c r="Z3" s="100"/>
    </row>
    <row r="4" spans="1:28">
      <c r="X4" s="2"/>
      <c r="Y4" s="101"/>
      <c r="Z4" s="100"/>
    </row>
    <row r="5" spans="1:28">
      <c r="X5" s="2"/>
      <c r="Y5" s="101"/>
      <c r="Z5" s="100"/>
    </row>
    <row r="6" spans="1:28">
      <c r="X6" s="2"/>
      <c r="Y6" s="101"/>
      <c r="Z6" s="100"/>
    </row>
    <row r="7" spans="1:28">
      <c r="X7" s="2"/>
      <c r="Y7" s="101"/>
      <c r="Z7" s="100"/>
    </row>
    <row r="8" spans="1:28">
      <c r="X8" s="2"/>
      <c r="Y8" s="101"/>
      <c r="Z8" s="100"/>
    </row>
    <row r="9" spans="1:28">
      <c r="X9" s="2"/>
      <c r="Y9" s="101"/>
      <c r="Z9" s="100"/>
    </row>
    <row r="10" spans="1:28">
      <c r="X10" s="2"/>
      <c r="Y10" s="101"/>
      <c r="Z10" s="100"/>
    </row>
    <row r="11" spans="1:28">
      <c r="X11" s="2"/>
      <c r="Y11" s="101"/>
      <c r="Z11" s="100"/>
    </row>
    <row r="12" spans="1:28">
      <c r="X12" s="2"/>
      <c r="Y12" s="101"/>
      <c r="Z12" s="100"/>
    </row>
    <row r="13" spans="1:28">
      <c r="X13" s="2"/>
      <c r="Y13" s="101"/>
      <c r="Z13" s="100"/>
    </row>
    <row r="14" spans="1:28">
      <c r="X14" s="2"/>
      <c r="Y14" s="101"/>
      <c r="Z14" s="100"/>
    </row>
    <row r="15" spans="1:28">
      <c r="X15" s="2"/>
      <c r="Y15" s="101"/>
      <c r="Z15" s="100"/>
    </row>
    <row r="16" spans="1:28">
      <c r="X16" s="2"/>
      <c r="Y16" s="101"/>
      <c r="Z16" s="100"/>
    </row>
    <row r="17" spans="24:26">
      <c r="X17" s="2"/>
      <c r="Y17" s="101"/>
      <c r="Z17" s="100"/>
    </row>
    <row r="18" spans="24:26">
      <c r="X18" s="2"/>
      <c r="Y18" s="101"/>
      <c r="Z18" s="100"/>
    </row>
    <row r="19" spans="24:26">
      <c r="X19" s="2"/>
      <c r="Y19" s="101"/>
      <c r="Z19" s="100"/>
    </row>
    <row r="20" spans="24:26">
      <c r="X20" s="2"/>
      <c r="Y20" s="101"/>
      <c r="Z20" s="100"/>
    </row>
    <row r="21" spans="24:26">
      <c r="X21" s="2"/>
      <c r="Y21" s="101"/>
      <c r="Z21" s="100"/>
    </row>
    <row r="22" spans="24:26">
      <c r="X22" s="2"/>
      <c r="Y22" s="101"/>
      <c r="Z22" s="100"/>
    </row>
    <row r="23" spans="24:26">
      <c r="X23" s="2"/>
      <c r="Y23" s="101"/>
      <c r="Z23" s="100"/>
    </row>
    <row r="24" spans="24:26">
      <c r="X24" s="2"/>
      <c r="Y24" s="101"/>
      <c r="Z24" s="100"/>
    </row>
    <row r="25" spans="24:26">
      <c r="X25" s="2"/>
      <c r="Y25" s="101"/>
      <c r="Z25" s="100"/>
    </row>
    <row r="26" spans="24:26">
      <c r="X26" s="2"/>
      <c r="Y26" s="101"/>
      <c r="Z26" s="100"/>
    </row>
    <row r="27" spans="24:26">
      <c r="X27" s="2"/>
      <c r="Y27" s="101"/>
      <c r="Z27" s="100"/>
    </row>
    <row r="28" spans="24:26">
      <c r="X28" s="2"/>
      <c r="Y28" s="101"/>
      <c r="Z28" s="100"/>
    </row>
    <row r="29" spans="24:26">
      <c r="X29" s="2"/>
      <c r="Y29" s="101"/>
      <c r="Z29" s="100"/>
    </row>
    <row r="30" spans="24:26">
      <c r="X30" s="2"/>
      <c r="Y30" s="101"/>
      <c r="Z30" s="100"/>
    </row>
    <row r="31" spans="24:26">
      <c r="X31" s="2"/>
      <c r="Y31" s="101"/>
      <c r="Z31" s="100"/>
    </row>
    <row r="32" spans="24:26">
      <c r="X32" s="2"/>
      <c r="Y32" s="101"/>
      <c r="Z32" s="100"/>
    </row>
    <row r="33" spans="24:26">
      <c r="X33" s="2"/>
      <c r="Y33" s="101"/>
      <c r="Z33" s="100"/>
    </row>
    <row r="34" spans="24:26">
      <c r="X34" s="2"/>
      <c r="Y34" s="101"/>
      <c r="Z34" s="100"/>
    </row>
    <row r="35" spans="24:26">
      <c r="X35" s="2"/>
      <c r="Y35" s="101"/>
      <c r="Z35" s="100"/>
    </row>
    <row r="36" spans="24:26">
      <c r="X36" s="2"/>
      <c r="Y36" s="101"/>
      <c r="Z36" s="100"/>
    </row>
    <row r="37" spans="24:26">
      <c r="X37" s="2"/>
      <c r="Y37" s="101"/>
      <c r="Z37" s="100"/>
    </row>
    <row r="38" spans="24:26">
      <c r="X38" s="2"/>
      <c r="Y38" s="101"/>
      <c r="Z38" s="100"/>
    </row>
    <row r="39" spans="24:26">
      <c r="X39" s="2"/>
      <c r="Y39" s="101"/>
      <c r="Z39" s="100"/>
    </row>
    <row r="40" spans="24:26">
      <c r="X40" s="2"/>
      <c r="Y40" s="101"/>
      <c r="Z40" s="100"/>
    </row>
    <row r="41" spans="24:26">
      <c r="X41" s="2"/>
      <c r="Y41" s="101"/>
      <c r="Z41" s="100"/>
    </row>
    <row r="42" spans="24:26">
      <c r="X42" s="2"/>
      <c r="Y42" s="101"/>
      <c r="Z42" s="100"/>
    </row>
    <row r="43" spans="24:26">
      <c r="X43" s="2"/>
      <c r="Y43" s="101"/>
      <c r="Z43" s="100"/>
    </row>
    <row r="44" spans="24:26">
      <c r="X44" s="2"/>
      <c r="Y44" s="101"/>
      <c r="Z44" s="100"/>
    </row>
    <row r="45" spans="24:26">
      <c r="X45" s="2"/>
      <c r="Y45" s="101"/>
      <c r="Z45" s="100"/>
    </row>
    <row r="46" spans="24:26">
      <c r="X46" s="2"/>
      <c r="Y46" s="101"/>
      <c r="Z46" s="100"/>
    </row>
    <row r="47" spans="24:26">
      <c r="X47" s="2"/>
      <c r="Y47" s="101"/>
      <c r="Z47" s="100"/>
    </row>
    <row r="48" spans="24:26">
      <c r="X48" s="2"/>
      <c r="Y48" s="101"/>
      <c r="Z48" s="100"/>
    </row>
    <row r="49" spans="24:26">
      <c r="X49" s="2"/>
      <c r="Y49" s="101"/>
      <c r="Z49" s="100"/>
    </row>
    <row r="50" spans="24:26">
      <c r="X50" s="2"/>
      <c r="Y50" s="101"/>
      <c r="Z50" s="100"/>
    </row>
    <row r="51" spans="24:26">
      <c r="X51" s="2"/>
      <c r="Y51" s="101"/>
      <c r="Z51" s="100"/>
    </row>
    <row r="52" spans="24:26">
      <c r="X52" s="2"/>
      <c r="Y52" s="101"/>
      <c r="Z52" s="100"/>
    </row>
    <row r="53" spans="24:26">
      <c r="X53" s="2"/>
      <c r="Y53" s="101"/>
      <c r="Z53" s="100"/>
    </row>
    <row r="54" spans="24:26">
      <c r="X54" s="2"/>
      <c r="Y54" s="101"/>
      <c r="Z54" s="100"/>
    </row>
    <row r="55" spans="24:26">
      <c r="X55" s="2"/>
      <c r="Y55" s="101"/>
      <c r="Z55" s="100"/>
    </row>
    <row r="56" spans="24:26">
      <c r="X56" s="2"/>
      <c r="Y56" s="101"/>
      <c r="Z56" s="100"/>
    </row>
    <row r="57" spans="24:26">
      <c r="X57" s="2"/>
      <c r="Y57" s="101"/>
      <c r="Z57" s="100"/>
    </row>
    <row r="58" spans="24:26">
      <c r="X58" s="2"/>
      <c r="Y58" s="101"/>
      <c r="Z58" s="100"/>
    </row>
    <row r="59" spans="24:26">
      <c r="X59" s="2"/>
      <c r="Y59" s="101"/>
      <c r="Z59" s="100"/>
    </row>
    <row r="60" spans="24:26">
      <c r="X60" s="2"/>
      <c r="Y60" s="101"/>
      <c r="Z60" s="100"/>
    </row>
    <row r="61" spans="24:26">
      <c r="X61" s="2"/>
      <c r="Y61" s="101"/>
      <c r="Z61" s="100"/>
    </row>
    <row r="62" spans="24:26">
      <c r="X62" s="2"/>
      <c r="Y62" s="101"/>
      <c r="Z62" s="100"/>
    </row>
    <row r="63" spans="24:26">
      <c r="X63" s="2"/>
      <c r="Y63" s="101"/>
      <c r="Z63" s="100"/>
    </row>
    <row r="64" spans="24:26">
      <c r="X64" s="2"/>
      <c r="Y64" s="101"/>
      <c r="Z64" s="100"/>
    </row>
    <row r="65" spans="24:26">
      <c r="X65" s="2"/>
      <c r="Y65" s="101"/>
      <c r="Z65" s="100"/>
    </row>
    <row r="66" spans="24:26">
      <c r="X66" s="2"/>
      <c r="Y66" s="101"/>
      <c r="Z66" s="100"/>
    </row>
    <row r="67" spans="24:26">
      <c r="X67" s="2"/>
      <c r="Y67" s="101"/>
      <c r="Z67" s="100"/>
    </row>
    <row r="68" spans="24:26">
      <c r="X68" s="2"/>
      <c r="Y68" s="101"/>
      <c r="Z68" s="100"/>
    </row>
    <row r="69" spans="24:26">
      <c r="X69" s="2"/>
      <c r="Y69" s="101"/>
      <c r="Z69" s="100"/>
    </row>
    <row r="70" spans="24:26">
      <c r="X70" s="2"/>
      <c r="Y70" s="101"/>
      <c r="Z70" s="100"/>
    </row>
    <row r="71" spans="24:26">
      <c r="X71" s="2"/>
      <c r="Y71" s="101"/>
      <c r="Z71" s="100"/>
    </row>
    <row r="72" spans="24:26">
      <c r="X72" s="2"/>
      <c r="Y72" s="101"/>
      <c r="Z72" s="100"/>
    </row>
    <row r="73" spans="24:26">
      <c r="X73" s="2"/>
      <c r="Y73" s="101"/>
      <c r="Z73" s="100"/>
    </row>
    <row r="74" spans="24:26">
      <c r="X74" s="2"/>
      <c r="Y74" s="101"/>
      <c r="Z74" s="100"/>
    </row>
    <row r="75" spans="24:26">
      <c r="X75" s="2"/>
      <c r="Y75" s="101"/>
      <c r="Z75" s="100"/>
    </row>
    <row r="76" spans="24:26">
      <c r="X76" s="2"/>
      <c r="Y76" s="101"/>
      <c r="Z76" s="100"/>
    </row>
    <row r="77" spans="24:26">
      <c r="X77" s="2"/>
      <c r="Y77" s="101"/>
      <c r="Z77" s="100"/>
    </row>
    <row r="78" spans="24:26">
      <c r="X78" s="2"/>
      <c r="Y78" s="101"/>
      <c r="Z78" s="100"/>
    </row>
    <row r="79" spans="24:26">
      <c r="X79" s="2"/>
      <c r="Y79" s="101"/>
      <c r="Z79" s="100"/>
    </row>
    <row r="80" spans="24:26">
      <c r="X80" s="2"/>
      <c r="Y80" s="101"/>
      <c r="Z80" s="100"/>
    </row>
    <row r="81" spans="24:26">
      <c r="X81" s="2"/>
      <c r="Y81" s="101"/>
      <c r="Z81" s="100"/>
    </row>
    <row r="82" spans="24:26">
      <c r="X82" s="2"/>
      <c r="Y82" s="101"/>
      <c r="Z82" s="100"/>
    </row>
    <row r="83" spans="24:26">
      <c r="X83" s="2"/>
      <c r="Y83" s="101"/>
      <c r="Z83" s="100"/>
    </row>
    <row r="84" spans="24:26">
      <c r="X84" s="2"/>
      <c r="Y84" s="101"/>
      <c r="Z84" s="100"/>
    </row>
    <row r="85" spans="24:26">
      <c r="X85" s="2"/>
      <c r="Y85" s="101"/>
      <c r="Z85" s="100"/>
    </row>
    <row r="86" spans="24:26">
      <c r="X86" s="2"/>
      <c r="Y86" s="101"/>
      <c r="Z86" s="100"/>
    </row>
    <row r="87" spans="24:26">
      <c r="X87" s="2"/>
      <c r="Y87" s="101"/>
      <c r="Z87" s="100"/>
    </row>
    <row r="88" spans="24:26">
      <c r="X88" s="2"/>
      <c r="Y88" s="101"/>
      <c r="Z88" s="100"/>
    </row>
    <row r="89" spans="24:26">
      <c r="X89" s="2"/>
      <c r="Y89" s="101"/>
      <c r="Z89" s="100"/>
    </row>
    <row r="90" spans="24:26">
      <c r="X90" s="2"/>
      <c r="Y90" s="101"/>
      <c r="Z90" s="100"/>
    </row>
    <row r="91" spans="24:26">
      <c r="X91" s="2"/>
      <c r="Y91" s="101"/>
      <c r="Z91" s="100"/>
    </row>
    <row r="92" spans="24:26">
      <c r="X92" s="2"/>
      <c r="Y92" s="101"/>
      <c r="Z92" s="100"/>
    </row>
    <row r="93" spans="24:26">
      <c r="X93" s="2"/>
      <c r="Y93" s="101"/>
      <c r="Z93" s="100"/>
    </row>
    <row r="94" spans="24:26">
      <c r="X94" s="2"/>
      <c r="Y94" s="101"/>
      <c r="Z94" s="100"/>
    </row>
    <row r="95" spans="24:26">
      <c r="X95" s="2"/>
      <c r="Y95" s="101"/>
      <c r="Z95" s="100"/>
    </row>
    <row r="96" spans="24:26">
      <c r="X96" s="2"/>
      <c r="Y96" s="101"/>
      <c r="Z96" s="100"/>
    </row>
    <row r="97" spans="24:26">
      <c r="X97" s="2"/>
      <c r="Y97" s="101"/>
      <c r="Z97" s="100"/>
    </row>
    <row r="98" spans="24:26">
      <c r="X98" s="2"/>
      <c r="Y98" s="101"/>
      <c r="Z98" s="100"/>
    </row>
    <row r="99" spans="24:26">
      <c r="X99" s="2"/>
      <c r="Y99" s="101"/>
      <c r="Z99" s="100"/>
    </row>
    <row r="100" spans="24:26">
      <c r="X100" s="2"/>
      <c r="Y100" s="101"/>
      <c r="Z100" s="100"/>
    </row>
    <row r="101" spans="24:26">
      <c r="X101" s="2"/>
      <c r="Y101" s="101"/>
      <c r="Z101" s="100"/>
    </row>
    <row r="102" spans="24:26">
      <c r="X102" s="2"/>
      <c r="Y102" s="101"/>
      <c r="Z102" s="100"/>
    </row>
    <row r="103" spans="24:26">
      <c r="X103" s="2"/>
      <c r="Y103" s="101"/>
      <c r="Z103" s="100"/>
    </row>
    <row r="104" spans="24:26">
      <c r="X104" s="2"/>
      <c r="Y104" s="101"/>
      <c r="Z104" s="100"/>
    </row>
    <row r="105" spans="24:26">
      <c r="X105" s="2"/>
      <c r="Y105" s="101"/>
      <c r="Z105" s="100"/>
    </row>
    <row r="106" spans="24:26">
      <c r="X106" s="2"/>
      <c r="Y106" s="101"/>
      <c r="Z106" s="100"/>
    </row>
    <row r="107" spans="24:26">
      <c r="X107" s="2"/>
      <c r="Y107" s="101"/>
      <c r="Z107" s="100"/>
    </row>
    <row r="108" spans="24:26">
      <c r="X108" s="2"/>
      <c r="Y108" s="101"/>
      <c r="Z108" s="100"/>
    </row>
    <row r="109" spans="24:26">
      <c r="X109" s="2"/>
      <c r="Y109" s="101"/>
      <c r="Z109" s="100"/>
    </row>
    <row r="110" spans="24:26">
      <c r="X110" s="2"/>
      <c r="Y110" s="101"/>
      <c r="Z110" s="100"/>
    </row>
    <row r="111" spans="24:26">
      <c r="X111" s="2"/>
      <c r="Y111" s="101"/>
      <c r="Z111" s="100"/>
    </row>
    <row r="112" spans="24:26">
      <c r="X112" s="2"/>
      <c r="Y112" s="101"/>
      <c r="Z112" s="100"/>
    </row>
    <row r="113" spans="24:26">
      <c r="X113" s="2"/>
      <c r="Y113" s="101"/>
      <c r="Z113" s="100"/>
    </row>
    <row r="114" spans="24:26">
      <c r="X114" s="2"/>
      <c r="Y114" s="101"/>
      <c r="Z114" s="100"/>
    </row>
    <row r="115" spans="24:26">
      <c r="X115" s="2"/>
      <c r="Y115" s="101"/>
      <c r="Z115" s="100"/>
    </row>
    <row r="116" spans="24:26">
      <c r="X116" s="2"/>
      <c r="Y116" s="101"/>
      <c r="Z116" s="100"/>
    </row>
    <row r="117" spans="24:26">
      <c r="X117" s="2"/>
      <c r="Y117" s="101"/>
      <c r="Z117" s="100"/>
    </row>
    <row r="118" spans="24:26">
      <c r="X118" s="2"/>
      <c r="Y118" s="101"/>
      <c r="Z118" s="100"/>
    </row>
    <row r="119" spans="24:26">
      <c r="X119" s="2"/>
      <c r="Y119" s="101"/>
      <c r="Z119" s="100"/>
    </row>
    <row r="120" spans="24:26">
      <c r="X120" s="2"/>
      <c r="Y120" s="101"/>
      <c r="Z120" s="100"/>
    </row>
    <row r="121" spans="24:26">
      <c r="X121" s="2"/>
      <c r="Y121" s="101"/>
      <c r="Z121" s="100"/>
    </row>
    <row r="122" spans="24:26">
      <c r="X122" s="2"/>
      <c r="Y122" s="101"/>
      <c r="Z122" s="100"/>
    </row>
    <row r="123" spans="24:26">
      <c r="X123" s="2"/>
      <c r="Y123" s="101"/>
      <c r="Z123" s="100"/>
    </row>
    <row r="124" spans="24:26">
      <c r="X124" s="2"/>
      <c r="Y124" s="101"/>
      <c r="Z124" s="100"/>
    </row>
    <row r="125" spans="24:26">
      <c r="X125" s="2"/>
      <c r="Y125" s="101"/>
      <c r="Z125" s="100"/>
    </row>
    <row r="126" spans="24:26">
      <c r="X126" s="2"/>
      <c r="Y126" s="101"/>
      <c r="Z126" s="100"/>
    </row>
    <row r="127" spans="24:26">
      <c r="X127" s="2"/>
      <c r="Y127" s="101"/>
      <c r="Z127" s="100"/>
    </row>
    <row r="128" spans="24:26">
      <c r="X128" s="2"/>
      <c r="Y128" s="101"/>
      <c r="Z128" s="100"/>
    </row>
    <row r="129" spans="24:26">
      <c r="X129" s="2"/>
      <c r="Y129" s="101"/>
      <c r="Z129" s="100"/>
    </row>
    <row r="130" spans="24:26">
      <c r="X130" s="2"/>
      <c r="Y130" s="101"/>
      <c r="Z130" s="100"/>
    </row>
    <row r="131" spans="24:26">
      <c r="X131" s="2"/>
      <c r="Y131" s="101"/>
      <c r="Z131" s="100"/>
    </row>
    <row r="132" spans="24:26">
      <c r="X132" s="2"/>
      <c r="Y132" s="101"/>
      <c r="Z132" s="100"/>
    </row>
    <row r="133" spans="24:26">
      <c r="X133" s="2"/>
      <c r="Y133" s="101"/>
      <c r="Z133" s="100"/>
    </row>
    <row r="134" spans="24:26">
      <c r="X134" s="2"/>
      <c r="Y134" s="101"/>
      <c r="Z134" s="100"/>
    </row>
    <row r="135" spans="24:26">
      <c r="X135" s="2"/>
      <c r="Y135" s="101"/>
      <c r="Z135" s="100"/>
    </row>
    <row r="136" spans="24:26">
      <c r="X136" s="2"/>
      <c r="Y136" s="101"/>
      <c r="Z136" s="100"/>
    </row>
    <row r="137" spans="24:26">
      <c r="X137" s="2"/>
      <c r="Y137" s="101"/>
      <c r="Z137" s="100"/>
    </row>
    <row r="138" spans="24:26">
      <c r="X138" s="2"/>
      <c r="Y138" s="101"/>
      <c r="Z138" s="100"/>
    </row>
    <row r="139" spans="24:26">
      <c r="X139" s="2"/>
      <c r="Y139" s="101"/>
      <c r="Z139" s="100"/>
    </row>
    <row r="140" spans="24:26">
      <c r="X140" s="2"/>
      <c r="Y140" s="101"/>
      <c r="Z140" s="100"/>
    </row>
    <row r="141" spans="24:26">
      <c r="X141" s="2"/>
      <c r="Y141" s="101"/>
      <c r="Z141" s="100"/>
    </row>
    <row r="142" spans="24:26">
      <c r="X142" s="2"/>
      <c r="Y142" s="101"/>
      <c r="Z142" s="100"/>
    </row>
    <row r="143" spans="24:26">
      <c r="X143" s="2"/>
      <c r="Y143" s="101"/>
      <c r="Z143" s="100"/>
    </row>
    <row r="144" spans="24:26">
      <c r="X144" s="2"/>
      <c r="Y144" s="101"/>
      <c r="Z144" s="100"/>
    </row>
    <row r="145" spans="24:26">
      <c r="X145" s="2"/>
      <c r="Y145" s="101"/>
      <c r="Z145" s="100"/>
    </row>
    <row r="146" spans="24:26">
      <c r="X146" s="2"/>
      <c r="Y146" s="101"/>
      <c r="Z146" s="100"/>
    </row>
    <row r="147" spans="24:26">
      <c r="X147" s="2"/>
      <c r="Y147" s="101"/>
      <c r="Z147" s="100"/>
    </row>
    <row r="148" spans="24:26">
      <c r="X148" s="2"/>
      <c r="Y148" s="101"/>
      <c r="Z148" s="100"/>
    </row>
    <row r="149" spans="24:26">
      <c r="X149" s="2"/>
      <c r="Y149" s="101"/>
      <c r="Z149" s="100"/>
    </row>
    <row r="150" spans="24:26">
      <c r="X150" s="2"/>
      <c r="Y150" s="101"/>
      <c r="Z150" s="100"/>
    </row>
    <row r="151" spans="24:26">
      <c r="X151" s="2"/>
      <c r="Y151" s="101"/>
      <c r="Z151" s="100"/>
    </row>
    <row r="152" spans="24:26">
      <c r="X152" s="2"/>
      <c r="Y152" s="101"/>
      <c r="Z152" s="100"/>
    </row>
    <row r="153" spans="24:26">
      <c r="X153" s="2"/>
      <c r="Y153" s="101"/>
      <c r="Z153" s="100"/>
    </row>
    <row r="154" spans="24:26">
      <c r="X154" s="2"/>
      <c r="Y154" s="101"/>
      <c r="Z154" s="100"/>
    </row>
    <row r="155" spans="24:26">
      <c r="X155" s="2"/>
      <c r="Y155" s="101"/>
      <c r="Z155" s="100"/>
    </row>
    <row r="156" spans="24:26">
      <c r="X156" s="2"/>
      <c r="Y156" s="101"/>
      <c r="Z156" s="100"/>
    </row>
    <row r="157" spans="24:26">
      <c r="X157" s="2"/>
      <c r="Y157" s="101"/>
      <c r="Z157" s="100"/>
    </row>
    <row r="158" spans="24:26">
      <c r="X158" s="2"/>
      <c r="Y158" s="101"/>
      <c r="Z158" s="100"/>
    </row>
    <row r="159" spans="24:26">
      <c r="X159" s="2"/>
      <c r="Y159" s="101"/>
      <c r="Z159" s="100"/>
    </row>
    <row r="160" spans="24:26">
      <c r="X160" s="2"/>
      <c r="Y160" s="101"/>
      <c r="Z160" s="100"/>
    </row>
    <row r="161" spans="24:26">
      <c r="X161" s="2"/>
      <c r="Y161" s="101"/>
      <c r="Z161" s="100"/>
    </row>
    <row r="162" spans="24:26">
      <c r="X162" s="2"/>
      <c r="Y162" s="101"/>
      <c r="Z162" s="100"/>
    </row>
    <row r="163" spans="24:26">
      <c r="X163" s="2"/>
      <c r="Y163" s="101"/>
      <c r="Z163" s="100"/>
    </row>
    <row r="164" spans="24:26">
      <c r="X164" s="2"/>
      <c r="Y164" s="101"/>
      <c r="Z164" s="100"/>
    </row>
    <row r="165" spans="24:26">
      <c r="X165" s="2"/>
      <c r="Y165" s="101"/>
      <c r="Z165" s="100"/>
    </row>
    <row r="166" spans="24:26">
      <c r="X166" s="2"/>
      <c r="Y166" s="101"/>
      <c r="Z166" s="100"/>
    </row>
    <row r="167" spans="24:26">
      <c r="X167" s="2"/>
      <c r="Y167" s="101"/>
      <c r="Z167" s="100"/>
    </row>
    <row r="168" spans="24:26">
      <c r="X168" s="2"/>
      <c r="Y168" s="101"/>
      <c r="Z168" s="100"/>
    </row>
    <row r="169" spans="24:26">
      <c r="X169" s="2"/>
      <c r="Y169" s="101"/>
      <c r="Z169" s="100"/>
    </row>
    <row r="170" spans="24:26">
      <c r="X170" s="2"/>
      <c r="Y170" s="101"/>
      <c r="Z170" s="100"/>
    </row>
    <row r="171" spans="24:26">
      <c r="X171" s="2"/>
      <c r="Y171" s="101"/>
      <c r="Z171" s="100"/>
    </row>
    <row r="172" spans="24:26">
      <c r="X172" s="2"/>
      <c r="Y172" s="101"/>
      <c r="Z172" s="100"/>
    </row>
    <row r="173" spans="24:26">
      <c r="X173" s="2"/>
      <c r="Y173" s="101"/>
      <c r="Z173" s="100"/>
    </row>
    <row r="174" spans="24:26">
      <c r="X174" s="2"/>
      <c r="Y174" s="101"/>
      <c r="Z174" s="100"/>
    </row>
    <row r="175" spans="24:26">
      <c r="X175" s="2"/>
      <c r="Y175" s="101"/>
      <c r="Z175" s="100"/>
    </row>
    <row r="176" spans="24:26">
      <c r="X176" s="2"/>
      <c r="Y176" s="101"/>
      <c r="Z176" s="100"/>
    </row>
    <row r="177" spans="24:26">
      <c r="X177" s="2"/>
      <c r="Y177" s="101"/>
      <c r="Z177" s="100"/>
    </row>
    <row r="178" spans="24:26">
      <c r="X178" s="2"/>
      <c r="Y178" s="101"/>
      <c r="Z178" s="100"/>
    </row>
    <row r="179" spans="24:26">
      <c r="X179" s="2"/>
      <c r="Y179" s="101"/>
      <c r="Z179" s="100"/>
    </row>
    <row r="180" spans="24:26">
      <c r="X180" s="2"/>
      <c r="Y180" s="101"/>
      <c r="Z180" s="100"/>
    </row>
    <row r="181" spans="24:26">
      <c r="X181" s="2"/>
      <c r="Y181" s="101"/>
      <c r="Z181" s="100"/>
    </row>
    <row r="182" spans="24:26">
      <c r="X182" s="2"/>
      <c r="Y182" s="101"/>
      <c r="Z182" s="100"/>
    </row>
    <row r="183" spans="24:26">
      <c r="X183" s="2"/>
      <c r="Y183" s="101"/>
      <c r="Z183" s="100"/>
    </row>
    <row r="184" spans="24:26">
      <c r="X184" s="2"/>
      <c r="Y184" s="101"/>
      <c r="Z184" s="100"/>
    </row>
    <row r="185" spans="24:26">
      <c r="X185" s="2"/>
      <c r="Y185" s="101"/>
      <c r="Z185" s="100"/>
    </row>
    <row r="186" spans="24:26">
      <c r="X186" s="2"/>
      <c r="Y186" s="101"/>
      <c r="Z186" s="100"/>
    </row>
    <row r="187" spans="24:26">
      <c r="X187" s="2"/>
      <c r="Y187" s="101"/>
      <c r="Z187" s="100"/>
    </row>
    <row r="188" spans="24:26">
      <c r="X188" s="2"/>
      <c r="Y188" s="101"/>
      <c r="Z188" s="100"/>
    </row>
    <row r="189" spans="24:26">
      <c r="X189" s="2"/>
      <c r="Y189" s="101"/>
      <c r="Z189" s="100"/>
    </row>
    <row r="190" spans="24:26">
      <c r="X190" s="2"/>
      <c r="Y190" s="101"/>
      <c r="Z190" s="100"/>
    </row>
    <row r="191" spans="24:26">
      <c r="X191" s="2"/>
      <c r="Y191" s="101"/>
      <c r="Z191" s="100"/>
    </row>
    <row r="192" spans="24:26">
      <c r="X192" s="2"/>
      <c r="Y192" s="101"/>
      <c r="Z192" s="100"/>
    </row>
    <row r="193" spans="24:26">
      <c r="X193" s="2"/>
      <c r="Y193" s="101"/>
      <c r="Z193" s="100"/>
    </row>
    <row r="194" spans="24:26">
      <c r="X194" s="2"/>
      <c r="Y194" s="101"/>
      <c r="Z194" s="100"/>
    </row>
    <row r="195" spans="24:26">
      <c r="X195" s="2"/>
      <c r="Y195" s="101"/>
      <c r="Z195" s="100"/>
    </row>
    <row r="196" spans="24:26">
      <c r="X196" s="2"/>
      <c r="Y196" s="101"/>
      <c r="Z196" s="100"/>
    </row>
    <row r="197" spans="24:26">
      <c r="X197" s="2"/>
      <c r="Y197" s="101"/>
      <c r="Z197" s="100"/>
    </row>
    <row r="198" spans="24:26">
      <c r="X198" s="2"/>
      <c r="Y198" s="101"/>
      <c r="Z198" s="100"/>
    </row>
    <row r="199" spans="24:26">
      <c r="X199" s="2"/>
      <c r="Y199" s="101"/>
      <c r="Z199" s="100"/>
    </row>
    <row r="200" spans="24:26">
      <c r="X200" s="2"/>
      <c r="Y200" s="101"/>
      <c r="Z200" s="100"/>
    </row>
    <row r="201" spans="24:26">
      <c r="X201" s="2"/>
      <c r="Y201" s="101"/>
      <c r="Z201" s="100"/>
    </row>
    <row r="202" spans="24:26">
      <c r="X202" s="2"/>
      <c r="Y202" s="101"/>
      <c r="Z202" s="100"/>
    </row>
    <row r="203" spans="24:26">
      <c r="X203" s="2"/>
      <c r="Y203" s="101"/>
      <c r="Z203" s="100"/>
    </row>
    <row r="204" spans="24:26">
      <c r="X204" s="2"/>
      <c r="Y204" s="101"/>
      <c r="Z204" s="100"/>
    </row>
    <row r="205" spans="24:26">
      <c r="X205" s="2"/>
      <c r="Y205" s="101"/>
      <c r="Z205" s="100"/>
    </row>
    <row r="206" spans="24:26">
      <c r="X206" s="2"/>
      <c r="Y206" s="101"/>
      <c r="Z206" s="100"/>
    </row>
    <row r="207" spans="24:26">
      <c r="X207" s="2"/>
      <c r="Y207" s="101"/>
      <c r="Z207" s="100"/>
    </row>
    <row r="208" spans="24:26">
      <c r="X208" s="2"/>
      <c r="Y208" s="101"/>
      <c r="Z208" s="100"/>
    </row>
    <row r="209" spans="24:26">
      <c r="X209" s="2"/>
      <c r="Y209" s="101"/>
      <c r="Z209" s="100"/>
    </row>
    <row r="210" spans="24:26">
      <c r="X210" s="2"/>
      <c r="Y210" s="101"/>
      <c r="Z210" s="100"/>
    </row>
    <row r="211" spans="24:26">
      <c r="X211" s="2"/>
      <c r="Y211" s="101"/>
      <c r="Z211" s="100"/>
    </row>
    <row r="212" spans="24:26">
      <c r="X212" s="2"/>
      <c r="Y212" s="101"/>
      <c r="Z212" s="100"/>
    </row>
    <row r="213" spans="24:26">
      <c r="X213" s="2"/>
      <c r="Y213" s="101"/>
      <c r="Z213" s="100"/>
    </row>
    <row r="214" spans="24:26">
      <c r="X214" s="2"/>
      <c r="Y214" s="101"/>
      <c r="Z214" s="100"/>
    </row>
    <row r="215" spans="24:26">
      <c r="X215" s="2"/>
      <c r="Y215" s="101"/>
      <c r="Z215" s="100"/>
    </row>
    <row r="216" spans="24:26">
      <c r="X216" s="2"/>
      <c r="Y216" s="101"/>
      <c r="Z216" s="100"/>
    </row>
    <row r="217" spans="24:26">
      <c r="X217" s="2"/>
      <c r="Y217" s="101"/>
      <c r="Z217" s="100"/>
    </row>
    <row r="218" spans="24:26">
      <c r="X218" s="2"/>
      <c r="Y218" s="101"/>
      <c r="Z218" s="100"/>
    </row>
    <row r="219" spans="24:26">
      <c r="X219" s="2"/>
      <c r="Y219" s="101"/>
      <c r="Z219" s="100"/>
    </row>
    <row r="220" spans="24:26">
      <c r="X220" s="2"/>
      <c r="Y220" s="101"/>
      <c r="Z220" s="100"/>
    </row>
    <row r="221" spans="24:26">
      <c r="X221" s="2"/>
      <c r="Y221" s="101"/>
      <c r="Z221" s="100"/>
    </row>
    <row r="222" spans="24:26">
      <c r="X222" s="2"/>
      <c r="Y222" s="101"/>
      <c r="Z222" s="100"/>
    </row>
    <row r="223" spans="24:26">
      <c r="X223" s="2"/>
      <c r="Y223" s="101"/>
      <c r="Z223" s="100"/>
    </row>
    <row r="224" spans="24:26">
      <c r="X224" s="2"/>
      <c r="Y224" s="101"/>
      <c r="Z224" s="100"/>
    </row>
    <row r="225" spans="24:26">
      <c r="X225" s="2"/>
      <c r="Y225" s="101"/>
      <c r="Z225" s="100"/>
    </row>
    <row r="226" spans="24:26">
      <c r="X226" s="2"/>
      <c r="Y226" s="101"/>
      <c r="Z226" s="100"/>
    </row>
    <row r="227" spans="24:26">
      <c r="X227" s="2"/>
      <c r="Y227" s="101"/>
      <c r="Z227" s="100"/>
    </row>
    <row r="228" spans="24:26">
      <c r="X228" s="2"/>
      <c r="Y228" s="101"/>
      <c r="Z228" s="100"/>
    </row>
    <row r="229" spans="24:26">
      <c r="X229" s="2"/>
      <c r="Y229" s="101"/>
      <c r="Z229" s="100"/>
    </row>
    <row r="230" spans="24:26">
      <c r="X230" s="2"/>
      <c r="Y230" s="101"/>
      <c r="Z230" s="100"/>
    </row>
    <row r="231" spans="24:26">
      <c r="X231" s="2"/>
      <c r="Y231" s="101"/>
      <c r="Z231" s="100"/>
    </row>
    <row r="232" spans="24:26">
      <c r="X232" s="2"/>
      <c r="Y232" s="101"/>
      <c r="Z232" s="100"/>
    </row>
    <row r="233" spans="24:26">
      <c r="X233" s="2"/>
      <c r="Y233" s="101"/>
      <c r="Z233" s="100"/>
    </row>
    <row r="234" spans="24:26">
      <c r="X234" s="2"/>
      <c r="Y234" s="101"/>
      <c r="Z234" s="100"/>
    </row>
    <row r="235" spans="24:26">
      <c r="X235" s="2"/>
      <c r="Y235" s="101"/>
      <c r="Z235" s="100"/>
    </row>
    <row r="236" spans="24:26">
      <c r="X236" s="2"/>
      <c r="Y236" s="101"/>
      <c r="Z236" s="100"/>
    </row>
    <row r="237" spans="24:26">
      <c r="X237" s="2"/>
      <c r="Y237" s="101"/>
      <c r="Z237" s="100"/>
    </row>
    <row r="238" spans="24:26">
      <c r="X238" s="2"/>
      <c r="Y238" s="101"/>
      <c r="Z238" s="100"/>
    </row>
    <row r="239" spans="24:26">
      <c r="X239" s="2"/>
      <c r="Y239" s="101"/>
      <c r="Z239" s="100"/>
    </row>
    <row r="240" spans="24:26">
      <c r="X240" s="2"/>
      <c r="Y240" s="101"/>
      <c r="Z240" s="100"/>
    </row>
    <row r="241" spans="24:26">
      <c r="X241" s="2"/>
      <c r="Y241" s="101"/>
      <c r="Z241" s="100"/>
    </row>
    <row r="242" spans="24:26">
      <c r="X242" s="2"/>
      <c r="Y242" s="101"/>
      <c r="Z242" s="100"/>
    </row>
    <row r="243" spans="24:26">
      <c r="X243" s="2"/>
      <c r="Y243" s="101"/>
      <c r="Z243" s="100"/>
    </row>
    <row r="244" spans="24:26">
      <c r="X244" s="2"/>
      <c r="Y244" s="101"/>
      <c r="Z244" s="100"/>
    </row>
    <row r="245" spans="24:26">
      <c r="X245" s="2"/>
      <c r="Y245" s="101"/>
      <c r="Z245" s="100"/>
    </row>
    <row r="246" spans="24:26">
      <c r="X246" s="2"/>
      <c r="Y246" s="101"/>
      <c r="Z246" s="100"/>
    </row>
    <row r="247" spans="24:26">
      <c r="X247" s="2"/>
      <c r="Y247" s="101"/>
      <c r="Z247" s="100"/>
    </row>
    <row r="248" spans="24:26">
      <c r="X248" s="2"/>
      <c r="Y248" s="101"/>
      <c r="Z248" s="100"/>
    </row>
    <row r="249" spans="24:26">
      <c r="X249" s="2"/>
      <c r="Y249" s="101"/>
      <c r="Z249" s="100"/>
    </row>
    <row r="250" spans="24:26">
      <c r="X250" s="2"/>
      <c r="Y250" s="101"/>
      <c r="Z250" s="100"/>
    </row>
    <row r="251" spans="24:26">
      <c r="X251" s="2"/>
      <c r="Y251" s="101"/>
      <c r="Z251" s="100"/>
    </row>
    <row r="252" spans="24:26">
      <c r="X252" s="2"/>
      <c r="Y252" s="101"/>
      <c r="Z252" s="100"/>
    </row>
    <row r="253" spans="24:26">
      <c r="X253" s="2"/>
      <c r="Y253" s="101"/>
      <c r="Z253" s="100"/>
    </row>
    <row r="254" spans="24:26">
      <c r="X254" s="2"/>
      <c r="Y254" s="101"/>
      <c r="Z254" s="100"/>
    </row>
    <row r="255" spans="24:26">
      <c r="X255" s="2"/>
      <c r="Y255" s="101"/>
      <c r="Z255" s="100"/>
    </row>
    <row r="256" spans="24:26">
      <c r="X256" s="2"/>
      <c r="Y256" s="101"/>
      <c r="Z256" s="100"/>
    </row>
    <row r="257" spans="24:26">
      <c r="X257" s="2"/>
      <c r="Y257" s="101"/>
      <c r="Z257" s="100"/>
    </row>
    <row r="258" spans="24:26">
      <c r="X258" s="2"/>
      <c r="Y258" s="101"/>
      <c r="Z258" s="100"/>
    </row>
    <row r="259" spans="24:26">
      <c r="X259" s="2"/>
      <c r="Y259" s="101"/>
      <c r="Z259" s="100"/>
    </row>
    <row r="260" spans="24:26">
      <c r="X260" s="2"/>
      <c r="Y260" s="101"/>
      <c r="Z260" s="100"/>
    </row>
    <row r="261" spans="24:26">
      <c r="X261" s="2"/>
      <c r="Y261" s="101"/>
      <c r="Z261" s="100"/>
    </row>
    <row r="262" spans="24:26">
      <c r="X262" s="2"/>
      <c r="Y262" s="101"/>
      <c r="Z262" s="100"/>
    </row>
    <row r="263" spans="24:26">
      <c r="X263" s="2"/>
      <c r="Y263" s="101"/>
      <c r="Z263" s="100"/>
    </row>
    <row r="264" spans="24:26">
      <c r="X264" s="2"/>
      <c r="Y264" s="101"/>
      <c r="Z264" s="100"/>
    </row>
    <row r="265" spans="24:26">
      <c r="X265" s="2"/>
      <c r="Y265" s="101"/>
      <c r="Z265" s="100"/>
    </row>
    <row r="266" spans="24:26">
      <c r="X266" s="2"/>
      <c r="Y266" s="101"/>
      <c r="Z266" s="100"/>
    </row>
    <row r="267" spans="24:26">
      <c r="X267" s="2"/>
      <c r="Y267" s="101"/>
      <c r="Z267" s="100"/>
    </row>
    <row r="268" spans="24:26">
      <c r="X268" s="2"/>
      <c r="Y268" s="101"/>
      <c r="Z268" s="100"/>
    </row>
    <row r="269" spans="24:26">
      <c r="X269" s="2"/>
      <c r="Y269" s="101"/>
      <c r="Z269" s="100"/>
    </row>
    <row r="270" spans="24:26">
      <c r="X270" s="2"/>
      <c r="Y270" s="101"/>
      <c r="Z270" s="100"/>
    </row>
    <row r="271" spans="24:26">
      <c r="X271" s="2"/>
      <c r="Y271" s="101"/>
      <c r="Z271" s="100"/>
    </row>
    <row r="272" spans="24:26">
      <c r="X272" s="2"/>
      <c r="Y272" s="101"/>
      <c r="Z272" s="100"/>
    </row>
    <row r="273" spans="24:26">
      <c r="X273" s="2"/>
      <c r="Y273" s="101"/>
      <c r="Z273" s="100"/>
    </row>
    <row r="274" spans="24:26">
      <c r="X274" s="2"/>
      <c r="Y274" s="101"/>
      <c r="Z274" s="100"/>
    </row>
    <row r="275" spans="24:26">
      <c r="X275" s="2"/>
      <c r="Y275" s="101"/>
      <c r="Z275" s="100"/>
    </row>
    <row r="276" spans="24:26">
      <c r="X276" s="2"/>
      <c r="Y276" s="101"/>
      <c r="Z276" s="100"/>
    </row>
    <row r="277" spans="24:26">
      <c r="X277" s="2"/>
      <c r="Y277" s="101"/>
      <c r="Z277" s="100"/>
    </row>
    <row r="278" spans="24:26">
      <c r="X278" s="2"/>
      <c r="Y278" s="101"/>
      <c r="Z278" s="100"/>
    </row>
    <row r="279" spans="24:26">
      <c r="X279" s="2"/>
      <c r="Y279" s="101"/>
      <c r="Z279" s="100"/>
    </row>
    <row r="280" spans="24:26">
      <c r="X280" s="2"/>
      <c r="Y280" s="101"/>
      <c r="Z280" s="100"/>
    </row>
    <row r="281" spans="24:26">
      <c r="X281" s="2"/>
      <c r="Y281" s="101"/>
      <c r="Z281" s="100"/>
    </row>
    <row r="282" spans="24:26">
      <c r="X282" s="2"/>
      <c r="Y282" s="101"/>
      <c r="Z282" s="100"/>
    </row>
    <row r="283" spans="24:26">
      <c r="X283" s="2"/>
      <c r="Y283" s="101"/>
      <c r="Z283" s="100"/>
    </row>
    <row r="284" spans="24:26">
      <c r="X284" s="2"/>
      <c r="Y284" s="101"/>
      <c r="Z284" s="100"/>
    </row>
    <row r="285" spans="24:26">
      <c r="X285" s="2"/>
      <c r="Y285" s="101"/>
      <c r="Z285" s="100"/>
    </row>
    <row r="286" spans="24:26">
      <c r="X286" s="2"/>
      <c r="Y286" s="101"/>
      <c r="Z286" s="100"/>
    </row>
    <row r="287" spans="24:26">
      <c r="X287" s="2"/>
      <c r="Y287" s="101"/>
      <c r="Z287" s="100"/>
    </row>
    <row r="288" spans="24:26">
      <c r="X288" s="2"/>
      <c r="Y288" s="101"/>
      <c r="Z288" s="100"/>
    </row>
    <row r="289" spans="24:26">
      <c r="X289" s="2"/>
      <c r="Y289" s="101"/>
      <c r="Z289" s="100"/>
    </row>
    <row r="290" spans="24:26">
      <c r="X290" s="2"/>
      <c r="Y290" s="101"/>
      <c r="Z290" s="100"/>
    </row>
    <row r="291" spans="24:26">
      <c r="X291" s="2"/>
      <c r="Y291" s="101"/>
      <c r="Z291" s="100"/>
    </row>
    <row r="292" spans="24:26">
      <c r="X292" s="2"/>
      <c r="Y292" s="101"/>
      <c r="Z292" s="100"/>
    </row>
    <row r="293" spans="24:26">
      <c r="X293" s="2"/>
      <c r="Y293" s="101"/>
      <c r="Z293" s="100"/>
    </row>
    <row r="294" spans="24:26">
      <c r="X294" s="2"/>
      <c r="Y294" s="101"/>
      <c r="Z294" s="100"/>
    </row>
    <row r="295" spans="24:26">
      <c r="X295" s="2"/>
      <c r="Y295" s="101"/>
      <c r="Z295" s="100"/>
    </row>
    <row r="296" spans="24:26">
      <c r="X296" s="2"/>
      <c r="Y296" s="101"/>
      <c r="Z296" s="100"/>
    </row>
    <row r="297" spans="24:26">
      <c r="X297" s="2"/>
      <c r="Y297" s="101"/>
      <c r="Z297" s="100"/>
    </row>
    <row r="298" spans="24:26">
      <c r="X298" s="2"/>
      <c r="Y298" s="101"/>
      <c r="Z298" s="100"/>
    </row>
    <row r="299" spans="24:26">
      <c r="X299" s="2"/>
      <c r="Y299" s="101"/>
      <c r="Z299" s="100"/>
    </row>
    <row r="300" spans="24:26">
      <c r="X300" s="2"/>
      <c r="Y300" s="101"/>
      <c r="Z300" s="100"/>
    </row>
    <row r="301" spans="24:26">
      <c r="X301" s="2"/>
      <c r="Y301" s="101"/>
      <c r="Z301" s="100"/>
    </row>
    <row r="302" spans="24:26">
      <c r="X302" s="2"/>
      <c r="Y302" s="101"/>
      <c r="Z302" s="100"/>
    </row>
    <row r="303" spans="24:26">
      <c r="X303" s="2"/>
      <c r="Y303" s="101"/>
      <c r="Z303" s="100"/>
    </row>
    <row r="304" spans="24:26">
      <c r="X304" s="2"/>
      <c r="Y304" s="101"/>
      <c r="Z304" s="100"/>
    </row>
    <row r="305" spans="24:26">
      <c r="X305" s="2"/>
      <c r="Y305" s="101"/>
      <c r="Z305" s="100"/>
    </row>
    <row r="306" spans="24:26">
      <c r="X306" s="2"/>
      <c r="Y306" s="101"/>
      <c r="Z306" s="100"/>
    </row>
    <row r="307" spans="24:26">
      <c r="X307" s="2"/>
      <c r="Y307" s="101"/>
      <c r="Z307" s="100"/>
    </row>
    <row r="308" spans="24:26">
      <c r="X308" s="2"/>
      <c r="Y308" s="101"/>
      <c r="Z308" s="100"/>
    </row>
    <row r="309" spans="24:26">
      <c r="X309" s="2"/>
      <c r="Y309" s="101"/>
      <c r="Z309" s="100"/>
    </row>
    <row r="310" spans="24:26">
      <c r="X310" s="2"/>
      <c r="Y310" s="101"/>
      <c r="Z310" s="100"/>
    </row>
    <row r="311" spans="24:26">
      <c r="X311" s="2"/>
      <c r="Y311" s="101"/>
      <c r="Z311" s="100"/>
    </row>
    <row r="312" spans="24:26">
      <c r="X312" s="2"/>
      <c r="Y312" s="101"/>
      <c r="Z312" s="100"/>
    </row>
    <row r="313" spans="24:26">
      <c r="X313" s="2"/>
      <c r="Y313" s="101"/>
      <c r="Z313" s="100"/>
    </row>
    <row r="314" spans="24:26">
      <c r="X314" s="2"/>
      <c r="Y314" s="101"/>
      <c r="Z314" s="100"/>
    </row>
    <row r="315" spans="24:26">
      <c r="X315" s="2"/>
      <c r="Y315" s="101"/>
      <c r="Z315" s="100"/>
    </row>
    <row r="316" spans="24:26">
      <c r="X316" s="2"/>
      <c r="Y316" s="101"/>
      <c r="Z316" s="100"/>
    </row>
    <row r="317" spans="24:26">
      <c r="X317" s="2"/>
      <c r="Y317" s="101"/>
      <c r="Z317" s="100"/>
    </row>
    <row r="318" spans="24:26">
      <c r="X318" s="2"/>
      <c r="Y318" s="101"/>
      <c r="Z318" s="100"/>
    </row>
    <row r="319" spans="24:26">
      <c r="X319" s="2"/>
      <c r="Y319" s="101"/>
      <c r="Z319" s="100"/>
    </row>
    <row r="320" spans="24:26">
      <c r="X320" s="2"/>
      <c r="Y320" s="101"/>
      <c r="Z320" s="100"/>
    </row>
    <row r="321" spans="24:26">
      <c r="X321" s="2"/>
      <c r="Y321" s="101"/>
      <c r="Z321" s="100"/>
    </row>
    <row r="322" spans="24:26">
      <c r="X322" s="2"/>
      <c r="Y322" s="101"/>
      <c r="Z322" s="100"/>
    </row>
    <row r="323" spans="24:26">
      <c r="X323" s="2"/>
      <c r="Y323" s="101"/>
      <c r="Z323" s="100"/>
    </row>
    <row r="324" spans="24:26">
      <c r="X324" s="2"/>
      <c r="Y324" s="101"/>
      <c r="Z324" s="100"/>
    </row>
    <row r="325" spans="24:26">
      <c r="X325" s="2"/>
      <c r="Y325" s="101"/>
      <c r="Z325" s="100"/>
    </row>
    <row r="326" spans="24:26">
      <c r="X326" s="2"/>
      <c r="Y326" s="101"/>
      <c r="Z326" s="100"/>
    </row>
    <row r="327" spans="24:26">
      <c r="X327" s="2"/>
      <c r="Y327" s="101"/>
      <c r="Z327" s="100"/>
    </row>
    <row r="328" spans="24:26">
      <c r="X328" s="2"/>
      <c r="Y328" s="101"/>
      <c r="Z328" s="100"/>
    </row>
    <row r="329" spans="24:26">
      <c r="X329" s="2"/>
      <c r="Y329" s="101"/>
      <c r="Z329" s="100"/>
    </row>
    <row r="330" spans="24:26">
      <c r="X330" s="2"/>
      <c r="Y330" s="101"/>
      <c r="Z330" s="100"/>
    </row>
    <row r="331" spans="24:26">
      <c r="X331" s="2"/>
      <c r="Y331" s="101"/>
      <c r="Z331" s="100"/>
    </row>
    <row r="332" spans="24:26">
      <c r="X332" s="2"/>
      <c r="Y332" s="101"/>
      <c r="Z332" s="100"/>
    </row>
    <row r="333" spans="24:26">
      <c r="X333" s="2"/>
      <c r="Y333" s="101"/>
      <c r="Z333" s="100"/>
    </row>
    <row r="334" spans="24:26">
      <c r="X334" s="2"/>
      <c r="Y334" s="101"/>
      <c r="Z334" s="100"/>
    </row>
    <row r="335" spans="24:26">
      <c r="X335" s="2"/>
      <c r="Y335" s="101"/>
      <c r="Z335" s="100"/>
    </row>
    <row r="336" spans="24:26">
      <c r="X336" s="2"/>
      <c r="Y336" s="101"/>
      <c r="Z336" s="100"/>
    </row>
    <row r="337" spans="24:26">
      <c r="X337" s="2"/>
      <c r="Y337" s="101"/>
      <c r="Z337" s="100"/>
    </row>
    <row r="338" spans="24:26">
      <c r="X338" s="2"/>
      <c r="Y338" s="101"/>
      <c r="Z338" s="100"/>
    </row>
    <row r="339" spans="24:26">
      <c r="X339" s="2"/>
      <c r="Y339" s="101"/>
      <c r="Z339" s="100"/>
    </row>
    <row r="340" spans="24:26">
      <c r="X340" s="2"/>
      <c r="Y340" s="101"/>
      <c r="Z340" s="100"/>
    </row>
    <row r="341" spans="24:26">
      <c r="X341" s="2"/>
      <c r="Y341" s="101"/>
      <c r="Z341" s="100"/>
    </row>
    <row r="342" spans="24:26">
      <c r="X342" s="2"/>
      <c r="Y342" s="101"/>
      <c r="Z342" s="100"/>
    </row>
    <row r="343" spans="24:26">
      <c r="X343" s="2"/>
      <c r="Y343" s="101"/>
      <c r="Z343" s="100"/>
    </row>
    <row r="344" spans="24:26">
      <c r="X344" s="2"/>
      <c r="Y344" s="101"/>
      <c r="Z344" s="100"/>
    </row>
    <row r="345" spans="24:26">
      <c r="X345" s="2"/>
      <c r="Y345" s="101"/>
      <c r="Z345" s="100"/>
    </row>
    <row r="346" spans="24:26">
      <c r="X346" s="2"/>
      <c r="Y346" s="101"/>
      <c r="Z346" s="100"/>
    </row>
    <row r="347" spans="24:26">
      <c r="X347" s="2"/>
      <c r="Y347" s="101"/>
      <c r="Z347" s="100"/>
    </row>
    <row r="348" spans="24:26">
      <c r="X348" s="2"/>
      <c r="Y348" s="101"/>
      <c r="Z348" s="100"/>
    </row>
    <row r="349" spans="24:26">
      <c r="X349" s="2"/>
      <c r="Y349" s="101"/>
      <c r="Z349" s="100"/>
    </row>
    <row r="350" spans="24:26">
      <c r="X350" s="2"/>
      <c r="Y350" s="101"/>
      <c r="Z350" s="100"/>
    </row>
    <row r="351" spans="24:26">
      <c r="X351" s="2"/>
      <c r="Y351" s="101"/>
      <c r="Z351" s="100"/>
    </row>
    <row r="352" spans="24:26">
      <c r="X352" s="2"/>
      <c r="Y352" s="101"/>
      <c r="Z352" s="100"/>
    </row>
    <row r="353" spans="24:26">
      <c r="X353" s="2"/>
      <c r="Y353" s="101"/>
      <c r="Z353" s="100"/>
    </row>
    <row r="354" spans="24:26">
      <c r="X354" s="2"/>
      <c r="Y354" s="101"/>
      <c r="Z354" s="100"/>
    </row>
    <row r="355" spans="24:26">
      <c r="X355" s="2"/>
      <c r="Y355" s="101"/>
      <c r="Z355" s="100"/>
    </row>
    <row r="356" spans="24:26">
      <c r="X356" s="2"/>
      <c r="Y356" s="101"/>
      <c r="Z356" s="100"/>
    </row>
    <row r="357" spans="24:26">
      <c r="X357" s="2"/>
      <c r="Y357" s="101"/>
      <c r="Z357" s="100"/>
    </row>
    <row r="358" spans="24:26">
      <c r="X358" s="2"/>
      <c r="Y358" s="101"/>
      <c r="Z358" s="100"/>
    </row>
    <row r="359" spans="24:26">
      <c r="X359" s="2"/>
      <c r="Y359" s="101"/>
      <c r="Z359" s="100"/>
    </row>
    <row r="360" spans="24:26">
      <c r="X360" s="2"/>
      <c r="Y360" s="101"/>
      <c r="Z360" s="100"/>
    </row>
    <row r="361" spans="24:26">
      <c r="X361" s="2"/>
      <c r="Y361" s="101"/>
      <c r="Z361" s="100"/>
    </row>
    <row r="362" spans="24:26">
      <c r="X362" s="2"/>
      <c r="Y362" s="101"/>
      <c r="Z362" s="100"/>
    </row>
    <row r="363" spans="24:26">
      <c r="X363" s="2"/>
      <c r="Y363" s="101"/>
      <c r="Z363" s="100"/>
    </row>
    <row r="364" spans="24:26">
      <c r="X364" s="2"/>
      <c r="Y364" s="101"/>
      <c r="Z364" s="100"/>
    </row>
    <row r="365" spans="24:26">
      <c r="X365" s="2"/>
      <c r="Y365" s="101"/>
      <c r="Z365" s="100"/>
    </row>
    <row r="366" spans="24:26">
      <c r="X366" s="2"/>
      <c r="Y366" s="101"/>
      <c r="Z366" s="100"/>
    </row>
    <row r="367" spans="24:26">
      <c r="X367" s="2"/>
      <c r="Y367" s="101"/>
      <c r="Z367" s="100"/>
    </row>
    <row r="368" spans="24:26">
      <c r="X368" s="2"/>
      <c r="Y368" s="101"/>
      <c r="Z368" s="100"/>
    </row>
    <row r="369" spans="24:26">
      <c r="X369" s="2"/>
      <c r="Y369" s="101"/>
      <c r="Z369" s="100"/>
    </row>
    <row r="370" spans="24:26">
      <c r="X370" s="2"/>
      <c r="Y370" s="101"/>
      <c r="Z370" s="100"/>
    </row>
    <row r="371" spans="24:26">
      <c r="X371" s="2"/>
      <c r="Y371" s="101"/>
      <c r="Z371" s="100"/>
    </row>
    <row r="372" spans="24:26">
      <c r="X372" s="2"/>
      <c r="Y372" s="101"/>
      <c r="Z372" s="100"/>
    </row>
    <row r="373" spans="24:26">
      <c r="X373" s="2"/>
      <c r="Y373" s="101"/>
      <c r="Z373" s="100"/>
    </row>
    <row r="374" spans="24:26">
      <c r="X374" s="2"/>
      <c r="Y374" s="101"/>
      <c r="Z374" s="100"/>
    </row>
    <row r="375" spans="24:26">
      <c r="X375" s="2"/>
      <c r="Y375" s="101"/>
      <c r="Z375" s="100"/>
    </row>
    <row r="376" spans="24:26">
      <c r="X376" s="2"/>
      <c r="Y376" s="101"/>
      <c r="Z376" s="100"/>
    </row>
    <row r="377" spans="24:26">
      <c r="X377" s="2"/>
      <c r="Y377" s="101"/>
      <c r="Z377" s="100"/>
    </row>
    <row r="378" spans="24:26">
      <c r="X378" s="2"/>
      <c r="Y378" s="101"/>
      <c r="Z378" s="100"/>
    </row>
    <row r="379" spans="24:26">
      <c r="X379" s="2"/>
      <c r="Y379" s="101"/>
      <c r="Z379" s="100"/>
    </row>
    <row r="380" spans="24:26">
      <c r="X380" s="2"/>
      <c r="Y380" s="101"/>
      <c r="Z380" s="100"/>
    </row>
    <row r="381" spans="24:26">
      <c r="X381" s="2"/>
      <c r="Y381" s="101"/>
      <c r="Z381" s="100"/>
    </row>
    <row r="382" spans="24:26">
      <c r="X382" s="2"/>
      <c r="Y382" s="101"/>
      <c r="Z382" s="100"/>
    </row>
    <row r="383" spans="24:26">
      <c r="X383" s="2"/>
      <c r="Y383" s="101"/>
      <c r="Z383" s="100"/>
    </row>
    <row r="384" spans="24:26">
      <c r="X384" s="2"/>
      <c r="Y384" s="101"/>
      <c r="Z384" s="100"/>
    </row>
    <row r="385" spans="24:26">
      <c r="X385" s="2"/>
      <c r="Y385" s="101"/>
      <c r="Z385" s="100"/>
    </row>
    <row r="386" spans="24:26">
      <c r="X386" s="2"/>
      <c r="Y386" s="101"/>
      <c r="Z386" s="100"/>
    </row>
    <row r="387" spans="24:26">
      <c r="X387" s="2"/>
      <c r="Y387" s="101"/>
      <c r="Z387" s="100"/>
    </row>
    <row r="388" spans="24:26">
      <c r="X388" s="2"/>
      <c r="Y388" s="101"/>
      <c r="Z388" s="100"/>
    </row>
    <row r="389" spans="24:26">
      <c r="X389" s="2"/>
      <c r="Y389" s="101"/>
      <c r="Z389" s="100"/>
    </row>
    <row r="390" spans="24:26">
      <c r="X390" s="2"/>
      <c r="Y390" s="101"/>
      <c r="Z390" s="100"/>
    </row>
    <row r="391" spans="24:26">
      <c r="X391" s="2"/>
      <c r="Y391" s="101"/>
      <c r="Z391" s="100"/>
    </row>
    <row r="392" spans="24:26">
      <c r="X392" s="2"/>
      <c r="Y392" s="101"/>
      <c r="Z392" s="100"/>
    </row>
    <row r="393" spans="24:26">
      <c r="X393" s="2"/>
      <c r="Y393" s="101"/>
      <c r="Z393" s="100"/>
    </row>
    <row r="394" spans="24:26">
      <c r="X394" s="2"/>
      <c r="Y394" s="101"/>
      <c r="Z394" s="100"/>
    </row>
    <row r="395" spans="24:26">
      <c r="X395" s="2"/>
      <c r="Y395" s="101"/>
      <c r="Z395" s="100"/>
    </row>
    <row r="396" spans="24:26">
      <c r="X396" s="2"/>
      <c r="Y396" s="101"/>
      <c r="Z396" s="100"/>
    </row>
    <row r="397" spans="24:26">
      <c r="X397" s="2"/>
      <c r="Y397" s="101"/>
      <c r="Z397" s="100"/>
    </row>
    <row r="398" spans="24:26">
      <c r="X398" s="2"/>
      <c r="Y398" s="101"/>
      <c r="Z398" s="100"/>
    </row>
    <row r="399" spans="24:26">
      <c r="X399" s="2"/>
      <c r="Y399" s="101"/>
      <c r="Z399" s="100"/>
    </row>
    <row r="400" spans="24:26">
      <c r="X400" s="2"/>
      <c r="Y400" s="101"/>
      <c r="Z400" s="100"/>
    </row>
    <row r="401" spans="24:26">
      <c r="X401" s="2"/>
      <c r="Y401" s="101"/>
      <c r="Z401" s="100"/>
    </row>
    <row r="402" spans="24:26">
      <c r="X402" s="2"/>
      <c r="Y402" s="101"/>
      <c r="Z402" s="100"/>
    </row>
    <row r="403" spans="24:26">
      <c r="X403" s="2"/>
      <c r="Y403" s="101"/>
      <c r="Z403" s="100"/>
    </row>
    <row r="404" spans="24:26">
      <c r="X404" s="2"/>
      <c r="Y404" s="101"/>
      <c r="Z404" s="100"/>
    </row>
    <row r="405" spans="24:26">
      <c r="X405" s="2"/>
      <c r="Y405" s="101"/>
      <c r="Z405" s="100"/>
    </row>
    <row r="406" spans="24:26">
      <c r="X406" s="2"/>
      <c r="Y406" s="101"/>
      <c r="Z406" s="100"/>
    </row>
    <row r="407" spans="24:26">
      <c r="X407" s="2"/>
      <c r="Y407" s="101"/>
      <c r="Z407" s="100"/>
    </row>
    <row r="408" spans="24:26">
      <c r="X408" s="2"/>
      <c r="Y408" s="101"/>
      <c r="Z408" s="100"/>
    </row>
    <row r="409" spans="24:26">
      <c r="X409" s="2"/>
      <c r="Y409" s="101"/>
      <c r="Z409" s="100"/>
    </row>
    <row r="410" spans="24:26">
      <c r="X410" s="2"/>
      <c r="Y410" s="101"/>
      <c r="Z410" s="100"/>
    </row>
    <row r="411" spans="24:26">
      <c r="X411" s="2"/>
      <c r="Y411" s="101"/>
      <c r="Z411" s="100"/>
    </row>
    <row r="412" spans="24:26">
      <c r="X412" s="2"/>
      <c r="Y412" s="101"/>
      <c r="Z412" s="100"/>
    </row>
    <row r="413" spans="24:26">
      <c r="X413" s="2"/>
      <c r="Y413" s="101"/>
      <c r="Z413" s="100"/>
    </row>
    <row r="414" spans="24:26">
      <c r="X414" s="2"/>
      <c r="Y414" s="101"/>
      <c r="Z414" s="100"/>
    </row>
    <row r="415" spans="24:26">
      <c r="X415" s="2"/>
      <c r="Y415" s="101"/>
      <c r="Z415" s="100"/>
    </row>
    <row r="416" spans="24:26">
      <c r="X416" s="2"/>
      <c r="Y416" s="101"/>
      <c r="Z416" s="100"/>
    </row>
    <row r="417" spans="24:26">
      <c r="X417" s="2"/>
      <c r="Y417" s="101"/>
      <c r="Z417" s="100"/>
    </row>
    <row r="418" spans="24:26">
      <c r="X418" s="2"/>
      <c r="Y418" s="101"/>
      <c r="Z418" s="100"/>
    </row>
    <row r="419" spans="24:26">
      <c r="X419" s="2"/>
      <c r="Y419" s="101"/>
      <c r="Z419" s="100"/>
    </row>
    <row r="420" spans="24:26">
      <c r="X420" s="2"/>
      <c r="Y420" s="101"/>
      <c r="Z420" s="100"/>
    </row>
    <row r="421" spans="24:26">
      <c r="X421" s="2"/>
      <c r="Y421" s="101"/>
      <c r="Z421" s="100"/>
    </row>
    <row r="422" spans="24:26">
      <c r="X422" s="2"/>
      <c r="Y422" s="101"/>
      <c r="Z422" s="100"/>
    </row>
    <row r="423" spans="24:26">
      <c r="X423" s="2"/>
      <c r="Y423" s="101"/>
      <c r="Z423" s="100"/>
    </row>
    <row r="424" spans="24:26">
      <c r="X424" s="2"/>
      <c r="Y424" s="101"/>
      <c r="Z424" s="100"/>
    </row>
    <row r="425" spans="24:26">
      <c r="X425" s="2"/>
      <c r="Y425" s="101"/>
      <c r="Z425" s="100"/>
    </row>
    <row r="426" spans="24:26">
      <c r="X426" s="2"/>
      <c r="Y426" s="101"/>
      <c r="Z426" s="100"/>
    </row>
    <row r="427" spans="24:26">
      <c r="X427" s="2"/>
      <c r="Y427" s="101"/>
      <c r="Z427" s="100"/>
    </row>
    <row r="428" spans="24:26">
      <c r="X428" s="2"/>
      <c r="Y428" s="101"/>
      <c r="Z428" s="100"/>
    </row>
    <row r="429" spans="24:26">
      <c r="X429" s="2"/>
      <c r="Y429" s="101"/>
      <c r="Z429" s="100"/>
    </row>
    <row r="430" spans="24:26">
      <c r="X430" s="2"/>
      <c r="Y430" s="101"/>
      <c r="Z430" s="100"/>
    </row>
    <row r="431" spans="24:26">
      <c r="X431" s="2"/>
      <c r="Y431" s="101"/>
      <c r="Z431" s="100"/>
    </row>
    <row r="432" spans="24:26">
      <c r="X432" s="2"/>
      <c r="Y432" s="101"/>
      <c r="Z432" s="100"/>
    </row>
    <row r="433" spans="24:26">
      <c r="X433" s="2"/>
      <c r="Y433" s="101"/>
      <c r="Z433" s="100"/>
    </row>
    <row r="434" spans="24:26">
      <c r="X434" s="2"/>
      <c r="Y434" s="101"/>
      <c r="Z434" s="100"/>
    </row>
    <row r="435" spans="24:26">
      <c r="X435" s="2"/>
      <c r="Y435" s="101"/>
      <c r="Z435" s="100"/>
    </row>
    <row r="436" spans="24:26">
      <c r="X436" s="2"/>
      <c r="Y436" s="101"/>
      <c r="Z436" s="100"/>
    </row>
    <row r="437" spans="24:26">
      <c r="X437" s="2"/>
      <c r="Y437" s="101"/>
      <c r="Z437" s="100"/>
    </row>
    <row r="438" spans="24:26">
      <c r="X438" s="2"/>
      <c r="Y438" s="101"/>
      <c r="Z438" s="100"/>
    </row>
    <row r="439" spans="24:26">
      <c r="X439" s="2"/>
      <c r="Y439" s="101"/>
      <c r="Z439" s="100"/>
    </row>
    <row r="440" spans="24:26">
      <c r="X440" s="2"/>
      <c r="Y440" s="101"/>
      <c r="Z440" s="100"/>
    </row>
    <row r="441" spans="24:26">
      <c r="X441" s="2"/>
      <c r="Y441" s="101"/>
      <c r="Z441" s="100"/>
    </row>
    <row r="442" spans="24:26">
      <c r="X442" s="2"/>
      <c r="Y442" s="101"/>
      <c r="Z442" s="100"/>
    </row>
    <row r="443" spans="24:26">
      <c r="X443" s="2"/>
      <c r="Y443" s="101"/>
      <c r="Z443" s="100"/>
    </row>
    <row r="444" spans="24:26">
      <c r="X444" s="2"/>
      <c r="Y444" s="101"/>
      <c r="Z444" s="100"/>
    </row>
    <row r="445" spans="24:26">
      <c r="X445" s="2"/>
      <c r="Y445" s="101"/>
      <c r="Z445" s="100"/>
    </row>
    <row r="446" spans="24:26">
      <c r="X446" s="2"/>
      <c r="Y446" s="101"/>
      <c r="Z446" s="100"/>
    </row>
    <row r="447" spans="24:26">
      <c r="X447" s="2"/>
      <c r="Y447" s="101"/>
      <c r="Z447" s="100"/>
    </row>
    <row r="448" spans="24:26">
      <c r="X448" s="2"/>
      <c r="Y448" s="101"/>
      <c r="Z448" s="100"/>
    </row>
    <row r="449" spans="24:26">
      <c r="X449" s="2"/>
      <c r="Y449" s="101"/>
      <c r="Z449" s="100"/>
    </row>
    <row r="450" spans="24:26">
      <c r="X450" s="2"/>
      <c r="Y450" s="101"/>
      <c r="Z450" s="100"/>
    </row>
    <row r="451" spans="24:26">
      <c r="X451" s="2"/>
      <c r="Y451" s="101"/>
      <c r="Z451" s="100"/>
    </row>
    <row r="452" spans="24:26">
      <c r="X452" s="2"/>
      <c r="Y452" s="101"/>
      <c r="Z452" s="100"/>
    </row>
    <row r="453" spans="24:26">
      <c r="X453" s="2"/>
      <c r="Y453" s="101"/>
      <c r="Z453" s="100"/>
    </row>
    <row r="454" spans="24:26">
      <c r="X454" s="2"/>
      <c r="Y454" s="101"/>
      <c r="Z454" s="100"/>
    </row>
    <row r="455" spans="24:26">
      <c r="X455" s="2"/>
      <c r="Y455" s="101"/>
      <c r="Z455" s="100"/>
    </row>
    <row r="456" spans="24:26">
      <c r="X456" s="2"/>
      <c r="Y456" s="101"/>
      <c r="Z456" s="100"/>
    </row>
    <row r="457" spans="24:26">
      <c r="X457" s="2"/>
      <c r="Y457" s="101"/>
      <c r="Z457" s="100"/>
    </row>
    <row r="458" spans="24:26">
      <c r="X458" s="2"/>
      <c r="Y458" s="101"/>
      <c r="Z458" s="100"/>
    </row>
    <row r="459" spans="24:26">
      <c r="X459" s="2"/>
      <c r="Y459" s="101"/>
      <c r="Z459" s="100"/>
    </row>
    <row r="460" spans="24:26">
      <c r="X460" s="2"/>
      <c r="Y460" s="101"/>
      <c r="Z460" s="100"/>
    </row>
    <row r="461" spans="24:26">
      <c r="X461" s="2"/>
      <c r="Y461" s="101"/>
      <c r="Z461" s="100"/>
    </row>
    <row r="462" spans="24:26">
      <c r="X462" s="2"/>
      <c r="Y462" s="101"/>
      <c r="Z462" s="100"/>
    </row>
    <row r="463" spans="24:26">
      <c r="X463" s="2"/>
      <c r="Y463" s="101"/>
      <c r="Z463" s="100"/>
    </row>
    <row r="464" spans="24:26">
      <c r="X464" s="2"/>
      <c r="Y464" s="101"/>
      <c r="Z464" s="100"/>
    </row>
    <row r="465" spans="24:26">
      <c r="X465" s="2"/>
      <c r="Y465" s="101"/>
      <c r="Z465" s="100"/>
    </row>
    <row r="466" spans="24:26">
      <c r="X466" s="2"/>
      <c r="Y466" s="101"/>
      <c r="Z466" s="100"/>
    </row>
    <row r="467" spans="24:26">
      <c r="X467" s="2"/>
      <c r="Y467" s="101"/>
      <c r="Z467" s="100"/>
    </row>
    <row r="468" spans="24:26">
      <c r="X468" s="2"/>
      <c r="Y468" s="101"/>
      <c r="Z468" s="100"/>
    </row>
    <row r="469" spans="24:26">
      <c r="X469" s="2"/>
      <c r="Y469" s="101"/>
      <c r="Z469" s="100"/>
    </row>
    <row r="470" spans="24:26">
      <c r="X470" s="2"/>
      <c r="Y470" s="101"/>
      <c r="Z470" s="100"/>
    </row>
    <row r="471" spans="24:26">
      <c r="X471" s="2"/>
      <c r="Y471" s="101"/>
      <c r="Z471" s="100"/>
    </row>
    <row r="472" spans="24:26">
      <c r="X472" s="2"/>
      <c r="Y472" s="101"/>
      <c r="Z472" s="100"/>
    </row>
    <row r="473" spans="24:26">
      <c r="X473" s="2"/>
      <c r="Y473" s="101"/>
      <c r="Z473" s="100"/>
    </row>
    <row r="474" spans="24:26">
      <c r="X474" s="2"/>
      <c r="Y474" s="101"/>
      <c r="Z474" s="100"/>
    </row>
    <row r="475" spans="24:26">
      <c r="X475" s="2"/>
      <c r="Y475" s="101"/>
      <c r="Z475" s="100"/>
    </row>
    <row r="476" spans="24:26">
      <c r="X476" s="2"/>
      <c r="Y476" s="101"/>
      <c r="Z476" s="100"/>
    </row>
    <row r="477" spans="24:26">
      <c r="X477" s="2"/>
      <c r="Y477" s="101"/>
      <c r="Z477" s="100"/>
    </row>
    <row r="478" spans="24:26">
      <c r="X478" s="2"/>
      <c r="Y478" s="101"/>
      <c r="Z478" s="100"/>
    </row>
    <row r="479" spans="24:26">
      <c r="X479" s="2"/>
      <c r="Y479" s="101"/>
      <c r="Z479" s="100"/>
    </row>
    <row r="480" spans="24:26">
      <c r="X480" s="2"/>
      <c r="Y480" s="101"/>
      <c r="Z480" s="100"/>
    </row>
    <row r="481" spans="24:26">
      <c r="X481" s="2"/>
      <c r="Y481" s="101"/>
      <c r="Z481" s="100"/>
    </row>
    <row r="482" spans="24:26">
      <c r="X482" s="2"/>
      <c r="Y482" s="101"/>
      <c r="Z482" s="100"/>
    </row>
    <row r="483" spans="24:26">
      <c r="X483" s="2"/>
      <c r="Y483" s="101"/>
      <c r="Z483" s="100"/>
    </row>
    <row r="484" spans="24:26">
      <c r="X484" s="2"/>
      <c r="Y484" s="101"/>
      <c r="Z484" s="100"/>
    </row>
    <row r="485" spans="24:26">
      <c r="X485" s="2"/>
      <c r="Y485" s="101"/>
      <c r="Z485" s="100"/>
    </row>
    <row r="486" spans="24:26">
      <c r="X486" s="2"/>
      <c r="Y486" s="101"/>
      <c r="Z486" s="100"/>
    </row>
    <row r="487" spans="24:26">
      <c r="X487" s="2"/>
      <c r="Y487" s="101"/>
      <c r="Z487" s="100"/>
    </row>
    <row r="488" spans="24:26">
      <c r="X488" s="2"/>
      <c r="Y488" s="101"/>
      <c r="Z488" s="100"/>
    </row>
    <row r="489" spans="24:26">
      <c r="X489" s="2"/>
      <c r="Y489" s="101"/>
      <c r="Z489" s="100"/>
    </row>
    <row r="490" spans="24:26">
      <c r="X490" s="2"/>
      <c r="Y490" s="101"/>
      <c r="Z490" s="100"/>
    </row>
    <row r="491" spans="24:26">
      <c r="X491" s="2"/>
      <c r="Y491" s="101"/>
      <c r="Z491" s="100"/>
    </row>
    <row r="492" spans="24:26">
      <c r="X492" s="2"/>
      <c r="Y492" s="101"/>
      <c r="Z492" s="100"/>
    </row>
    <row r="493" spans="24:26">
      <c r="X493" s="2"/>
      <c r="Y493" s="101"/>
      <c r="Z493" s="100"/>
    </row>
    <row r="494" spans="24:26">
      <c r="X494" s="2"/>
      <c r="Y494" s="101"/>
      <c r="Z494" s="100"/>
    </row>
    <row r="495" spans="24:26">
      <c r="X495" s="2"/>
      <c r="Y495" s="101"/>
      <c r="Z495" s="100"/>
    </row>
    <row r="496" spans="24:26">
      <c r="X496" s="2"/>
      <c r="Y496" s="101"/>
      <c r="Z496" s="100"/>
    </row>
    <row r="497" spans="24:26">
      <c r="X497" s="2"/>
      <c r="Y497" s="101"/>
      <c r="Z497" s="100"/>
    </row>
    <row r="498" spans="24:26">
      <c r="X498" s="2"/>
      <c r="Y498" s="101"/>
      <c r="Z498" s="100"/>
    </row>
    <row r="499" spans="24:26">
      <c r="X499" s="2"/>
      <c r="Y499" s="101"/>
      <c r="Z499" s="100"/>
    </row>
    <row r="500" spans="24:26">
      <c r="X500" s="2"/>
      <c r="Y500" s="101"/>
      <c r="Z500" s="100"/>
    </row>
    <row r="501" spans="24:26">
      <c r="X501" s="2"/>
      <c r="Y501" s="101"/>
      <c r="Z501" s="100"/>
    </row>
    <row r="502" spans="24:26">
      <c r="X502" s="2"/>
      <c r="Y502" s="101"/>
      <c r="Z502" s="100"/>
    </row>
    <row r="503" spans="24:26">
      <c r="X503" s="2"/>
      <c r="Y503" s="101"/>
      <c r="Z503" s="100"/>
    </row>
    <row r="504" spans="24:26">
      <c r="X504" s="2"/>
      <c r="Y504" s="101"/>
      <c r="Z504" s="100"/>
    </row>
    <row r="505" spans="24:26">
      <c r="X505" s="2"/>
      <c r="Y505" s="101"/>
      <c r="Z505" s="100"/>
    </row>
    <row r="506" spans="24:26">
      <c r="X506" s="2"/>
      <c r="Y506" s="101"/>
      <c r="Z506" s="100"/>
    </row>
    <row r="507" spans="24:26">
      <c r="X507" s="2"/>
      <c r="Y507" s="101"/>
      <c r="Z507" s="100"/>
    </row>
    <row r="508" spans="24:26">
      <c r="X508" s="2"/>
      <c r="Y508" s="101"/>
      <c r="Z508" s="100"/>
    </row>
    <row r="509" spans="24:26">
      <c r="X509" s="2"/>
      <c r="Y509" s="101"/>
      <c r="Z509" s="100"/>
    </row>
    <row r="510" spans="24:26">
      <c r="X510" s="2"/>
      <c r="Y510" s="101"/>
      <c r="Z510" s="100"/>
    </row>
    <row r="511" spans="24:26">
      <c r="X511" s="2"/>
      <c r="Y511" s="101"/>
      <c r="Z511" s="100"/>
    </row>
    <row r="512" spans="24:26">
      <c r="X512" s="2"/>
      <c r="Y512" s="101"/>
      <c r="Z512" s="100"/>
    </row>
    <row r="513" spans="24:26">
      <c r="X513" s="2"/>
      <c r="Y513" s="101"/>
      <c r="Z513" s="100"/>
    </row>
    <row r="514" spans="24:26">
      <c r="X514" s="2"/>
      <c r="Y514" s="101"/>
      <c r="Z514" s="100"/>
    </row>
    <row r="515" spans="24:26">
      <c r="X515" s="2"/>
      <c r="Y515" s="101"/>
      <c r="Z515" s="100"/>
    </row>
    <row r="516" spans="24:26">
      <c r="X516" s="2"/>
      <c r="Y516" s="101"/>
      <c r="Z516" s="100"/>
    </row>
    <row r="517" spans="24:26">
      <c r="X517" s="2"/>
      <c r="Y517" s="101"/>
      <c r="Z517" s="100"/>
    </row>
    <row r="518" spans="24:26">
      <c r="X518" s="2"/>
      <c r="Y518" s="101"/>
      <c r="Z518" s="100"/>
    </row>
    <row r="519" spans="24:26">
      <c r="X519" s="2"/>
      <c r="Y519" s="101"/>
      <c r="Z519" s="100"/>
    </row>
    <row r="520" spans="24:26">
      <c r="X520" s="2"/>
      <c r="Y520" s="101"/>
      <c r="Z520" s="100"/>
    </row>
    <row r="521" spans="24:26">
      <c r="X521" s="2"/>
      <c r="Y521" s="101"/>
      <c r="Z521" s="100"/>
    </row>
    <row r="522" spans="24:26">
      <c r="X522" s="2"/>
      <c r="Y522" s="101"/>
      <c r="Z522" s="100"/>
    </row>
    <row r="523" spans="24:26">
      <c r="X523" s="2"/>
      <c r="Y523" s="101"/>
      <c r="Z523" s="100"/>
    </row>
    <row r="524" spans="24:26">
      <c r="X524" s="2"/>
      <c r="Y524" s="101"/>
      <c r="Z524" s="100"/>
    </row>
    <row r="525" spans="24:26">
      <c r="X525" s="2"/>
      <c r="Y525" s="101"/>
      <c r="Z525" s="100"/>
    </row>
    <row r="526" spans="24:26">
      <c r="X526" s="2"/>
      <c r="Y526" s="101"/>
      <c r="Z526" s="100"/>
    </row>
    <row r="527" spans="24:26">
      <c r="X527" s="2"/>
      <c r="Y527" s="101"/>
      <c r="Z527" s="100"/>
    </row>
    <row r="528" spans="24:26">
      <c r="X528" s="2"/>
      <c r="Y528" s="101"/>
      <c r="Z528" s="100"/>
    </row>
    <row r="529" spans="24:26">
      <c r="X529" s="2"/>
      <c r="Y529" s="101"/>
      <c r="Z529" s="100"/>
    </row>
    <row r="530" spans="24:26">
      <c r="X530" s="2"/>
      <c r="Y530" s="101"/>
      <c r="Z530" s="100"/>
    </row>
    <row r="531" spans="24:26">
      <c r="X531" s="2"/>
      <c r="Y531" s="101"/>
      <c r="Z531" s="100"/>
    </row>
    <row r="532" spans="24:26">
      <c r="X532" s="2"/>
      <c r="Y532" s="101"/>
      <c r="Z532" s="100"/>
    </row>
    <row r="533" spans="24:26">
      <c r="X533" s="2"/>
      <c r="Y533" s="101"/>
      <c r="Z533" s="100"/>
    </row>
    <row r="534" spans="24:26">
      <c r="X534" s="2"/>
      <c r="Y534" s="101"/>
      <c r="Z534" s="100"/>
    </row>
    <row r="535" spans="24:26">
      <c r="X535" s="2"/>
      <c r="Y535" s="101"/>
      <c r="Z535" s="100"/>
    </row>
    <row r="536" spans="24:26">
      <c r="X536" s="2"/>
      <c r="Y536" s="101"/>
      <c r="Z536" s="100"/>
    </row>
    <row r="537" spans="24:26">
      <c r="X537" s="2"/>
      <c r="Y537" s="101"/>
      <c r="Z537" s="100"/>
    </row>
    <row r="538" spans="24:26">
      <c r="X538" s="2"/>
      <c r="Y538" s="101"/>
      <c r="Z538" s="100"/>
    </row>
    <row r="539" spans="24:26">
      <c r="X539" s="2"/>
      <c r="Y539" s="101"/>
      <c r="Z539" s="100"/>
    </row>
    <row r="540" spans="24:26">
      <c r="X540" s="2"/>
      <c r="Y540" s="101"/>
      <c r="Z540" s="100"/>
    </row>
    <row r="541" spans="24:26">
      <c r="X541" s="2"/>
      <c r="Y541" s="101"/>
      <c r="Z541" s="100"/>
    </row>
    <row r="542" spans="24:26">
      <c r="X542" s="2"/>
      <c r="Y542" s="101"/>
      <c r="Z542" s="100"/>
    </row>
    <row r="543" spans="24:26">
      <c r="X543" s="2"/>
      <c r="Y543" s="101"/>
      <c r="Z543" s="100"/>
    </row>
    <row r="544" spans="24:26">
      <c r="X544" s="2"/>
      <c r="Y544" s="101"/>
      <c r="Z544" s="100"/>
    </row>
    <row r="545" spans="24:26">
      <c r="X545" s="2"/>
      <c r="Y545" s="101"/>
      <c r="Z545" s="100"/>
    </row>
    <row r="546" spans="24:26">
      <c r="X546" s="2"/>
      <c r="Y546" s="101"/>
      <c r="Z546" s="100"/>
    </row>
    <row r="547" spans="24:26">
      <c r="X547" s="2"/>
      <c r="Y547" s="101"/>
      <c r="Z547" s="100"/>
    </row>
    <row r="548" spans="24:26">
      <c r="X548" s="2"/>
      <c r="Y548" s="101"/>
      <c r="Z548" s="100"/>
    </row>
    <row r="549" spans="24:26">
      <c r="X549" s="2"/>
      <c r="Y549" s="101"/>
      <c r="Z549" s="100"/>
    </row>
    <row r="550" spans="24:26">
      <c r="X550" s="2"/>
      <c r="Y550" s="101"/>
      <c r="Z550" s="100"/>
    </row>
    <row r="551" spans="24:26">
      <c r="X551" s="2"/>
      <c r="Y551" s="101"/>
      <c r="Z551" s="100"/>
    </row>
    <row r="552" spans="24:26">
      <c r="X552" s="2"/>
      <c r="Y552" s="101"/>
      <c r="Z552" s="100"/>
    </row>
    <row r="553" spans="24:26">
      <c r="X553" s="2"/>
      <c r="Y553" s="101"/>
      <c r="Z553" s="100"/>
    </row>
    <row r="554" spans="24:26">
      <c r="X554" s="2"/>
      <c r="Y554" s="101"/>
      <c r="Z554" s="100"/>
    </row>
    <row r="555" spans="24:26">
      <c r="X555" s="2"/>
      <c r="Y555" s="101"/>
      <c r="Z555" s="100"/>
    </row>
    <row r="556" spans="24:26">
      <c r="X556" s="2"/>
      <c r="Y556" s="101"/>
      <c r="Z556" s="100"/>
    </row>
    <row r="557" spans="24:26">
      <c r="X557" s="2"/>
      <c r="Y557" s="101"/>
      <c r="Z557" s="100"/>
    </row>
    <row r="558" spans="24:26">
      <c r="X558" s="2"/>
      <c r="Y558" s="101"/>
      <c r="Z558" s="100"/>
    </row>
    <row r="559" spans="24:26">
      <c r="X559" s="2"/>
      <c r="Y559" s="101"/>
      <c r="Z559" s="100"/>
    </row>
    <row r="560" spans="24:26">
      <c r="X560" s="2"/>
      <c r="Y560" s="101"/>
      <c r="Z560" s="100"/>
    </row>
    <row r="561" spans="24:26">
      <c r="X561" s="2"/>
      <c r="Y561" s="101"/>
      <c r="Z561" s="100"/>
    </row>
    <row r="562" spans="24:26">
      <c r="X562" s="2"/>
      <c r="Y562" s="101"/>
      <c r="Z562" s="100"/>
    </row>
    <row r="563" spans="24:26">
      <c r="X563" s="2"/>
      <c r="Y563" s="101"/>
      <c r="Z563" s="100"/>
    </row>
    <row r="564" spans="24:26">
      <c r="X564" s="2"/>
      <c r="Y564" s="101"/>
      <c r="Z564" s="100"/>
    </row>
    <row r="565" spans="24:26">
      <c r="X565" s="2"/>
      <c r="Y565" s="101"/>
      <c r="Z565" s="100"/>
    </row>
    <row r="566" spans="24:26">
      <c r="X566" s="2"/>
      <c r="Y566" s="101"/>
      <c r="Z566" s="100"/>
    </row>
    <row r="567" spans="24:26">
      <c r="X567" s="2"/>
      <c r="Y567" s="101"/>
      <c r="Z567" s="100"/>
    </row>
    <row r="568" spans="24:26">
      <c r="X568" s="2"/>
      <c r="Y568" s="101"/>
      <c r="Z568" s="100"/>
    </row>
    <row r="569" spans="24:26">
      <c r="X569" s="2"/>
      <c r="Y569" s="101"/>
      <c r="Z569" s="100"/>
    </row>
    <row r="570" spans="24:26">
      <c r="X570" s="2"/>
      <c r="Y570" s="101"/>
      <c r="Z570" s="100"/>
    </row>
    <row r="571" spans="24:26">
      <c r="X571" s="2"/>
      <c r="Y571" s="101"/>
      <c r="Z571" s="100"/>
    </row>
    <row r="572" spans="24:26">
      <c r="X572" s="2"/>
      <c r="Y572" s="101"/>
      <c r="Z572" s="100"/>
    </row>
    <row r="573" spans="24:26">
      <c r="X573" s="2"/>
      <c r="Y573" s="101"/>
      <c r="Z573" s="100"/>
    </row>
    <row r="574" spans="24:26">
      <c r="X574" s="2"/>
      <c r="Y574" s="101"/>
      <c r="Z574" s="100"/>
    </row>
    <row r="575" spans="24:26">
      <c r="X575" s="2"/>
      <c r="Y575" s="101"/>
      <c r="Z575" s="100"/>
    </row>
    <row r="576" spans="24:26">
      <c r="X576" s="2"/>
      <c r="Y576" s="101"/>
      <c r="Z576" s="100"/>
    </row>
    <row r="577" spans="24:26">
      <c r="X577" s="2"/>
      <c r="Y577" s="101"/>
      <c r="Z577" s="100"/>
    </row>
    <row r="578" spans="24:26">
      <c r="X578" s="2"/>
      <c r="Y578" s="101"/>
      <c r="Z578" s="100"/>
    </row>
    <row r="579" spans="24:26">
      <c r="X579" s="2"/>
      <c r="Y579" s="101"/>
      <c r="Z579" s="100"/>
    </row>
    <row r="580" spans="24:26">
      <c r="X580" s="2"/>
      <c r="Y580" s="101"/>
      <c r="Z580" s="100"/>
    </row>
    <row r="581" spans="24:26">
      <c r="X581" s="2"/>
      <c r="Y581" s="101"/>
      <c r="Z581" s="100"/>
    </row>
    <row r="582" spans="24:26">
      <c r="X582" s="2"/>
      <c r="Y582" s="101"/>
      <c r="Z582" s="100"/>
    </row>
    <row r="583" spans="24:26">
      <c r="X583" s="2"/>
      <c r="Y583" s="101"/>
      <c r="Z583" s="100"/>
    </row>
    <row r="584" spans="24:26">
      <c r="X584" s="2"/>
      <c r="Y584" s="101"/>
      <c r="Z584" s="100"/>
    </row>
    <row r="585" spans="24:26">
      <c r="X585" s="2"/>
      <c r="Y585" s="101"/>
      <c r="Z585" s="100"/>
    </row>
    <row r="586" spans="24:26">
      <c r="X586" s="2"/>
      <c r="Y586" s="101"/>
      <c r="Z586" s="100"/>
    </row>
    <row r="587" spans="24:26">
      <c r="X587" s="2"/>
      <c r="Y587" s="101"/>
      <c r="Z587" s="100"/>
    </row>
    <row r="588" spans="24:26">
      <c r="X588" s="2"/>
      <c r="Y588" s="101"/>
      <c r="Z588" s="100"/>
    </row>
    <row r="589" spans="24:26">
      <c r="X589" s="2"/>
      <c r="Y589" s="101"/>
      <c r="Z589" s="100"/>
    </row>
    <row r="590" spans="24:26">
      <c r="X590" s="2"/>
      <c r="Y590" s="101"/>
      <c r="Z590" s="100"/>
    </row>
    <row r="591" spans="24:26">
      <c r="X591" s="2"/>
      <c r="Y591" s="101"/>
      <c r="Z591" s="100"/>
    </row>
    <row r="592" spans="24:26">
      <c r="X592" s="2"/>
      <c r="Y592" s="101"/>
      <c r="Z592" s="100"/>
    </row>
    <row r="593" spans="24:26">
      <c r="X593" s="2"/>
      <c r="Y593" s="101"/>
      <c r="Z593" s="100"/>
    </row>
    <row r="594" spans="24:26">
      <c r="X594" s="2"/>
      <c r="Y594" s="101"/>
      <c r="Z594" s="100"/>
    </row>
    <row r="595" spans="24:26">
      <c r="X595" s="2"/>
      <c r="Y595" s="101"/>
      <c r="Z595" s="100"/>
    </row>
    <row r="596" spans="24:26">
      <c r="X596" s="2"/>
      <c r="Y596" s="101"/>
      <c r="Z596" s="100"/>
    </row>
    <row r="597" spans="24:26">
      <c r="X597" s="2"/>
      <c r="Y597" s="101"/>
      <c r="Z597" s="100"/>
    </row>
    <row r="598" spans="24:26">
      <c r="X598" s="2"/>
      <c r="Y598" s="101"/>
      <c r="Z598" s="100"/>
    </row>
    <row r="599" spans="24:26">
      <c r="X599" s="2"/>
      <c r="Y599" s="101"/>
      <c r="Z599" s="100"/>
    </row>
    <row r="600" spans="24:26">
      <c r="X600" s="2"/>
      <c r="Y600" s="101"/>
      <c r="Z600" s="100"/>
    </row>
    <row r="601" spans="24:26">
      <c r="X601" s="2"/>
      <c r="Y601" s="101"/>
      <c r="Z601" s="100"/>
    </row>
    <row r="602" spans="24:26">
      <c r="X602" s="2"/>
      <c r="Y602" s="101"/>
      <c r="Z602" s="100"/>
    </row>
    <row r="603" spans="24:26">
      <c r="X603" s="2"/>
      <c r="Y603" s="101"/>
      <c r="Z603" s="100"/>
    </row>
    <row r="604" spans="24:26">
      <c r="X604" s="2"/>
      <c r="Y604" s="101"/>
      <c r="Z604" s="100"/>
    </row>
    <row r="605" spans="24:26">
      <c r="X605" s="2"/>
      <c r="Y605" s="101"/>
      <c r="Z605" s="100"/>
    </row>
    <row r="606" spans="24:26">
      <c r="X606" s="2"/>
      <c r="Y606" s="101"/>
      <c r="Z606" s="100"/>
    </row>
    <row r="607" spans="24:26">
      <c r="X607" s="2"/>
      <c r="Y607" s="101"/>
      <c r="Z607" s="100"/>
    </row>
    <row r="608" spans="24:26">
      <c r="X608" s="2"/>
      <c r="Y608" s="101"/>
      <c r="Z608" s="100"/>
    </row>
    <row r="609" spans="24:26">
      <c r="X609" s="2"/>
      <c r="Y609" s="101"/>
      <c r="Z609" s="100"/>
    </row>
    <row r="610" spans="24:26">
      <c r="X610" s="2"/>
      <c r="Y610" s="101"/>
      <c r="Z610" s="100"/>
    </row>
    <row r="611" spans="24:26">
      <c r="X611" s="2"/>
      <c r="Y611" s="101"/>
      <c r="Z611" s="100"/>
    </row>
    <row r="612" spans="24:26">
      <c r="X612" s="2"/>
      <c r="Y612" s="101"/>
      <c r="Z612" s="100"/>
    </row>
    <row r="613" spans="24:26">
      <c r="X613" s="2"/>
      <c r="Y613" s="101"/>
      <c r="Z613" s="100"/>
    </row>
    <row r="614" spans="24:26">
      <c r="X614" s="2"/>
      <c r="Y614" s="101"/>
      <c r="Z614" s="100"/>
    </row>
    <row r="615" spans="24:26">
      <c r="X615" s="2"/>
      <c r="Y615" s="101"/>
      <c r="Z615" s="100"/>
    </row>
    <row r="616" spans="24:26">
      <c r="X616" s="2"/>
      <c r="Y616" s="101"/>
      <c r="Z616" s="100"/>
    </row>
    <row r="617" spans="24:26">
      <c r="X617" s="2"/>
      <c r="Y617" s="101"/>
      <c r="Z617" s="100"/>
    </row>
    <row r="618" spans="24:26">
      <c r="X618" s="2"/>
      <c r="Y618" s="101"/>
      <c r="Z618" s="100"/>
    </row>
    <row r="619" spans="24:26">
      <c r="X619" s="2"/>
      <c r="Y619" s="101"/>
      <c r="Z619" s="100"/>
    </row>
    <row r="620" spans="24:26">
      <c r="X620" s="2"/>
      <c r="Y620" s="101"/>
      <c r="Z620" s="100"/>
    </row>
    <row r="621" spans="24:26">
      <c r="X621" s="2"/>
      <c r="Y621" s="101"/>
      <c r="Z621" s="100"/>
    </row>
    <row r="622" spans="24:26">
      <c r="X622" s="2"/>
      <c r="Y622" s="101"/>
      <c r="Z622" s="100"/>
    </row>
    <row r="623" spans="24:26">
      <c r="X623" s="2"/>
      <c r="Y623" s="101"/>
      <c r="Z623" s="100"/>
    </row>
    <row r="624" spans="24:26">
      <c r="X624" s="2"/>
      <c r="Y624" s="101"/>
      <c r="Z624" s="100"/>
    </row>
    <row r="625" spans="24:26">
      <c r="X625" s="2"/>
      <c r="Y625" s="101"/>
      <c r="Z625" s="100"/>
    </row>
    <row r="626" spans="24:26">
      <c r="X626" s="2"/>
      <c r="Y626" s="101"/>
      <c r="Z626" s="100"/>
    </row>
    <row r="627" spans="24:26">
      <c r="X627" s="2"/>
      <c r="Y627" s="101"/>
      <c r="Z627" s="100"/>
    </row>
    <row r="628" spans="24:26">
      <c r="X628" s="2"/>
      <c r="Y628" s="101"/>
      <c r="Z628" s="100"/>
    </row>
    <row r="629" spans="24:26">
      <c r="X629" s="2"/>
      <c r="Y629" s="101"/>
      <c r="Z629" s="100"/>
    </row>
    <row r="630" spans="24:26">
      <c r="X630" s="2"/>
      <c r="Y630" s="101"/>
      <c r="Z630" s="100"/>
    </row>
    <row r="631" spans="24:26">
      <c r="X631" s="2"/>
      <c r="Y631" s="101"/>
      <c r="Z631" s="100"/>
    </row>
    <row r="632" spans="24:26">
      <c r="X632" s="2"/>
      <c r="Y632" s="101"/>
      <c r="Z632" s="100"/>
    </row>
    <row r="633" spans="24:26">
      <c r="X633" s="2"/>
      <c r="Y633" s="101"/>
      <c r="Z633" s="100"/>
    </row>
    <row r="634" spans="24:26">
      <c r="X634" s="2"/>
      <c r="Y634" s="101"/>
      <c r="Z634" s="100"/>
    </row>
    <row r="635" spans="24:26">
      <c r="X635" s="2"/>
      <c r="Y635" s="101"/>
      <c r="Z635" s="100"/>
    </row>
    <row r="636" spans="24:26">
      <c r="X636" s="2"/>
      <c r="Y636" s="101"/>
      <c r="Z636" s="100"/>
    </row>
    <row r="637" spans="24:26">
      <c r="X637" s="2"/>
      <c r="Y637" s="101"/>
      <c r="Z637" s="100"/>
    </row>
    <row r="638" spans="24:26">
      <c r="X638" s="2"/>
      <c r="Y638" s="101"/>
      <c r="Z638" s="100"/>
    </row>
    <row r="639" spans="24:26">
      <c r="X639" s="2"/>
      <c r="Y639" s="101"/>
      <c r="Z639" s="100"/>
    </row>
    <row r="640" spans="24:26">
      <c r="X640" s="2"/>
      <c r="Y640" s="101"/>
      <c r="Z640" s="100"/>
    </row>
    <row r="641" spans="24:26">
      <c r="X641" s="2"/>
      <c r="Y641" s="101"/>
      <c r="Z641" s="100"/>
    </row>
    <row r="642" spans="24:26">
      <c r="X642" s="2"/>
      <c r="Y642" s="101"/>
      <c r="Z642" s="100"/>
    </row>
    <row r="643" spans="24:26">
      <c r="X643" s="2"/>
      <c r="Y643" s="101"/>
      <c r="Z643" s="100"/>
    </row>
    <row r="644" spans="24:26">
      <c r="X644" s="2"/>
      <c r="Y644" s="101"/>
      <c r="Z644" s="100"/>
    </row>
    <row r="645" spans="24:26">
      <c r="X645" s="2"/>
      <c r="Y645" s="101"/>
      <c r="Z645" s="100"/>
    </row>
    <row r="646" spans="24:26">
      <c r="X646" s="2"/>
      <c r="Y646" s="101"/>
      <c r="Z646" s="100"/>
    </row>
    <row r="647" spans="24:26">
      <c r="X647" s="2"/>
      <c r="Y647" s="101"/>
      <c r="Z647" s="100"/>
    </row>
    <row r="648" spans="24:26">
      <c r="X648" s="2"/>
      <c r="Y648" s="101"/>
      <c r="Z648" s="100"/>
    </row>
    <row r="649" spans="24:26">
      <c r="X649" s="2"/>
      <c r="Y649" s="101"/>
      <c r="Z649" s="100"/>
    </row>
    <row r="650" spans="24:26">
      <c r="X650" s="2"/>
      <c r="Y650" s="101"/>
      <c r="Z650" s="100"/>
    </row>
    <row r="651" spans="24:26">
      <c r="X651" s="2"/>
      <c r="Y651" s="101"/>
      <c r="Z651" s="100"/>
    </row>
    <row r="652" spans="24:26">
      <c r="X652" s="2"/>
      <c r="Y652" s="101"/>
      <c r="Z652" s="100"/>
    </row>
    <row r="653" spans="24:26">
      <c r="X653" s="2"/>
      <c r="Y653" s="101"/>
      <c r="Z653" s="100"/>
    </row>
    <row r="654" spans="24:26">
      <c r="X654" s="2"/>
      <c r="Y654" s="101"/>
      <c r="Z654" s="100"/>
    </row>
    <row r="655" spans="24:26">
      <c r="X655" s="2"/>
      <c r="Y655" s="101"/>
      <c r="Z655" s="100"/>
    </row>
    <row r="656" spans="24:26">
      <c r="X656" s="2"/>
      <c r="Y656" s="101"/>
      <c r="Z656" s="100"/>
    </row>
    <row r="657" spans="24:26">
      <c r="X657" s="2"/>
      <c r="Y657" s="101"/>
      <c r="Z657" s="100"/>
    </row>
    <row r="658" spans="24:26">
      <c r="X658" s="2"/>
      <c r="Y658" s="101"/>
      <c r="Z658" s="100"/>
    </row>
    <row r="659" spans="24:26">
      <c r="X659" s="2"/>
      <c r="Y659" s="101"/>
      <c r="Z659" s="100"/>
    </row>
    <row r="660" spans="24:26">
      <c r="X660" s="2"/>
      <c r="Y660" s="101"/>
      <c r="Z660" s="100"/>
    </row>
    <row r="661" spans="24:26">
      <c r="X661" s="2"/>
      <c r="Y661" s="101"/>
      <c r="Z661" s="100"/>
    </row>
    <row r="662" spans="24:26">
      <c r="X662" s="2"/>
      <c r="Y662" s="101"/>
      <c r="Z662" s="100"/>
    </row>
    <row r="663" spans="24:26">
      <c r="X663" s="2"/>
      <c r="Y663" s="101"/>
      <c r="Z663" s="100"/>
    </row>
    <row r="664" spans="24:26">
      <c r="X664" s="2"/>
      <c r="Y664" s="101"/>
      <c r="Z664" s="100"/>
    </row>
    <row r="665" spans="24:26">
      <c r="X665" s="2"/>
      <c r="Y665" s="101"/>
      <c r="Z665" s="100"/>
    </row>
    <row r="666" spans="24:26">
      <c r="X666" s="2"/>
      <c r="Y666" s="101"/>
      <c r="Z666" s="100"/>
    </row>
    <row r="667" spans="24:26">
      <c r="X667" s="2"/>
      <c r="Y667" s="101"/>
      <c r="Z667" s="100"/>
    </row>
    <row r="668" spans="24:26">
      <c r="X668" s="2"/>
      <c r="Y668" s="101"/>
      <c r="Z668" s="100"/>
    </row>
    <row r="669" spans="24:26">
      <c r="X669" s="2"/>
      <c r="Y669" s="101"/>
      <c r="Z669" s="100"/>
    </row>
    <row r="670" spans="24:26">
      <c r="X670" s="2"/>
      <c r="Y670" s="101"/>
      <c r="Z670" s="100"/>
    </row>
    <row r="671" spans="24:26">
      <c r="X671" s="2"/>
      <c r="Y671" s="101"/>
      <c r="Z671" s="100"/>
    </row>
    <row r="672" spans="24:26">
      <c r="X672" s="2"/>
      <c r="Y672" s="101"/>
      <c r="Z672" s="100"/>
    </row>
    <row r="673" spans="24:26">
      <c r="X673" s="2"/>
      <c r="Y673" s="101"/>
      <c r="Z673" s="100"/>
    </row>
    <row r="674" spans="24:26">
      <c r="X674" s="2"/>
      <c r="Y674" s="101"/>
      <c r="Z674" s="100"/>
    </row>
    <row r="675" spans="24:26">
      <c r="X675" s="2"/>
      <c r="Y675" s="101"/>
      <c r="Z675" s="100"/>
    </row>
    <row r="676" spans="24:26">
      <c r="X676" s="2"/>
      <c r="Y676" s="101"/>
      <c r="Z676" s="100"/>
    </row>
    <row r="677" spans="24:26">
      <c r="X677" s="2"/>
      <c r="Y677" s="101"/>
      <c r="Z677" s="100"/>
    </row>
    <row r="678" spans="24:26">
      <c r="X678" s="2"/>
      <c r="Y678" s="101"/>
      <c r="Z678" s="100"/>
    </row>
    <row r="679" spans="24:26">
      <c r="X679" s="2"/>
      <c r="Y679" s="101"/>
      <c r="Z679" s="100"/>
    </row>
    <row r="680" spans="24:26">
      <c r="X680" s="2"/>
      <c r="Y680" s="101"/>
      <c r="Z680" s="100"/>
    </row>
    <row r="681" spans="24:26">
      <c r="X681" s="2"/>
      <c r="Y681" s="101"/>
      <c r="Z681" s="100"/>
    </row>
    <row r="682" spans="24:26">
      <c r="X682" s="2"/>
      <c r="Y682" s="101"/>
      <c r="Z682" s="100"/>
    </row>
    <row r="683" spans="24:26">
      <c r="X683" s="2"/>
      <c r="Y683" s="101"/>
      <c r="Z683" s="100"/>
    </row>
    <row r="684" spans="24:26">
      <c r="X684" s="2"/>
      <c r="Y684" s="101"/>
      <c r="Z684" s="100"/>
    </row>
    <row r="685" spans="24:26">
      <c r="X685" s="2"/>
      <c r="Y685" s="101"/>
      <c r="Z685" s="100"/>
    </row>
    <row r="686" spans="24:26">
      <c r="X686" s="2"/>
      <c r="Y686" s="101"/>
      <c r="Z686" s="100"/>
    </row>
    <row r="687" spans="24:26">
      <c r="X687" s="2"/>
      <c r="Y687" s="101"/>
      <c r="Z687" s="100"/>
    </row>
    <row r="688" spans="24:26">
      <c r="X688" s="2"/>
      <c r="Y688" s="101"/>
      <c r="Z688" s="100"/>
    </row>
    <row r="689" spans="24:26">
      <c r="X689" s="2"/>
      <c r="Y689" s="101"/>
      <c r="Z689" s="100"/>
    </row>
    <row r="690" spans="24:26">
      <c r="X690" s="2"/>
      <c r="Y690" s="101"/>
      <c r="Z690" s="100"/>
    </row>
    <row r="691" spans="24:26">
      <c r="X691" s="2"/>
      <c r="Y691" s="101"/>
      <c r="Z691" s="100"/>
    </row>
    <row r="692" spans="24:26">
      <c r="X692" s="2"/>
      <c r="Y692" s="101"/>
      <c r="Z692" s="100"/>
    </row>
    <row r="693" spans="24:26">
      <c r="X693" s="2"/>
      <c r="Y693" s="101"/>
      <c r="Z693" s="100"/>
    </row>
    <row r="694" spans="24:26">
      <c r="X694" s="2"/>
      <c r="Y694" s="101"/>
      <c r="Z694" s="100"/>
    </row>
    <row r="695" spans="24:26">
      <c r="X695" s="2"/>
      <c r="Y695" s="101"/>
      <c r="Z695" s="100"/>
    </row>
    <row r="696" spans="24:26">
      <c r="X696" s="2"/>
      <c r="Y696" s="101"/>
      <c r="Z696" s="100"/>
    </row>
    <row r="697" spans="24:26">
      <c r="X697" s="2"/>
      <c r="Y697" s="101"/>
      <c r="Z697" s="100"/>
    </row>
    <row r="698" spans="24:26">
      <c r="X698" s="2"/>
      <c r="Y698" s="101"/>
      <c r="Z698" s="100"/>
    </row>
    <row r="699" spans="24:26">
      <c r="X699" s="2"/>
      <c r="Y699" s="101"/>
      <c r="Z699" s="100"/>
    </row>
    <row r="700" spans="24:26">
      <c r="X700" s="2"/>
      <c r="Y700" s="101"/>
      <c r="Z700" s="100"/>
    </row>
    <row r="701" spans="24:26">
      <c r="X701" s="2"/>
      <c r="Y701" s="101"/>
      <c r="Z701" s="100"/>
    </row>
    <row r="702" spans="24:26">
      <c r="X702" s="2"/>
      <c r="Y702" s="101"/>
      <c r="Z702" s="100"/>
    </row>
    <row r="703" spans="24:26">
      <c r="X703" s="2"/>
      <c r="Y703" s="101"/>
      <c r="Z703" s="100"/>
    </row>
    <row r="704" spans="24:26">
      <c r="X704" s="2"/>
      <c r="Y704" s="101"/>
      <c r="Z704" s="100"/>
    </row>
    <row r="705" spans="24:26">
      <c r="X705" s="2"/>
      <c r="Y705" s="101"/>
      <c r="Z705" s="100"/>
    </row>
    <row r="706" spans="24:26">
      <c r="X706" s="2"/>
      <c r="Y706" s="101"/>
      <c r="Z706" s="100"/>
    </row>
    <row r="707" spans="24:26">
      <c r="X707" s="2"/>
      <c r="Y707" s="101"/>
      <c r="Z707" s="100"/>
    </row>
    <row r="708" spans="24:26">
      <c r="X708" s="2"/>
      <c r="Y708" s="101"/>
      <c r="Z708" s="100"/>
    </row>
    <row r="709" spans="24:26">
      <c r="X709" s="2"/>
      <c r="Y709" s="101"/>
      <c r="Z709" s="100"/>
    </row>
    <row r="710" spans="24:26">
      <c r="X710" s="2"/>
      <c r="Y710" s="101"/>
      <c r="Z710" s="100"/>
    </row>
    <row r="711" spans="24:26">
      <c r="X711" s="2"/>
      <c r="Y711" s="101"/>
      <c r="Z711" s="100"/>
    </row>
    <row r="712" spans="24:26">
      <c r="X712" s="2"/>
      <c r="Y712" s="101"/>
      <c r="Z712" s="100"/>
    </row>
    <row r="713" spans="24:26">
      <c r="X713" s="2"/>
      <c r="Y713" s="101"/>
      <c r="Z713" s="100"/>
    </row>
    <row r="714" spans="24:26">
      <c r="X714" s="2"/>
      <c r="Y714" s="101"/>
      <c r="Z714" s="100"/>
    </row>
    <row r="715" spans="24:26">
      <c r="X715" s="2"/>
      <c r="Y715" s="101"/>
      <c r="Z715" s="100"/>
    </row>
    <row r="716" spans="24:26">
      <c r="X716" s="2"/>
      <c r="Y716" s="101"/>
      <c r="Z716" s="100"/>
    </row>
    <row r="717" spans="24:26">
      <c r="X717" s="2"/>
      <c r="Y717" s="101"/>
      <c r="Z717" s="100"/>
    </row>
    <row r="718" spans="24:26">
      <c r="X718" s="2"/>
      <c r="Y718" s="101"/>
      <c r="Z718" s="100"/>
    </row>
    <row r="719" spans="24:26">
      <c r="X719" s="2"/>
      <c r="Y719" s="101"/>
      <c r="Z719" s="100"/>
    </row>
    <row r="720" spans="24:26">
      <c r="X720" s="2"/>
      <c r="Y720" s="101"/>
      <c r="Z720" s="100"/>
    </row>
    <row r="721" spans="24:26">
      <c r="X721" s="2"/>
      <c r="Y721" s="101"/>
      <c r="Z721" s="100"/>
    </row>
    <row r="722" spans="24:26">
      <c r="X722" s="2"/>
      <c r="Y722" s="101"/>
      <c r="Z722" s="100"/>
    </row>
    <row r="723" spans="24:26">
      <c r="X723" s="2"/>
      <c r="Y723" s="101"/>
      <c r="Z723" s="100"/>
    </row>
    <row r="724" spans="24:26">
      <c r="X724" s="2"/>
      <c r="Y724" s="101"/>
      <c r="Z724" s="100"/>
    </row>
    <row r="725" spans="24:26">
      <c r="X725" s="2"/>
      <c r="Y725" s="101"/>
      <c r="Z725" s="100"/>
    </row>
    <row r="726" spans="24:26">
      <c r="X726" s="2"/>
      <c r="Y726" s="101"/>
      <c r="Z726" s="100"/>
    </row>
    <row r="727" spans="24:26">
      <c r="X727" s="2"/>
      <c r="Y727" s="101"/>
      <c r="Z727" s="100"/>
    </row>
    <row r="728" spans="24:26">
      <c r="X728" s="2"/>
      <c r="Y728" s="101"/>
      <c r="Z728" s="100"/>
    </row>
    <row r="729" spans="24:26">
      <c r="X729" s="2"/>
      <c r="Y729" s="101"/>
      <c r="Z729" s="100"/>
    </row>
    <row r="730" spans="24:26">
      <c r="X730" s="2"/>
      <c r="Y730" s="101"/>
      <c r="Z730" s="100"/>
    </row>
    <row r="731" spans="24:26">
      <c r="X731" s="2"/>
      <c r="Y731" s="101"/>
      <c r="Z731" s="100"/>
    </row>
    <row r="732" spans="24:26">
      <c r="X732" s="2"/>
      <c r="Y732" s="101"/>
      <c r="Z732" s="100"/>
    </row>
    <row r="733" spans="24:26">
      <c r="X733" s="2"/>
      <c r="Y733" s="101"/>
      <c r="Z733" s="100"/>
    </row>
    <row r="734" spans="24:26">
      <c r="X734" s="2"/>
      <c r="Y734" s="101"/>
      <c r="Z734" s="100"/>
    </row>
    <row r="735" spans="24:26">
      <c r="X735" s="2"/>
      <c r="Y735" s="101"/>
      <c r="Z735" s="100"/>
    </row>
    <row r="736" spans="24:26">
      <c r="X736" s="2"/>
      <c r="Y736" s="101"/>
      <c r="Z736" s="100"/>
    </row>
    <row r="737" spans="24:26">
      <c r="X737" s="2"/>
      <c r="Y737" s="101"/>
      <c r="Z737" s="100"/>
    </row>
    <row r="738" spans="24:26">
      <c r="X738" s="2"/>
      <c r="Y738" s="101"/>
      <c r="Z738" s="100"/>
    </row>
    <row r="739" spans="24:26">
      <c r="X739" s="2"/>
      <c r="Y739" s="101"/>
      <c r="Z739" s="100"/>
    </row>
    <row r="740" spans="24:26">
      <c r="X740" s="2"/>
      <c r="Y740" s="101"/>
      <c r="Z740" s="100"/>
    </row>
    <row r="741" spans="24:26">
      <c r="X741" s="2"/>
      <c r="Y741" s="101"/>
      <c r="Z741" s="100"/>
    </row>
    <row r="742" spans="24:26">
      <c r="X742" s="2"/>
      <c r="Y742" s="101"/>
      <c r="Z742" s="100"/>
    </row>
    <row r="743" spans="24:26">
      <c r="X743" s="2"/>
      <c r="Y743" s="101"/>
      <c r="Z743" s="100"/>
    </row>
    <row r="744" spans="24:26">
      <c r="X744" s="2"/>
      <c r="Y744" s="101"/>
      <c r="Z744" s="100"/>
    </row>
    <row r="745" spans="24:26">
      <c r="X745" s="2"/>
      <c r="Y745" s="101"/>
      <c r="Z745" s="100"/>
    </row>
    <row r="746" spans="24:26">
      <c r="X746" s="2"/>
      <c r="Y746" s="101"/>
      <c r="Z746" s="100"/>
    </row>
    <row r="747" spans="24:26">
      <c r="X747" s="2"/>
      <c r="Y747" s="101"/>
      <c r="Z747" s="100"/>
    </row>
    <row r="748" spans="24:26">
      <c r="X748" s="2"/>
      <c r="Y748" s="101"/>
      <c r="Z748" s="100"/>
    </row>
    <row r="749" spans="24:26">
      <c r="X749" s="2"/>
      <c r="Y749" s="101"/>
      <c r="Z749" s="100"/>
    </row>
    <row r="750" spans="24:26">
      <c r="X750" s="2"/>
      <c r="Y750" s="101"/>
      <c r="Z750" s="100"/>
    </row>
    <row r="751" spans="24:26">
      <c r="X751" s="2"/>
      <c r="Y751" s="101"/>
      <c r="Z751" s="100"/>
    </row>
    <row r="752" spans="24:26">
      <c r="X752" s="2"/>
      <c r="Y752" s="101"/>
      <c r="Z752" s="100"/>
    </row>
    <row r="753" spans="24:26">
      <c r="X753" s="2"/>
      <c r="Y753" s="101"/>
      <c r="Z753" s="100"/>
    </row>
    <row r="754" spans="24:26">
      <c r="X754" s="2"/>
      <c r="Y754" s="101"/>
      <c r="Z754" s="100"/>
    </row>
    <row r="755" spans="24:26">
      <c r="X755" s="2"/>
      <c r="Y755" s="101"/>
      <c r="Z755" s="100"/>
    </row>
    <row r="756" spans="24:26">
      <c r="X756" s="2"/>
      <c r="Y756" s="101"/>
      <c r="Z756" s="100"/>
    </row>
    <row r="757" spans="24:26">
      <c r="X757" s="2"/>
      <c r="Y757" s="101"/>
      <c r="Z757" s="100"/>
    </row>
    <row r="758" spans="24:26">
      <c r="X758" s="2"/>
      <c r="Y758" s="101"/>
      <c r="Z758" s="100"/>
    </row>
    <row r="759" spans="24:26">
      <c r="X759" s="2"/>
      <c r="Y759" s="101"/>
      <c r="Z759" s="100"/>
    </row>
    <row r="760" spans="24:26">
      <c r="X760" s="2"/>
      <c r="Y760" s="101"/>
      <c r="Z760" s="100"/>
    </row>
    <row r="761" spans="24:26">
      <c r="X761" s="2"/>
      <c r="Y761" s="101"/>
      <c r="Z761" s="100"/>
    </row>
    <row r="762" spans="24:26">
      <c r="X762" s="2"/>
      <c r="Y762" s="101"/>
      <c r="Z762" s="100"/>
    </row>
    <row r="763" spans="24:26">
      <c r="X763" s="2"/>
      <c r="Y763" s="101"/>
      <c r="Z763" s="100"/>
    </row>
    <row r="764" spans="24:26">
      <c r="X764" s="2"/>
      <c r="Y764" s="101"/>
      <c r="Z764" s="100"/>
    </row>
    <row r="765" spans="24:26">
      <c r="X765" s="2"/>
      <c r="Y765" s="101"/>
      <c r="Z765" s="100"/>
    </row>
    <row r="766" spans="24:26">
      <c r="X766" s="2"/>
      <c r="Y766" s="101"/>
      <c r="Z766" s="100"/>
    </row>
    <row r="767" spans="24:26">
      <c r="X767" s="2"/>
      <c r="Y767" s="101"/>
      <c r="Z767" s="100"/>
    </row>
    <row r="768" spans="24:26">
      <c r="X768" s="2"/>
      <c r="Y768" s="101"/>
      <c r="Z768" s="100"/>
    </row>
    <row r="769" spans="24:26">
      <c r="X769" s="2"/>
      <c r="Y769" s="101"/>
      <c r="Z769" s="100"/>
    </row>
    <row r="770" spans="24:26">
      <c r="X770" s="2"/>
      <c r="Y770" s="101"/>
      <c r="Z770" s="100"/>
    </row>
    <row r="771" spans="24:26">
      <c r="X771" s="2"/>
      <c r="Y771" s="101"/>
      <c r="Z771" s="100"/>
    </row>
    <row r="772" spans="24:26">
      <c r="X772" s="2"/>
      <c r="Y772" s="101"/>
      <c r="Z772" s="100"/>
    </row>
    <row r="773" spans="24:26">
      <c r="X773" s="2"/>
      <c r="Y773" s="101"/>
      <c r="Z773" s="100"/>
    </row>
    <row r="774" spans="24:26">
      <c r="X774" s="2"/>
      <c r="Y774" s="101"/>
      <c r="Z774" s="100"/>
    </row>
    <row r="775" spans="24:26">
      <c r="X775" s="2"/>
      <c r="Y775" s="101"/>
      <c r="Z775" s="100"/>
    </row>
    <row r="776" spans="24:26">
      <c r="X776" s="2"/>
      <c r="Y776" s="101"/>
      <c r="Z776" s="100"/>
    </row>
    <row r="777" spans="24:26">
      <c r="X777" s="2"/>
      <c r="Y777" s="101"/>
      <c r="Z777" s="100"/>
    </row>
    <row r="778" spans="24:26">
      <c r="X778" s="2"/>
      <c r="Y778" s="101"/>
      <c r="Z778" s="100"/>
    </row>
    <row r="779" spans="24:26">
      <c r="X779" s="2"/>
      <c r="Y779" s="101"/>
      <c r="Z779" s="100"/>
    </row>
    <row r="780" spans="24:26">
      <c r="X780" s="2"/>
      <c r="Y780" s="101"/>
      <c r="Z780" s="100"/>
    </row>
    <row r="781" spans="24:26">
      <c r="X781" s="2"/>
      <c r="Y781" s="101"/>
      <c r="Z781" s="100"/>
    </row>
    <row r="782" spans="24:26">
      <c r="X782" s="2"/>
      <c r="Y782" s="101"/>
      <c r="Z782" s="100"/>
    </row>
    <row r="783" spans="24:26">
      <c r="X783" s="2"/>
      <c r="Y783" s="101"/>
      <c r="Z783" s="100"/>
    </row>
    <row r="784" spans="24:26">
      <c r="X784" s="2"/>
      <c r="Y784" s="101"/>
      <c r="Z784" s="100"/>
    </row>
    <row r="785" spans="24:26">
      <c r="X785" s="2"/>
      <c r="Y785" s="101"/>
      <c r="Z785" s="100"/>
    </row>
    <row r="786" spans="24:26">
      <c r="X786" s="2"/>
      <c r="Y786" s="101"/>
      <c r="Z786" s="100"/>
    </row>
    <row r="787" spans="24:26">
      <c r="X787" s="2"/>
      <c r="Y787" s="101"/>
      <c r="Z787" s="100"/>
    </row>
    <row r="788" spans="24:26">
      <c r="X788" s="2"/>
      <c r="Y788" s="101"/>
      <c r="Z788" s="100"/>
    </row>
    <row r="789" spans="24:26">
      <c r="X789" s="2"/>
      <c r="Y789" s="101"/>
      <c r="Z789" s="100"/>
    </row>
    <row r="790" spans="24:26">
      <c r="X790" s="2"/>
      <c r="Y790" s="101"/>
      <c r="Z790" s="100"/>
    </row>
    <row r="791" spans="24:26">
      <c r="X791" s="2"/>
      <c r="Y791" s="101"/>
      <c r="Z791" s="100"/>
    </row>
    <row r="792" spans="24:26">
      <c r="X792" s="2"/>
      <c r="Y792" s="101"/>
      <c r="Z792" s="100"/>
    </row>
    <row r="793" spans="24:26">
      <c r="X793" s="2"/>
      <c r="Y793" s="101"/>
      <c r="Z793" s="100"/>
    </row>
    <row r="794" spans="24:26">
      <c r="X794" s="2"/>
      <c r="Y794" s="101"/>
      <c r="Z794" s="100"/>
    </row>
    <row r="795" spans="24:26">
      <c r="X795" s="2"/>
      <c r="Y795" s="101"/>
      <c r="Z795" s="100"/>
    </row>
    <row r="796" spans="24:26">
      <c r="X796" s="2"/>
      <c r="Y796" s="101"/>
      <c r="Z796" s="100"/>
    </row>
    <row r="797" spans="24:26">
      <c r="X797" s="2"/>
      <c r="Y797" s="101"/>
      <c r="Z797" s="100"/>
    </row>
    <row r="798" spans="24:26">
      <c r="X798" s="2"/>
      <c r="Y798" s="101"/>
      <c r="Z798" s="100"/>
    </row>
    <row r="799" spans="24:26">
      <c r="X799" s="2"/>
      <c r="Y799" s="101"/>
      <c r="Z799" s="100"/>
    </row>
    <row r="800" spans="24:26">
      <c r="X800" s="2"/>
      <c r="Y800" s="101"/>
      <c r="Z800" s="100"/>
    </row>
    <row r="801" spans="24:26">
      <c r="X801" s="2"/>
      <c r="Y801" s="101"/>
      <c r="Z801" s="100"/>
    </row>
    <row r="802" spans="24:26">
      <c r="X802" s="2"/>
      <c r="Y802" s="101"/>
      <c r="Z802" s="100"/>
    </row>
    <row r="803" spans="24:26">
      <c r="X803" s="2"/>
      <c r="Y803" s="101"/>
      <c r="Z803" s="100"/>
    </row>
    <row r="804" spans="24:26">
      <c r="X804" s="2"/>
      <c r="Y804" s="101"/>
      <c r="Z804" s="100"/>
    </row>
    <row r="805" spans="24:26">
      <c r="X805" s="2"/>
      <c r="Y805" s="101"/>
      <c r="Z805" s="100"/>
    </row>
    <row r="806" spans="24:26">
      <c r="X806" s="2"/>
      <c r="Y806" s="101"/>
      <c r="Z806" s="100"/>
    </row>
    <row r="807" spans="24:26">
      <c r="X807" s="2"/>
      <c r="Y807" s="101"/>
      <c r="Z807" s="100"/>
    </row>
    <row r="808" spans="24:26">
      <c r="X808" s="2"/>
      <c r="Y808" s="101"/>
      <c r="Z808" s="100"/>
    </row>
    <row r="809" spans="24:26">
      <c r="X809" s="2"/>
      <c r="Y809" s="101"/>
      <c r="Z809" s="100"/>
    </row>
    <row r="810" spans="24:26">
      <c r="X810" s="2"/>
      <c r="Y810" s="101"/>
      <c r="Z810" s="100"/>
    </row>
    <row r="811" spans="24:26">
      <c r="X811" s="2"/>
      <c r="Y811" s="101"/>
      <c r="Z811" s="100"/>
    </row>
    <row r="812" spans="24:26">
      <c r="X812" s="2"/>
      <c r="Y812" s="101"/>
      <c r="Z812" s="100"/>
    </row>
    <row r="813" spans="24:26">
      <c r="X813" s="2"/>
      <c r="Y813" s="101"/>
      <c r="Z813" s="100"/>
    </row>
    <row r="814" spans="24:26">
      <c r="X814" s="2"/>
      <c r="Y814" s="101"/>
      <c r="Z814" s="100"/>
    </row>
    <row r="815" spans="24:26">
      <c r="X815" s="2"/>
      <c r="Y815" s="101"/>
      <c r="Z815" s="100"/>
    </row>
    <row r="816" spans="24:26">
      <c r="X816" s="2"/>
      <c r="Y816" s="101"/>
      <c r="Z816" s="100"/>
    </row>
    <row r="817" spans="24:26">
      <c r="X817" s="2"/>
      <c r="Y817" s="101"/>
      <c r="Z817" s="100"/>
    </row>
    <row r="818" spans="24:26">
      <c r="X818" s="2"/>
      <c r="Y818" s="101"/>
      <c r="Z818" s="100"/>
    </row>
    <row r="819" spans="24:26">
      <c r="X819" s="2"/>
      <c r="Y819" s="101"/>
      <c r="Z819" s="100"/>
    </row>
    <row r="820" spans="24:26">
      <c r="X820" s="2"/>
      <c r="Y820" s="101"/>
      <c r="Z820" s="100"/>
    </row>
    <row r="821" spans="24:26">
      <c r="X821" s="2"/>
      <c r="Y821" s="101"/>
      <c r="Z821" s="100"/>
    </row>
    <row r="822" spans="24:26">
      <c r="X822" s="2"/>
      <c r="Y822" s="101"/>
      <c r="Z822" s="100"/>
    </row>
    <row r="823" spans="24:26">
      <c r="X823" s="2"/>
      <c r="Y823" s="101"/>
      <c r="Z823" s="100"/>
    </row>
    <row r="824" spans="24:26">
      <c r="X824" s="2"/>
      <c r="Y824" s="101"/>
      <c r="Z824" s="100"/>
    </row>
    <row r="825" spans="24:26">
      <c r="X825" s="2"/>
      <c r="Y825" s="101"/>
      <c r="Z825" s="100"/>
    </row>
    <row r="826" spans="24:26">
      <c r="X826" s="2"/>
      <c r="Y826" s="101"/>
      <c r="Z826" s="100"/>
    </row>
    <row r="827" spans="24:26">
      <c r="X827" s="2"/>
      <c r="Y827" s="101"/>
      <c r="Z827" s="100"/>
    </row>
    <row r="828" spans="24:26">
      <c r="X828" s="2"/>
      <c r="Y828" s="101"/>
      <c r="Z828" s="100"/>
    </row>
    <row r="829" spans="24:26">
      <c r="X829" s="2"/>
      <c r="Y829" s="101"/>
      <c r="Z829" s="100"/>
    </row>
    <row r="830" spans="24:26">
      <c r="X830" s="2"/>
      <c r="Y830" s="101"/>
      <c r="Z830" s="100"/>
    </row>
    <row r="831" spans="24:26">
      <c r="X831" s="2"/>
      <c r="Y831" s="101"/>
      <c r="Z831" s="100"/>
    </row>
    <row r="832" spans="24:26">
      <c r="X832" s="2"/>
      <c r="Y832" s="101"/>
      <c r="Z832" s="100"/>
    </row>
    <row r="833" spans="24:26">
      <c r="X833" s="2"/>
      <c r="Y833" s="101"/>
      <c r="Z833" s="100"/>
    </row>
    <row r="834" spans="24:26">
      <c r="X834" s="2"/>
      <c r="Y834" s="101"/>
      <c r="Z834" s="100"/>
    </row>
    <row r="835" spans="24:26">
      <c r="X835" s="2"/>
      <c r="Y835" s="101"/>
      <c r="Z835" s="100"/>
    </row>
    <row r="836" spans="24:26">
      <c r="X836" s="2"/>
      <c r="Y836" s="101"/>
      <c r="Z836" s="100"/>
    </row>
    <row r="837" spans="24:26">
      <c r="X837" s="2"/>
      <c r="Y837" s="101"/>
      <c r="Z837" s="100"/>
    </row>
    <row r="838" spans="24:26">
      <c r="X838" s="2"/>
      <c r="Y838" s="101"/>
      <c r="Z838" s="100"/>
    </row>
    <row r="839" spans="24:26">
      <c r="X839" s="2"/>
      <c r="Y839" s="101"/>
      <c r="Z839" s="100"/>
    </row>
    <row r="840" spans="24:26">
      <c r="X840" s="2"/>
      <c r="Y840" s="101"/>
      <c r="Z840" s="100"/>
    </row>
    <row r="841" spans="24:26">
      <c r="X841" s="2"/>
      <c r="Y841" s="101"/>
      <c r="Z841" s="100"/>
    </row>
    <row r="842" spans="24:26">
      <c r="X842" s="2"/>
      <c r="Y842" s="101"/>
      <c r="Z842" s="100"/>
    </row>
    <row r="843" spans="24:26">
      <c r="X843" s="2"/>
      <c r="Y843" s="101"/>
      <c r="Z843" s="100"/>
    </row>
    <row r="844" spans="24:26">
      <c r="X844" s="2"/>
      <c r="Y844" s="101"/>
      <c r="Z844" s="100"/>
    </row>
    <row r="845" spans="24:26">
      <c r="X845" s="2"/>
      <c r="Y845" s="101"/>
      <c r="Z845" s="100"/>
    </row>
    <row r="846" spans="24:26">
      <c r="X846" s="2"/>
      <c r="Y846" s="101"/>
      <c r="Z846" s="100"/>
    </row>
    <row r="847" spans="24:26">
      <c r="X847" s="2"/>
      <c r="Y847" s="101"/>
      <c r="Z847" s="100"/>
    </row>
    <row r="848" spans="24:26">
      <c r="X848" s="2"/>
      <c r="Y848" s="101"/>
      <c r="Z848" s="100"/>
    </row>
    <row r="849" spans="24:26">
      <c r="X849" s="2"/>
      <c r="Y849" s="101"/>
      <c r="Z849" s="100"/>
    </row>
    <row r="850" spans="24:26">
      <c r="X850" s="2"/>
      <c r="Y850" s="101"/>
      <c r="Z850" s="100"/>
    </row>
    <row r="851" spans="24:26">
      <c r="X851" s="2"/>
      <c r="Y851" s="101"/>
      <c r="Z851" s="100"/>
    </row>
    <row r="852" spans="24:26">
      <c r="X852" s="2"/>
      <c r="Y852" s="101"/>
      <c r="Z852" s="100"/>
    </row>
    <row r="853" spans="24:26">
      <c r="X853" s="2"/>
      <c r="Y853" s="101"/>
      <c r="Z853" s="100"/>
    </row>
    <row r="854" spans="24:26">
      <c r="X854" s="2"/>
      <c r="Y854" s="101"/>
      <c r="Z854" s="100"/>
    </row>
    <row r="855" spans="24:26">
      <c r="X855" s="2"/>
      <c r="Y855" s="101"/>
      <c r="Z855" s="100"/>
    </row>
    <row r="856" spans="24:26">
      <c r="X856" s="2"/>
      <c r="Y856" s="101"/>
      <c r="Z856" s="100"/>
    </row>
    <row r="857" spans="24:26">
      <c r="X857" s="2"/>
      <c r="Y857" s="101"/>
      <c r="Z857" s="100"/>
    </row>
    <row r="858" spans="24:26">
      <c r="X858" s="2"/>
      <c r="Y858" s="101"/>
      <c r="Z858" s="100"/>
    </row>
    <row r="859" spans="24:26">
      <c r="X859" s="2"/>
      <c r="Y859" s="101"/>
      <c r="Z859" s="100"/>
    </row>
    <row r="860" spans="24:26">
      <c r="X860" s="2"/>
      <c r="Y860" s="101"/>
      <c r="Z860" s="100"/>
    </row>
    <row r="861" spans="24:26">
      <c r="X861" s="2"/>
      <c r="Y861" s="101"/>
      <c r="Z861" s="100"/>
    </row>
    <row r="862" spans="24:26">
      <c r="X862" s="2"/>
      <c r="Y862" s="101"/>
      <c r="Z862" s="100"/>
    </row>
    <row r="863" spans="24:26">
      <c r="X863" s="2"/>
      <c r="Y863" s="101"/>
      <c r="Z863" s="100"/>
    </row>
    <row r="864" spans="24:26">
      <c r="X864" s="2"/>
      <c r="Y864" s="101"/>
      <c r="Z864" s="100"/>
    </row>
    <row r="865" spans="24:26">
      <c r="X865" s="2"/>
      <c r="Y865" s="101"/>
      <c r="Z865" s="100"/>
    </row>
    <row r="866" spans="24:26">
      <c r="X866" s="2"/>
      <c r="Y866" s="101"/>
      <c r="Z866" s="100"/>
    </row>
    <row r="867" spans="24:26">
      <c r="X867" s="2"/>
      <c r="Y867" s="101"/>
      <c r="Z867" s="100"/>
    </row>
    <row r="868" spans="24:26">
      <c r="X868" s="2"/>
      <c r="Y868" s="101"/>
      <c r="Z868" s="100"/>
    </row>
    <row r="869" spans="24:26">
      <c r="X869" s="2"/>
      <c r="Y869" s="101"/>
      <c r="Z869" s="100"/>
    </row>
    <row r="870" spans="24:26">
      <c r="X870" s="2"/>
      <c r="Y870" s="101"/>
      <c r="Z870" s="100"/>
    </row>
    <row r="871" spans="24:26">
      <c r="X871" s="2"/>
      <c r="Y871" s="101"/>
      <c r="Z871" s="100"/>
    </row>
    <row r="872" spans="24:26">
      <c r="X872" s="2"/>
      <c r="Y872" s="101"/>
      <c r="Z872" s="100"/>
    </row>
    <row r="873" spans="24:26">
      <c r="X873" s="2"/>
      <c r="Y873" s="101"/>
      <c r="Z873" s="100"/>
    </row>
    <row r="874" spans="24:26">
      <c r="X874" s="2"/>
      <c r="Y874" s="101"/>
      <c r="Z874" s="100"/>
    </row>
    <row r="875" spans="24:26">
      <c r="X875" s="2"/>
      <c r="Y875" s="101"/>
      <c r="Z875" s="100"/>
    </row>
    <row r="876" spans="24:26">
      <c r="X876" s="2"/>
      <c r="Y876" s="101"/>
      <c r="Z876" s="100"/>
    </row>
    <row r="877" spans="24:26">
      <c r="X877" s="2"/>
      <c r="Y877" s="101"/>
      <c r="Z877" s="100"/>
    </row>
    <row r="878" spans="24:26">
      <c r="X878" s="2"/>
      <c r="Y878" s="101"/>
      <c r="Z878" s="100"/>
    </row>
    <row r="879" spans="24:26">
      <c r="X879" s="2"/>
      <c r="Y879" s="101"/>
      <c r="Z879" s="100"/>
    </row>
    <row r="880" spans="24:26">
      <c r="X880" s="2"/>
      <c r="Y880" s="101"/>
      <c r="Z880" s="100"/>
    </row>
    <row r="881" spans="24:26">
      <c r="X881" s="2"/>
      <c r="Y881" s="101"/>
      <c r="Z881" s="100"/>
    </row>
    <row r="882" spans="24:26">
      <c r="X882" s="2"/>
      <c r="Y882" s="101"/>
      <c r="Z882" s="100"/>
    </row>
    <row r="883" spans="24:26">
      <c r="X883" s="2"/>
      <c r="Y883" s="101"/>
      <c r="Z883" s="100"/>
    </row>
    <row r="884" spans="24:26">
      <c r="X884" s="2"/>
      <c r="Y884" s="101"/>
      <c r="Z884" s="100"/>
    </row>
    <row r="885" spans="24:26">
      <c r="X885" s="2"/>
      <c r="Y885" s="101"/>
      <c r="Z885" s="100"/>
    </row>
    <row r="886" spans="24:26">
      <c r="X886" s="2"/>
      <c r="Y886" s="101"/>
      <c r="Z886" s="100"/>
    </row>
    <row r="887" spans="24:26">
      <c r="X887" s="2"/>
      <c r="Y887" s="101"/>
      <c r="Z887" s="100"/>
    </row>
    <row r="888" spans="24:26">
      <c r="X888" s="2"/>
      <c r="Y888" s="101"/>
      <c r="Z888" s="100"/>
    </row>
    <row r="889" spans="24:26">
      <c r="X889" s="2"/>
      <c r="Y889" s="101"/>
      <c r="Z889" s="100"/>
    </row>
    <row r="890" spans="24:26">
      <c r="X890" s="2"/>
      <c r="Y890" s="101"/>
      <c r="Z890" s="100"/>
    </row>
    <row r="891" spans="24:26">
      <c r="X891" s="2"/>
      <c r="Y891" s="101"/>
      <c r="Z891" s="100"/>
    </row>
    <row r="892" spans="24:26">
      <c r="X892" s="2"/>
      <c r="Y892" s="101"/>
      <c r="Z892" s="100"/>
    </row>
    <row r="893" spans="24:26">
      <c r="X893" s="2"/>
      <c r="Y893" s="101"/>
      <c r="Z893" s="100"/>
    </row>
    <row r="894" spans="24:26">
      <c r="X894" s="2"/>
      <c r="Y894" s="101"/>
      <c r="Z894" s="100"/>
    </row>
    <row r="895" spans="24:26">
      <c r="X895" s="2"/>
      <c r="Y895" s="101"/>
      <c r="Z895" s="100"/>
    </row>
    <row r="896" spans="24:26">
      <c r="X896" s="2"/>
      <c r="Y896" s="101"/>
      <c r="Z896" s="100"/>
    </row>
    <row r="897" spans="24:26">
      <c r="X897" s="2"/>
      <c r="Y897" s="101"/>
      <c r="Z897" s="100"/>
    </row>
    <row r="898" spans="24:26">
      <c r="X898" s="2"/>
      <c r="Y898" s="101"/>
      <c r="Z898" s="100"/>
    </row>
    <row r="899" spans="24:26">
      <c r="X899" s="2"/>
      <c r="Y899" s="101"/>
      <c r="Z899" s="100"/>
    </row>
    <row r="900" spans="24:26">
      <c r="X900" s="2"/>
      <c r="Y900" s="101"/>
      <c r="Z900" s="100"/>
    </row>
    <row r="901" spans="24:26">
      <c r="X901" s="2"/>
      <c r="Y901" s="101"/>
      <c r="Z901" s="100"/>
    </row>
    <row r="902" spans="24:26">
      <c r="X902" s="2"/>
      <c r="Y902" s="101"/>
      <c r="Z902" s="100"/>
    </row>
    <row r="903" spans="24:26">
      <c r="X903" s="2"/>
      <c r="Y903" s="101"/>
      <c r="Z903" s="100"/>
    </row>
    <row r="904" spans="24:26">
      <c r="X904" s="2"/>
      <c r="Y904" s="101"/>
      <c r="Z904" s="100"/>
    </row>
    <row r="905" spans="24:26">
      <c r="X905" s="2"/>
      <c r="Y905" s="101"/>
      <c r="Z905" s="100"/>
    </row>
    <row r="906" spans="24:26">
      <c r="X906" s="2"/>
      <c r="Y906" s="101"/>
      <c r="Z906" s="100"/>
    </row>
    <row r="907" spans="24:26">
      <c r="X907" s="2"/>
      <c r="Y907" s="101"/>
      <c r="Z907" s="100"/>
    </row>
    <row r="908" spans="24:26">
      <c r="X908" s="2"/>
      <c r="Y908" s="101"/>
      <c r="Z908" s="100"/>
    </row>
    <row r="909" spans="24:26">
      <c r="X909" s="2"/>
      <c r="Y909" s="101"/>
      <c r="Z909" s="100"/>
    </row>
    <row r="910" spans="24:26">
      <c r="X910" s="2"/>
      <c r="Y910" s="101"/>
      <c r="Z910" s="100"/>
    </row>
    <row r="911" spans="24:26">
      <c r="X911" s="2"/>
      <c r="Y911" s="101"/>
      <c r="Z911" s="100"/>
    </row>
    <row r="912" spans="24:26">
      <c r="X912" s="2"/>
      <c r="Y912" s="101"/>
      <c r="Z912" s="100"/>
    </row>
    <row r="913" spans="24:26">
      <c r="X913" s="2"/>
      <c r="Y913" s="101"/>
      <c r="Z913" s="100"/>
    </row>
    <row r="914" spans="24:26">
      <c r="X914" s="2"/>
      <c r="Y914" s="101"/>
      <c r="Z914" s="100"/>
    </row>
    <row r="915" spans="24:26">
      <c r="X915" s="2"/>
      <c r="Y915" s="101"/>
      <c r="Z915" s="100"/>
    </row>
    <row r="916" spans="24:26">
      <c r="X916" s="2"/>
      <c r="Y916" s="101"/>
      <c r="Z916" s="100"/>
    </row>
    <row r="917" spans="24:26">
      <c r="X917" s="2"/>
      <c r="Y917" s="101"/>
      <c r="Z917" s="100"/>
    </row>
    <row r="918" spans="24:26">
      <c r="X918" s="2"/>
      <c r="Y918" s="101"/>
      <c r="Z918" s="100"/>
    </row>
    <row r="919" spans="24:26">
      <c r="X919" s="2"/>
      <c r="Y919" s="101"/>
      <c r="Z919" s="100"/>
    </row>
    <row r="920" spans="24:26">
      <c r="X920" s="2"/>
      <c r="Y920" s="101"/>
      <c r="Z920" s="100"/>
    </row>
    <row r="921" spans="24:26">
      <c r="X921" s="2"/>
      <c r="Y921" s="101"/>
      <c r="Z921" s="100"/>
    </row>
    <row r="922" spans="24:26">
      <c r="X922" s="2"/>
      <c r="Y922" s="101"/>
      <c r="Z922" s="100"/>
    </row>
    <row r="923" spans="24:26">
      <c r="X923" s="2"/>
      <c r="Y923" s="101"/>
      <c r="Z923" s="100"/>
    </row>
    <row r="924" spans="24:26">
      <c r="X924" s="2"/>
      <c r="Y924" s="101"/>
      <c r="Z924" s="100"/>
    </row>
    <row r="925" spans="24:26">
      <c r="X925" s="2"/>
      <c r="Y925" s="101"/>
      <c r="Z925" s="100"/>
    </row>
    <row r="926" spans="24:26">
      <c r="X926" s="2"/>
      <c r="Y926" s="101"/>
      <c r="Z926" s="100"/>
    </row>
    <row r="927" spans="24:26">
      <c r="X927" s="2"/>
      <c r="Y927" s="101"/>
      <c r="Z927" s="100"/>
    </row>
    <row r="928" spans="24:26">
      <c r="X928" s="2"/>
      <c r="Y928" s="101"/>
      <c r="Z928" s="100"/>
    </row>
    <row r="929" spans="24:26">
      <c r="X929" s="2"/>
      <c r="Y929" s="101"/>
      <c r="Z929" s="100"/>
    </row>
    <row r="930" spans="24:26">
      <c r="X930" s="2"/>
      <c r="Y930" s="101"/>
      <c r="Z930" s="100"/>
    </row>
    <row r="931" spans="24:26">
      <c r="X931" s="2"/>
      <c r="Y931" s="101"/>
      <c r="Z931" s="100"/>
    </row>
    <row r="932" spans="24:26">
      <c r="X932" s="2"/>
      <c r="Y932" s="101"/>
      <c r="Z932" s="100"/>
    </row>
    <row r="933" spans="24:26">
      <c r="X933" s="2"/>
      <c r="Y933" s="101"/>
      <c r="Z933" s="100"/>
    </row>
    <row r="934" spans="24:26">
      <c r="X934" s="2"/>
      <c r="Y934" s="101"/>
      <c r="Z934" s="100"/>
    </row>
    <row r="935" spans="24:26">
      <c r="X935" s="2"/>
      <c r="Y935" s="101"/>
      <c r="Z935" s="100"/>
    </row>
    <row r="936" spans="24:26">
      <c r="X936" s="2"/>
      <c r="Y936" s="101"/>
      <c r="Z936" s="100"/>
    </row>
    <row r="937" spans="24:26">
      <c r="X937" s="2"/>
      <c r="Y937" s="101"/>
      <c r="Z937" s="100"/>
    </row>
    <row r="938" spans="24:26">
      <c r="X938" s="2"/>
      <c r="Y938" s="101"/>
      <c r="Z938" s="100"/>
    </row>
    <row r="939" spans="24:26">
      <c r="X939" s="2"/>
      <c r="Y939" s="101"/>
      <c r="Z939" s="100"/>
    </row>
    <row r="940" spans="24:26">
      <c r="X940" s="2"/>
      <c r="Y940" s="101"/>
      <c r="Z940" s="100"/>
    </row>
    <row r="941" spans="24:26">
      <c r="X941" s="2"/>
      <c r="Y941" s="101"/>
      <c r="Z941" s="100"/>
    </row>
    <row r="942" spans="24:26">
      <c r="X942" s="2"/>
      <c r="Y942" s="101"/>
      <c r="Z942" s="100"/>
    </row>
    <row r="943" spans="24:26">
      <c r="X943" s="2"/>
      <c r="Y943" s="101"/>
      <c r="Z943" s="100"/>
    </row>
    <row r="944" spans="24:26">
      <c r="X944" s="2"/>
      <c r="Y944" s="101"/>
      <c r="Z944" s="100"/>
    </row>
    <row r="945" spans="24:26">
      <c r="X945" s="2"/>
      <c r="Y945" s="101"/>
      <c r="Z945" s="100"/>
    </row>
    <row r="946" spans="24:26">
      <c r="X946" s="2"/>
      <c r="Y946" s="101"/>
      <c r="Z946" s="100"/>
    </row>
    <row r="947" spans="24:26">
      <c r="X947" s="2"/>
      <c r="Y947" s="101"/>
      <c r="Z947" s="100"/>
    </row>
    <row r="948" spans="24:26">
      <c r="X948" s="2"/>
      <c r="Y948" s="101"/>
      <c r="Z948" s="100"/>
    </row>
    <row r="949" spans="24:26">
      <c r="X949" s="2"/>
      <c r="Y949" s="101"/>
      <c r="Z949" s="100"/>
    </row>
    <row r="950" spans="24:26">
      <c r="X950" s="2"/>
      <c r="Y950" s="101"/>
      <c r="Z950" s="100"/>
    </row>
    <row r="951" spans="24:26">
      <c r="X951" s="2"/>
      <c r="Y951" s="101"/>
      <c r="Z951" s="100"/>
    </row>
    <row r="952" spans="24:26">
      <c r="X952" s="2"/>
      <c r="Y952" s="101"/>
      <c r="Z952" s="100"/>
    </row>
    <row r="953" spans="24:26">
      <c r="X953" s="2"/>
      <c r="Y953" s="101"/>
      <c r="Z953" s="100"/>
    </row>
    <row r="954" spans="24:26">
      <c r="X954" s="2"/>
      <c r="Y954" s="101"/>
      <c r="Z954" s="100"/>
    </row>
    <row r="955" spans="24:26">
      <c r="X955" s="2"/>
      <c r="Y955" s="101"/>
      <c r="Z955" s="100"/>
    </row>
    <row r="956" spans="24:26">
      <c r="X956" s="2"/>
      <c r="Y956" s="101"/>
      <c r="Z956" s="100"/>
    </row>
    <row r="957" spans="24:26">
      <c r="X957" s="2"/>
      <c r="Y957" s="101"/>
      <c r="Z957" s="100"/>
    </row>
    <row r="958" spans="24:26">
      <c r="X958" s="2"/>
      <c r="Y958" s="101"/>
      <c r="Z958" s="100"/>
    </row>
    <row r="959" spans="24:26">
      <c r="X959" s="2"/>
      <c r="Y959" s="101"/>
      <c r="Z959" s="100"/>
    </row>
    <row r="960" spans="24:26">
      <c r="X960" s="2"/>
      <c r="Y960" s="101"/>
      <c r="Z960" s="100"/>
    </row>
    <row r="961" spans="24:26">
      <c r="X961" s="2"/>
      <c r="Y961" s="101"/>
      <c r="Z961" s="100"/>
    </row>
    <row r="962" spans="24:26">
      <c r="X962" s="2"/>
      <c r="Y962" s="101"/>
      <c r="Z962" s="100"/>
    </row>
    <row r="963" spans="24:26">
      <c r="X963" s="2"/>
      <c r="Y963" s="101"/>
      <c r="Z963" s="100"/>
    </row>
    <row r="964" spans="24:26">
      <c r="X964" s="2"/>
      <c r="Y964" s="101"/>
      <c r="Z964" s="100"/>
    </row>
    <row r="965" spans="24:26">
      <c r="X965" s="2"/>
      <c r="Y965" s="101"/>
      <c r="Z965" s="100"/>
    </row>
    <row r="966" spans="24:26">
      <c r="X966" s="2"/>
      <c r="Y966" s="101"/>
      <c r="Z966" s="100"/>
    </row>
    <row r="967" spans="24:26">
      <c r="X967" s="2"/>
      <c r="Y967" s="101"/>
      <c r="Z967" s="100"/>
    </row>
    <row r="968" spans="24:26">
      <c r="X968" s="2"/>
      <c r="Y968" s="101"/>
      <c r="Z968" s="100"/>
    </row>
    <row r="969" spans="24:26">
      <c r="X969" s="2"/>
      <c r="Y969" s="101"/>
      <c r="Z969" s="100"/>
    </row>
    <row r="970" spans="24:26">
      <c r="X970" s="2"/>
      <c r="Y970" s="101"/>
      <c r="Z970" s="100"/>
    </row>
    <row r="971" spans="24:26">
      <c r="X971" s="2"/>
      <c r="Y971" s="101"/>
      <c r="Z971" s="100"/>
    </row>
    <row r="972" spans="24:26">
      <c r="X972" s="2"/>
      <c r="Y972" s="101"/>
      <c r="Z972" s="100"/>
    </row>
    <row r="973" spans="24:26">
      <c r="X973" s="2"/>
      <c r="Y973" s="101"/>
      <c r="Z973" s="100"/>
    </row>
    <row r="974" spans="24:26">
      <c r="X974" s="2"/>
      <c r="Y974" s="101"/>
      <c r="Z974" s="100"/>
    </row>
    <row r="975" spans="24:26">
      <c r="X975" s="2"/>
      <c r="Y975" s="101"/>
      <c r="Z975" s="100"/>
    </row>
    <row r="976" spans="24:26">
      <c r="X976" s="2"/>
      <c r="Y976" s="101"/>
      <c r="Z976" s="100"/>
    </row>
    <row r="977" spans="24:26">
      <c r="X977" s="2"/>
      <c r="Y977" s="101"/>
      <c r="Z977" s="100"/>
    </row>
    <row r="978" spans="24:26">
      <c r="X978" s="2"/>
      <c r="Y978" s="101"/>
      <c r="Z978" s="100"/>
    </row>
    <row r="979" spans="24:26">
      <c r="X979" s="2"/>
      <c r="Y979" s="101"/>
      <c r="Z979" s="100"/>
    </row>
    <row r="980" spans="24:26">
      <c r="X980" s="2"/>
      <c r="Y980" s="101"/>
      <c r="Z980" s="100"/>
    </row>
    <row r="981" spans="24:26">
      <c r="X981" s="2"/>
      <c r="Y981" s="101"/>
      <c r="Z981" s="100"/>
    </row>
    <row r="982" spans="24:26">
      <c r="X982" s="2"/>
      <c r="Y982" s="101"/>
      <c r="Z982" s="100"/>
    </row>
    <row r="983" spans="24:26">
      <c r="X983" s="2"/>
      <c r="Y983" s="101"/>
      <c r="Z983" s="100"/>
    </row>
    <row r="984" spans="24:26">
      <c r="X984" s="2"/>
      <c r="Y984" s="101"/>
      <c r="Z984" s="100"/>
    </row>
    <row r="985" spans="24:26">
      <c r="X985" s="2"/>
      <c r="Y985" s="101"/>
      <c r="Z985" s="100"/>
    </row>
    <row r="986" spans="24:26">
      <c r="X986" s="2"/>
      <c r="Y986" s="101"/>
      <c r="Z986" s="100"/>
    </row>
    <row r="987" spans="24:26">
      <c r="X987" s="2"/>
      <c r="Y987" s="101"/>
      <c r="Z987" s="100"/>
    </row>
    <row r="988" spans="24:26">
      <c r="X988" s="2"/>
      <c r="Y988" s="101"/>
      <c r="Z988" s="100"/>
    </row>
    <row r="989" spans="24:26">
      <c r="X989" s="2"/>
      <c r="Y989" s="101"/>
      <c r="Z989" s="100"/>
    </row>
    <row r="990" spans="24:26">
      <c r="X990" s="2"/>
      <c r="Y990" s="101"/>
      <c r="Z990" s="100"/>
    </row>
    <row r="991" spans="24:26">
      <c r="X991" s="2"/>
      <c r="Y991" s="101"/>
      <c r="Z991" s="100"/>
    </row>
    <row r="992" spans="24:26">
      <c r="X992" s="2"/>
      <c r="Y992" s="101"/>
      <c r="Z992" s="100"/>
    </row>
    <row r="993" spans="24:26">
      <c r="X993" s="2"/>
      <c r="Y993" s="101"/>
      <c r="Z993" s="100"/>
    </row>
    <row r="994" spans="24:26">
      <c r="X994" s="2"/>
      <c r="Y994" s="101"/>
      <c r="Z994" s="100"/>
    </row>
    <row r="995" spans="24:26">
      <c r="X995" s="2"/>
      <c r="Y995" s="101"/>
      <c r="Z995" s="100"/>
    </row>
    <row r="996" spans="24:26">
      <c r="X996" s="2"/>
      <c r="Y996" s="101"/>
      <c r="Z996" s="100"/>
    </row>
    <row r="997" spans="24:26">
      <c r="X997" s="2"/>
      <c r="Y997" s="101"/>
      <c r="Z997" s="100"/>
    </row>
    <row r="998" spans="24:26">
      <c r="X998" s="2"/>
      <c r="Y998" s="101"/>
      <c r="Z998" s="100"/>
    </row>
    <row r="999" spans="24:26">
      <c r="X999" s="2"/>
      <c r="Y999" s="101"/>
      <c r="Z999" s="100"/>
    </row>
    <row r="1000" spans="24:26">
      <c r="X1000" s="2"/>
      <c r="Y1000" s="101"/>
      <c r="Z1000" s="100"/>
    </row>
    <row r="1001" spans="24:26">
      <c r="X1001" s="2"/>
      <c r="Y1001" s="101"/>
      <c r="Z1001" s="100"/>
    </row>
    <row r="1002" spans="24:26">
      <c r="X1002" s="2"/>
      <c r="Y1002" s="101"/>
      <c r="Z1002" s="100"/>
    </row>
    <row r="1003" spans="24:26">
      <c r="X1003" s="2"/>
      <c r="Y1003" s="101"/>
      <c r="Z1003" s="100"/>
    </row>
    <row r="1004" spans="24:26">
      <c r="X1004" s="2"/>
      <c r="Y1004" s="101"/>
      <c r="Z1004" s="100"/>
    </row>
    <row r="1005" spans="24:26">
      <c r="X1005" s="2"/>
      <c r="Y1005" s="101"/>
      <c r="Z1005" s="100"/>
    </row>
    <row r="1006" spans="24:26">
      <c r="X1006" s="2"/>
      <c r="Y1006" s="101"/>
      <c r="Z1006" s="100"/>
    </row>
    <row r="1007" spans="24:26">
      <c r="X1007" s="2"/>
      <c r="Y1007" s="101"/>
      <c r="Z1007" s="100"/>
    </row>
    <row r="1008" spans="24:26">
      <c r="X1008" s="2"/>
      <c r="Y1008" s="101"/>
      <c r="Z1008" s="100"/>
    </row>
    <row r="1009" spans="24:26">
      <c r="X1009" s="2"/>
      <c r="Y1009" s="101"/>
      <c r="Z1009" s="100"/>
    </row>
    <row r="1010" spans="24:26">
      <c r="X1010" s="2"/>
      <c r="Y1010" s="101"/>
      <c r="Z1010" s="100"/>
    </row>
    <row r="1011" spans="24:26">
      <c r="X1011" s="2"/>
      <c r="Y1011" s="101"/>
      <c r="Z1011" s="100"/>
    </row>
    <row r="1012" spans="24:26">
      <c r="X1012" s="2"/>
      <c r="Y1012" s="101"/>
      <c r="Z1012" s="100"/>
    </row>
    <row r="1013" spans="24:26">
      <c r="X1013" s="2"/>
      <c r="Y1013" s="101"/>
      <c r="Z1013" s="100"/>
    </row>
    <row r="1014" spans="24:26">
      <c r="X1014" s="2"/>
      <c r="Y1014" s="101"/>
      <c r="Z1014" s="100"/>
    </row>
    <row r="1015" spans="24:26">
      <c r="X1015" s="2"/>
      <c r="Y1015" s="101"/>
      <c r="Z1015" s="100"/>
    </row>
    <row r="1016" spans="24:26">
      <c r="X1016" s="2"/>
      <c r="Y1016" s="101"/>
      <c r="Z1016" s="100"/>
    </row>
    <row r="1017" spans="24:26">
      <c r="X1017" s="2"/>
      <c r="Y1017" s="101"/>
      <c r="Z1017" s="100"/>
    </row>
    <row r="1018" spans="24:26">
      <c r="X1018" s="2"/>
      <c r="Y1018" s="101"/>
      <c r="Z1018" s="100"/>
    </row>
    <row r="1019" spans="24:26">
      <c r="X1019" s="2"/>
      <c r="Y1019" s="101"/>
      <c r="Z1019" s="100"/>
    </row>
    <row r="1020" spans="24:26">
      <c r="X1020" s="2"/>
      <c r="Y1020" s="101"/>
      <c r="Z1020" s="100"/>
    </row>
    <row r="1021" spans="24:26">
      <c r="X1021" s="2"/>
      <c r="Y1021" s="101"/>
      <c r="Z1021" s="100"/>
    </row>
    <row r="1022" spans="24:26">
      <c r="X1022" s="2"/>
      <c r="Y1022" s="101"/>
      <c r="Z1022" s="100"/>
    </row>
    <row r="1023" spans="24:26">
      <c r="X1023" s="2"/>
      <c r="Y1023" s="101"/>
      <c r="Z1023" s="100"/>
    </row>
    <row r="1024" spans="24:26">
      <c r="X1024" s="2"/>
      <c r="Y1024" s="101"/>
      <c r="Z1024" s="100"/>
    </row>
    <row r="1025" spans="24:26">
      <c r="X1025" s="2"/>
      <c r="Y1025" s="101"/>
      <c r="Z1025" s="100"/>
    </row>
    <row r="1026" spans="24:26">
      <c r="X1026" s="2"/>
      <c r="Y1026" s="101"/>
      <c r="Z1026" s="100"/>
    </row>
    <row r="1027" spans="24:26">
      <c r="X1027" s="2"/>
      <c r="Y1027" s="101"/>
      <c r="Z1027" s="100"/>
    </row>
    <row r="1028" spans="24:26">
      <c r="X1028" s="2"/>
      <c r="Y1028" s="101"/>
      <c r="Z1028" s="100"/>
    </row>
    <row r="1029" spans="24:26">
      <c r="X1029" s="2"/>
      <c r="Y1029" s="101"/>
      <c r="Z1029" s="100"/>
    </row>
    <row r="1030" spans="24:26">
      <c r="X1030" s="2"/>
      <c r="Y1030" s="101"/>
      <c r="Z1030" s="100"/>
    </row>
    <row r="1031" spans="24:26">
      <c r="X1031" s="2"/>
      <c r="Y1031" s="101"/>
      <c r="Z1031" s="100"/>
    </row>
    <row r="1032" spans="24:26">
      <c r="X1032" s="2"/>
      <c r="Y1032" s="101"/>
      <c r="Z1032" s="100"/>
    </row>
    <row r="1033" spans="24:26">
      <c r="X1033" s="2"/>
      <c r="Y1033" s="101"/>
      <c r="Z1033" s="100"/>
    </row>
    <row r="1034" spans="24:26">
      <c r="X1034" s="2"/>
      <c r="Y1034" s="101"/>
      <c r="Z1034" s="100"/>
    </row>
    <row r="1035" spans="24:26">
      <c r="X1035" s="2"/>
      <c r="Y1035" s="101"/>
      <c r="Z1035" s="100"/>
    </row>
    <row r="1036" spans="24:26">
      <c r="X1036" s="2"/>
      <c r="Y1036" s="101"/>
      <c r="Z1036" s="100"/>
    </row>
    <row r="1037" spans="24:26">
      <c r="X1037" s="2"/>
      <c r="Y1037" s="101"/>
      <c r="Z1037" s="100"/>
    </row>
    <row r="1038" spans="24:26">
      <c r="X1038" s="2"/>
      <c r="Y1038" s="101"/>
      <c r="Z1038" s="100"/>
    </row>
    <row r="1039" spans="24:26">
      <c r="X1039" s="2"/>
      <c r="Y1039" s="101"/>
      <c r="Z1039" s="100"/>
    </row>
    <row r="1040" spans="24:26">
      <c r="X1040" s="2"/>
      <c r="Y1040" s="101"/>
      <c r="Z1040" s="100"/>
    </row>
    <row r="1041" spans="24:26">
      <c r="X1041" s="2"/>
      <c r="Y1041" s="101"/>
      <c r="Z1041" s="100"/>
    </row>
    <row r="1042" spans="24:26">
      <c r="X1042" s="2"/>
      <c r="Y1042" s="101"/>
      <c r="Z1042" s="100"/>
    </row>
    <row r="1043" spans="24:26">
      <c r="X1043" s="2"/>
      <c r="Y1043" s="101"/>
      <c r="Z1043" s="100"/>
    </row>
    <row r="1044" spans="24:26">
      <c r="X1044" s="2"/>
      <c r="Y1044" s="101"/>
      <c r="Z1044" s="100"/>
    </row>
    <row r="1045" spans="24:26">
      <c r="X1045" s="2"/>
      <c r="Y1045" s="101"/>
      <c r="Z1045" s="100"/>
    </row>
    <row r="1046" spans="24:26">
      <c r="X1046" s="2"/>
      <c r="Y1046" s="101"/>
      <c r="Z1046" s="100"/>
    </row>
    <row r="1047" spans="24:26">
      <c r="X1047" s="2"/>
      <c r="Y1047" s="101"/>
      <c r="Z1047" s="100"/>
    </row>
    <row r="1048" spans="24:26">
      <c r="X1048" s="2"/>
      <c r="Y1048" s="101"/>
      <c r="Z1048" s="100"/>
    </row>
    <row r="1049" spans="24:26">
      <c r="X1049" s="2"/>
      <c r="Y1049" s="101"/>
      <c r="Z1049" s="100"/>
    </row>
    <row r="1050" spans="24:26">
      <c r="X1050" s="2"/>
      <c r="Y1050" s="101"/>
      <c r="Z1050" s="100"/>
    </row>
    <row r="1051" spans="24:26">
      <c r="X1051" s="2"/>
      <c r="Y1051" s="101"/>
      <c r="Z1051" s="100"/>
    </row>
    <row r="1052" spans="24:26">
      <c r="X1052" s="2"/>
      <c r="Y1052" s="101"/>
      <c r="Z1052" s="100"/>
    </row>
    <row r="1053" spans="24:26">
      <c r="X1053" s="2"/>
      <c r="Y1053" s="101"/>
      <c r="Z1053" s="100"/>
    </row>
    <row r="1054" spans="24:26">
      <c r="X1054" s="2"/>
      <c r="Y1054" s="101"/>
      <c r="Z1054" s="100"/>
    </row>
    <row r="1055" spans="24:26">
      <c r="X1055" s="2"/>
      <c r="Y1055" s="101"/>
      <c r="Z1055" s="100"/>
    </row>
    <row r="1056" spans="24:26">
      <c r="X1056" s="2"/>
      <c r="Y1056" s="101"/>
      <c r="Z1056" s="100"/>
    </row>
    <row r="1057" spans="24:26">
      <c r="X1057" s="2"/>
      <c r="Y1057" s="101"/>
      <c r="Z1057" s="100"/>
    </row>
    <row r="1058" spans="24:26">
      <c r="X1058" s="2"/>
      <c r="Y1058" s="101"/>
      <c r="Z1058" s="100"/>
    </row>
    <row r="1059" spans="24:26">
      <c r="X1059" s="2"/>
      <c r="Y1059" s="101"/>
      <c r="Z1059" s="100"/>
    </row>
    <row r="1060" spans="24:26">
      <c r="X1060" s="2"/>
      <c r="Y1060" s="101"/>
      <c r="Z1060" s="100"/>
    </row>
    <row r="1061" spans="24:26">
      <c r="X1061" s="2"/>
      <c r="Y1061" s="101"/>
      <c r="Z1061" s="100"/>
    </row>
    <row r="1062" spans="24:26">
      <c r="X1062" s="2"/>
      <c r="Y1062" s="101"/>
      <c r="Z1062" s="100"/>
    </row>
    <row r="1063" spans="24:26">
      <c r="X1063" s="2"/>
      <c r="Y1063" s="101"/>
      <c r="Z1063" s="100"/>
    </row>
    <row r="1064" spans="24:26">
      <c r="X1064" s="2"/>
      <c r="Y1064" s="101"/>
      <c r="Z1064" s="100"/>
    </row>
    <row r="1065" spans="24:26">
      <c r="X1065" s="2"/>
      <c r="Y1065" s="101"/>
      <c r="Z1065" s="100"/>
    </row>
    <row r="1066" spans="24:26">
      <c r="X1066" s="2"/>
      <c r="Y1066" s="101"/>
      <c r="Z1066" s="100"/>
    </row>
    <row r="1067" spans="24:26">
      <c r="X1067" s="2"/>
      <c r="Y1067" s="101"/>
      <c r="Z1067" s="100"/>
    </row>
    <row r="1068" spans="24:26">
      <c r="X1068" s="2"/>
      <c r="Y1068" s="101"/>
      <c r="Z1068" s="100"/>
    </row>
    <row r="1069" spans="24:26">
      <c r="X1069" s="2"/>
      <c r="Y1069" s="101"/>
      <c r="Z1069" s="100"/>
    </row>
    <row r="1070" spans="24:26">
      <c r="X1070" s="2"/>
      <c r="Y1070" s="101"/>
      <c r="Z1070" s="100"/>
    </row>
    <row r="1071" spans="24:26">
      <c r="X1071" s="2"/>
      <c r="Y1071" s="101"/>
      <c r="Z1071" s="100"/>
    </row>
    <row r="1072" spans="24:26">
      <c r="X1072" s="2"/>
      <c r="Y1072" s="101"/>
      <c r="Z1072" s="100"/>
    </row>
    <row r="1073" spans="24:26">
      <c r="X1073" s="2"/>
      <c r="Y1073" s="101"/>
      <c r="Z1073" s="100"/>
    </row>
    <row r="1074" spans="24:26">
      <c r="X1074" s="2"/>
      <c r="Y1074" s="101"/>
      <c r="Z1074" s="100"/>
    </row>
    <row r="1075" spans="24:26">
      <c r="X1075" s="2"/>
      <c r="Y1075" s="101"/>
      <c r="Z1075" s="100"/>
    </row>
    <row r="1076" spans="24:26">
      <c r="X1076" s="2"/>
      <c r="Y1076" s="101"/>
      <c r="Z1076" s="100"/>
    </row>
    <row r="1077" spans="24:26">
      <c r="X1077" s="2"/>
      <c r="Y1077" s="101"/>
      <c r="Z1077" s="100"/>
    </row>
    <row r="1078" spans="24:26">
      <c r="X1078" s="2"/>
      <c r="Y1078" s="101"/>
      <c r="Z1078" s="100"/>
    </row>
    <row r="1079" spans="24:26">
      <c r="X1079" s="2"/>
      <c r="Y1079" s="101"/>
      <c r="Z1079" s="100"/>
    </row>
    <row r="1080" spans="24:26">
      <c r="X1080" s="2"/>
      <c r="Y1080" s="101"/>
      <c r="Z1080" s="100"/>
    </row>
    <row r="1081" spans="24:26">
      <c r="X1081" s="2"/>
      <c r="Y1081" s="101"/>
      <c r="Z1081" s="100"/>
    </row>
    <row r="1082" spans="24:26">
      <c r="X1082" s="2"/>
      <c r="Y1082" s="101"/>
      <c r="Z1082" s="100"/>
    </row>
    <row r="1083" spans="24:26">
      <c r="X1083" s="2"/>
      <c r="Y1083" s="101"/>
      <c r="Z1083" s="100"/>
    </row>
    <row r="1084" spans="24:26">
      <c r="X1084" s="2"/>
      <c r="Y1084" s="101"/>
      <c r="Z1084" s="100"/>
    </row>
    <row r="1085" spans="24:26">
      <c r="X1085" s="2"/>
      <c r="Y1085" s="101"/>
      <c r="Z1085" s="100"/>
    </row>
    <row r="1086" spans="24:26">
      <c r="X1086" s="2"/>
      <c r="Y1086" s="101"/>
      <c r="Z1086" s="100"/>
    </row>
    <row r="1087" spans="24:26">
      <c r="X1087" s="2"/>
      <c r="Y1087" s="101"/>
      <c r="Z1087" s="100"/>
    </row>
    <row r="1088" spans="24:26">
      <c r="X1088" s="2"/>
      <c r="Y1088" s="101"/>
      <c r="Z1088" s="100"/>
    </row>
    <row r="1089" spans="24:26">
      <c r="X1089" s="2"/>
      <c r="Y1089" s="101"/>
      <c r="Z1089" s="100"/>
    </row>
    <row r="1090" spans="24:26">
      <c r="X1090" s="2"/>
      <c r="Y1090" s="101"/>
      <c r="Z1090" s="100"/>
    </row>
    <row r="1091" spans="24:26">
      <c r="X1091" s="2"/>
      <c r="Y1091" s="101"/>
      <c r="Z1091" s="100"/>
    </row>
    <row r="1092" spans="24:26">
      <c r="X1092" s="2"/>
      <c r="Y1092" s="101"/>
      <c r="Z1092" s="100"/>
    </row>
    <row r="1093" spans="24:26">
      <c r="X1093" s="2"/>
      <c r="Y1093" s="101"/>
      <c r="Z1093" s="100"/>
    </row>
    <row r="1094" spans="24:26">
      <c r="X1094" s="2"/>
      <c r="Y1094" s="101"/>
      <c r="Z1094" s="100"/>
    </row>
    <row r="1095" spans="24:26">
      <c r="X1095" s="2"/>
      <c r="Y1095" s="101"/>
      <c r="Z1095" s="100"/>
    </row>
    <row r="1096" spans="24:26">
      <c r="X1096" s="2"/>
      <c r="Y1096" s="101"/>
      <c r="Z1096" s="100"/>
    </row>
    <row r="1097" spans="24:26">
      <c r="X1097" s="2"/>
      <c r="Y1097" s="101"/>
      <c r="Z1097" s="100"/>
    </row>
    <row r="1098" spans="24:26">
      <c r="X1098" s="2"/>
      <c r="Y1098" s="101"/>
      <c r="Z1098" s="100"/>
    </row>
    <row r="1099" spans="24:26">
      <c r="X1099" s="2"/>
      <c r="Y1099" s="101"/>
      <c r="Z1099" s="100"/>
    </row>
    <row r="1100" spans="24:26">
      <c r="X1100" s="2"/>
      <c r="Y1100" s="101"/>
      <c r="Z1100" s="100"/>
    </row>
    <row r="1101" spans="24:26">
      <c r="X1101" s="2"/>
      <c r="Y1101" s="101"/>
      <c r="Z1101" s="100"/>
    </row>
    <row r="1102" spans="24:26">
      <c r="X1102" s="2"/>
      <c r="Y1102" s="101"/>
      <c r="Z1102" s="100"/>
    </row>
    <row r="1103" spans="24:26">
      <c r="X1103" s="2"/>
      <c r="Y1103" s="101"/>
      <c r="Z1103" s="100"/>
    </row>
    <row r="1104" spans="24:26">
      <c r="X1104" s="2"/>
      <c r="Y1104" s="101"/>
      <c r="Z1104" s="100"/>
    </row>
    <row r="1105" spans="24:26">
      <c r="X1105" s="2"/>
      <c r="Y1105" s="101"/>
      <c r="Z1105" s="100"/>
    </row>
    <row r="1106" spans="24:26">
      <c r="X1106" s="2"/>
      <c r="Y1106" s="101"/>
      <c r="Z1106" s="100"/>
    </row>
    <row r="1107" spans="24:26">
      <c r="X1107" s="2"/>
      <c r="Y1107" s="101"/>
      <c r="Z1107" s="100"/>
    </row>
    <row r="1108" spans="24:26">
      <c r="X1108" s="2"/>
      <c r="Y1108" s="101"/>
      <c r="Z1108" s="100"/>
    </row>
    <row r="1109" spans="24:26">
      <c r="X1109" s="2"/>
      <c r="Y1109" s="101"/>
      <c r="Z1109" s="100"/>
    </row>
    <row r="1110" spans="24:26">
      <c r="X1110" s="2"/>
      <c r="Y1110" s="101"/>
      <c r="Z1110" s="100"/>
    </row>
    <row r="1111" spans="24:26">
      <c r="X1111" s="2"/>
      <c r="Y1111" s="101"/>
      <c r="Z1111" s="100"/>
    </row>
    <row r="1112" spans="24:26">
      <c r="X1112" s="2"/>
      <c r="Y1112" s="101"/>
      <c r="Z1112" s="100"/>
    </row>
    <row r="1113" spans="24:26">
      <c r="X1113" s="2"/>
      <c r="Y1113" s="101"/>
      <c r="Z1113" s="100"/>
    </row>
    <row r="1114" spans="24:26">
      <c r="X1114" s="2"/>
      <c r="Y1114" s="101"/>
      <c r="Z1114" s="100"/>
    </row>
    <row r="1115" spans="24:26">
      <c r="X1115" s="2"/>
      <c r="Y1115" s="101"/>
      <c r="Z1115" s="100"/>
    </row>
    <row r="1116" spans="24:26">
      <c r="X1116" s="2"/>
      <c r="Y1116" s="101"/>
      <c r="Z1116" s="100"/>
    </row>
    <row r="1117" spans="24:26">
      <c r="X1117" s="2"/>
      <c r="Y1117" s="101"/>
      <c r="Z1117" s="100"/>
    </row>
    <row r="1118" spans="24:26">
      <c r="X1118" s="2"/>
      <c r="Y1118" s="101"/>
      <c r="Z1118" s="100"/>
    </row>
    <row r="1119" spans="24:26">
      <c r="X1119" s="2"/>
      <c r="Y1119" s="101"/>
      <c r="Z1119" s="100"/>
    </row>
    <row r="1120" spans="24:26">
      <c r="X1120" s="2"/>
      <c r="Y1120" s="101"/>
      <c r="Z1120" s="100"/>
    </row>
    <row r="1121" spans="24:26">
      <c r="X1121" s="2"/>
      <c r="Y1121" s="101"/>
      <c r="Z1121" s="100"/>
    </row>
    <row r="1122" spans="24:26">
      <c r="X1122" s="2"/>
      <c r="Y1122" s="101"/>
      <c r="Z1122" s="100"/>
    </row>
    <row r="1123" spans="24:26">
      <c r="X1123" s="2"/>
      <c r="Y1123" s="101"/>
      <c r="Z1123" s="100"/>
    </row>
    <row r="1124" spans="24:26">
      <c r="X1124" s="2"/>
      <c r="Y1124" s="101"/>
      <c r="Z1124" s="100"/>
    </row>
    <row r="1125" spans="24:26">
      <c r="X1125" s="2"/>
      <c r="Y1125" s="101"/>
      <c r="Z1125" s="100"/>
    </row>
    <row r="1126" spans="24:26">
      <c r="X1126" s="2"/>
      <c r="Y1126" s="101"/>
      <c r="Z1126" s="100"/>
    </row>
    <row r="1127" spans="24:26">
      <c r="X1127" s="2"/>
      <c r="Y1127" s="101"/>
      <c r="Z1127" s="100"/>
    </row>
    <row r="1128" spans="24:26">
      <c r="X1128" s="2"/>
      <c r="Y1128" s="101"/>
      <c r="Z1128" s="100"/>
    </row>
    <row r="1129" spans="24:26">
      <c r="X1129" s="2"/>
      <c r="Y1129" s="101"/>
      <c r="Z1129" s="100"/>
    </row>
    <row r="1130" spans="24:26">
      <c r="X1130" s="2"/>
      <c r="Y1130" s="101"/>
      <c r="Z1130" s="100"/>
    </row>
    <row r="1131" spans="24:26">
      <c r="X1131" s="2"/>
      <c r="Y1131" s="101"/>
      <c r="Z1131" s="100"/>
    </row>
    <row r="1132" spans="24:26">
      <c r="X1132" s="2"/>
      <c r="Y1132" s="101"/>
      <c r="Z1132" s="100"/>
    </row>
    <row r="1133" spans="24:26">
      <c r="X1133" s="2"/>
      <c r="Y1133" s="101"/>
      <c r="Z1133" s="100"/>
    </row>
    <row r="1134" spans="24:26">
      <c r="X1134" s="2"/>
      <c r="Y1134" s="101"/>
      <c r="Z1134" s="100"/>
    </row>
    <row r="1135" spans="24:26">
      <c r="X1135" s="2"/>
      <c r="Y1135" s="101"/>
      <c r="Z1135" s="100"/>
    </row>
    <row r="1136" spans="24:26">
      <c r="X1136" s="2"/>
      <c r="Y1136" s="101"/>
      <c r="Z1136" s="100"/>
    </row>
    <row r="1137" spans="24:26">
      <c r="X1137" s="2"/>
      <c r="Y1137" s="101"/>
      <c r="Z1137" s="100"/>
    </row>
    <row r="1138" spans="24:26">
      <c r="X1138" s="2"/>
      <c r="Y1138" s="101"/>
      <c r="Z1138" s="100"/>
    </row>
    <row r="1139" spans="24:26">
      <c r="X1139" s="2"/>
      <c r="Y1139" s="101"/>
      <c r="Z1139" s="100"/>
    </row>
    <row r="1140" spans="24:26">
      <c r="X1140" s="2"/>
      <c r="Y1140" s="101"/>
      <c r="Z1140" s="100"/>
    </row>
    <row r="1141" spans="24:26">
      <c r="X1141" s="2"/>
      <c r="Y1141" s="101"/>
      <c r="Z1141" s="100"/>
    </row>
    <row r="1142" spans="24:26">
      <c r="X1142" s="2"/>
      <c r="Y1142" s="101"/>
      <c r="Z1142" s="100"/>
    </row>
    <row r="1143" spans="24:26">
      <c r="X1143" s="2"/>
      <c r="Y1143" s="101"/>
      <c r="Z1143" s="100"/>
    </row>
    <row r="1144" spans="24:26">
      <c r="X1144" s="2"/>
      <c r="Y1144" s="101"/>
      <c r="Z1144" s="100"/>
    </row>
    <row r="1145" spans="24:26">
      <c r="X1145" s="2"/>
      <c r="Y1145" s="101"/>
      <c r="Z1145" s="100"/>
    </row>
    <row r="1146" spans="24:26">
      <c r="X1146" s="2"/>
      <c r="Y1146" s="101"/>
      <c r="Z1146" s="100"/>
    </row>
    <row r="1147" spans="24:26">
      <c r="X1147" s="2"/>
      <c r="Y1147" s="101"/>
      <c r="Z1147" s="100"/>
    </row>
    <row r="1148" spans="24:26">
      <c r="X1148" s="2"/>
      <c r="Y1148" s="101"/>
      <c r="Z1148" s="100"/>
    </row>
    <row r="1149" spans="24:26">
      <c r="X1149" s="2"/>
      <c r="Y1149" s="101"/>
      <c r="Z1149" s="100"/>
    </row>
    <row r="1150" spans="24:26">
      <c r="X1150" s="2"/>
      <c r="Y1150" s="101"/>
      <c r="Z1150" s="100"/>
    </row>
    <row r="1151" spans="24:26">
      <c r="X1151" s="2"/>
      <c r="Y1151" s="101"/>
      <c r="Z1151" s="100"/>
    </row>
    <row r="1152" spans="24:26">
      <c r="X1152" s="2"/>
      <c r="Y1152" s="101"/>
      <c r="Z1152" s="100"/>
    </row>
    <row r="1153" spans="24:26">
      <c r="X1153" s="2"/>
      <c r="Y1153" s="101"/>
      <c r="Z1153" s="100"/>
    </row>
    <row r="1154" spans="24:26">
      <c r="X1154" s="2"/>
      <c r="Y1154" s="101"/>
      <c r="Z1154" s="100"/>
    </row>
    <row r="1155" spans="24:26">
      <c r="X1155" s="2"/>
      <c r="Y1155" s="101"/>
      <c r="Z1155" s="100"/>
    </row>
    <row r="1156" spans="24:26">
      <c r="X1156" s="2"/>
      <c r="Y1156" s="101"/>
      <c r="Z1156" s="100"/>
    </row>
    <row r="1157" spans="24:26">
      <c r="X1157" s="2"/>
      <c r="Y1157" s="101"/>
      <c r="Z1157" s="100"/>
    </row>
    <row r="1158" spans="24:26">
      <c r="X1158" s="2"/>
      <c r="Y1158" s="101"/>
      <c r="Z1158" s="100"/>
    </row>
    <row r="1159" spans="24:26">
      <c r="X1159" s="2"/>
      <c r="Y1159" s="101"/>
      <c r="Z1159" s="100"/>
    </row>
    <row r="1160" spans="24:26">
      <c r="X1160" s="2"/>
      <c r="Y1160" s="101"/>
      <c r="Z1160" s="100"/>
    </row>
    <row r="1161" spans="24:26">
      <c r="X1161" s="2"/>
      <c r="Y1161" s="101"/>
      <c r="Z1161" s="100"/>
    </row>
    <row r="1162" spans="24:26">
      <c r="X1162" s="2"/>
      <c r="Y1162" s="101"/>
      <c r="Z1162" s="100"/>
    </row>
    <row r="1163" spans="24:26">
      <c r="X1163" s="2"/>
      <c r="Y1163" s="101"/>
      <c r="Z1163" s="100"/>
    </row>
    <row r="1164" spans="24:26">
      <c r="X1164" s="2"/>
      <c r="Y1164" s="101"/>
      <c r="Z1164" s="100"/>
    </row>
    <row r="1165" spans="24:26">
      <c r="X1165" s="2"/>
      <c r="Y1165" s="101"/>
      <c r="Z1165" s="100"/>
    </row>
    <row r="1166" spans="24:26">
      <c r="X1166" s="2"/>
      <c r="Y1166" s="101"/>
      <c r="Z1166" s="100"/>
    </row>
    <row r="1167" spans="24:26">
      <c r="X1167" s="2"/>
      <c r="Y1167" s="101"/>
      <c r="Z1167" s="100"/>
    </row>
    <row r="1168" spans="24:26">
      <c r="X1168" s="2"/>
      <c r="Y1168" s="101"/>
      <c r="Z1168" s="100"/>
    </row>
    <row r="1169" spans="24:26">
      <c r="X1169" s="2"/>
      <c r="Y1169" s="101"/>
      <c r="Z1169" s="100"/>
    </row>
    <row r="1170" spans="24:26">
      <c r="X1170" s="2"/>
      <c r="Y1170" s="101"/>
      <c r="Z1170" s="100"/>
    </row>
    <row r="1171" spans="24:26">
      <c r="X1171" s="2"/>
      <c r="Y1171" s="101"/>
      <c r="Z1171" s="100"/>
    </row>
    <row r="1172" spans="24:26">
      <c r="X1172" s="2"/>
      <c r="Y1172" s="101"/>
      <c r="Z1172" s="100"/>
    </row>
    <row r="1173" spans="24:26">
      <c r="X1173" s="2"/>
      <c r="Y1173" s="101"/>
      <c r="Z1173" s="100"/>
    </row>
    <row r="1174" spans="24:26">
      <c r="X1174" s="2"/>
      <c r="Y1174" s="101"/>
      <c r="Z1174" s="100"/>
    </row>
    <row r="1175" spans="24:26">
      <c r="X1175" s="2"/>
      <c r="Y1175" s="101"/>
      <c r="Z1175" s="100"/>
    </row>
    <row r="1176" spans="24:26">
      <c r="X1176" s="2"/>
      <c r="Y1176" s="101"/>
      <c r="Z1176" s="100"/>
    </row>
    <row r="1177" spans="24:26">
      <c r="X1177" s="2"/>
      <c r="Y1177" s="101"/>
      <c r="Z1177" s="100"/>
    </row>
    <row r="1178" spans="24:26">
      <c r="X1178" s="2"/>
      <c r="Y1178" s="101"/>
      <c r="Z1178" s="100"/>
    </row>
    <row r="1179" spans="24:26">
      <c r="X1179" s="2"/>
      <c r="Y1179" s="101"/>
      <c r="Z1179" s="100"/>
    </row>
    <row r="1180" spans="24:26">
      <c r="X1180" s="2"/>
      <c r="Y1180" s="101"/>
      <c r="Z1180" s="100"/>
    </row>
    <row r="1181" spans="24:26">
      <c r="X1181" s="2"/>
      <c r="Y1181" s="101"/>
      <c r="Z1181" s="100"/>
    </row>
    <row r="1182" spans="24:26">
      <c r="X1182" s="2"/>
      <c r="Y1182" s="101"/>
      <c r="Z1182" s="100"/>
    </row>
    <row r="1183" spans="24:26">
      <c r="X1183" s="2"/>
      <c r="Y1183" s="101"/>
      <c r="Z1183" s="100"/>
    </row>
    <row r="1184" spans="24:26">
      <c r="X1184" s="2"/>
      <c r="Y1184" s="101"/>
      <c r="Z1184" s="100"/>
    </row>
    <row r="1185" spans="24:26">
      <c r="X1185" s="2"/>
      <c r="Y1185" s="101"/>
      <c r="Z1185" s="100"/>
    </row>
    <row r="1186" spans="24:26">
      <c r="X1186" s="2"/>
      <c r="Y1186" s="101"/>
      <c r="Z1186" s="100"/>
    </row>
    <row r="1187" spans="24:26">
      <c r="X1187" s="2"/>
      <c r="Y1187" s="101"/>
      <c r="Z1187" s="100"/>
    </row>
    <row r="1188" spans="24:26">
      <c r="X1188" s="2"/>
      <c r="Y1188" s="101"/>
      <c r="Z1188" s="100"/>
    </row>
    <row r="1189" spans="24:26">
      <c r="X1189" s="2"/>
      <c r="Y1189" s="101"/>
      <c r="Z1189" s="100"/>
    </row>
    <row r="1190" spans="24:26">
      <c r="X1190" s="2"/>
      <c r="Y1190" s="101"/>
      <c r="Z1190" s="100"/>
    </row>
    <row r="1191" spans="24:26">
      <c r="X1191" s="2"/>
      <c r="Y1191" s="101"/>
      <c r="Z1191" s="100"/>
    </row>
    <row r="1192" spans="24:26">
      <c r="X1192" s="2"/>
      <c r="Y1192" s="101"/>
      <c r="Z1192" s="100"/>
    </row>
    <row r="1193" spans="24:26">
      <c r="X1193" s="2"/>
      <c r="Y1193" s="101"/>
      <c r="Z1193" s="100"/>
    </row>
    <row r="1194" spans="24:26">
      <c r="X1194" s="2"/>
      <c r="Y1194" s="101"/>
      <c r="Z1194" s="100"/>
    </row>
    <row r="1195" spans="24:26">
      <c r="X1195" s="2"/>
      <c r="Y1195" s="101"/>
      <c r="Z1195" s="100"/>
    </row>
    <row r="1196" spans="24:26">
      <c r="X1196" s="2"/>
      <c r="Y1196" s="101"/>
      <c r="Z1196" s="100"/>
    </row>
    <row r="1197" spans="24:26">
      <c r="X1197" s="2"/>
      <c r="Y1197" s="101"/>
      <c r="Z1197" s="100"/>
    </row>
    <row r="1198" spans="24:26">
      <c r="X1198" s="2"/>
      <c r="Y1198" s="101"/>
      <c r="Z1198" s="100"/>
    </row>
    <row r="1199" spans="24:26">
      <c r="X1199" s="2"/>
      <c r="Y1199" s="101"/>
      <c r="Z1199" s="100"/>
    </row>
    <row r="1200" spans="24:26">
      <c r="X1200" s="2"/>
      <c r="Y1200" s="101"/>
      <c r="Z1200" s="100"/>
    </row>
    <row r="1201" spans="24:26">
      <c r="X1201" s="2"/>
      <c r="Y1201" s="101"/>
      <c r="Z1201" s="100"/>
    </row>
    <row r="1202" spans="24:26">
      <c r="X1202" s="2"/>
      <c r="Y1202" s="101"/>
      <c r="Z1202" s="100"/>
    </row>
    <row r="1203" spans="24:26">
      <c r="X1203" s="2"/>
      <c r="Y1203" s="101"/>
      <c r="Z1203" s="100"/>
    </row>
    <row r="1204" spans="24:26">
      <c r="X1204" s="2"/>
      <c r="Y1204" s="101"/>
      <c r="Z1204" s="100"/>
    </row>
    <row r="1205" spans="24:26">
      <c r="X1205" s="2"/>
      <c r="Y1205" s="101"/>
      <c r="Z1205" s="100"/>
    </row>
    <row r="1206" spans="24:26">
      <c r="X1206" s="2"/>
      <c r="Y1206" s="101"/>
      <c r="Z1206" s="100"/>
    </row>
    <row r="1207" spans="24:26">
      <c r="X1207" s="2"/>
      <c r="Y1207" s="101"/>
      <c r="Z1207" s="100"/>
    </row>
    <row r="1208" spans="24:26">
      <c r="X1208" s="2"/>
      <c r="Y1208" s="101"/>
      <c r="Z1208" s="100"/>
    </row>
    <row r="1209" spans="24:26">
      <c r="X1209" s="2"/>
      <c r="Y1209" s="101"/>
      <c r="Z1209" s="100"/>
    </row>
    <row r="1210" spans="24:26">
      <c r="X1210" s="2"/>
      <c r="Y1210" s="101"/>
      <c r="Z1210" s="100"/>
    </row>
    <row r="1211" spans="24:26">
      <c r="X1211" s="2"/>
      <c r="Y1211" s="101"/>
      <c r="Z1211" s="100"/>
    </row>
    <row r="1212" spans="24:26">
      <c r="X1212" s="2"/>
      <c r="Y1212" s="101"/>
      <c r="Z1212" s="100"/>
    </row>
    <row r="1213" spans="24:26">
      <c r="X1213" s="2"/>
      <c r="Y1213" s="101"/>
      <c r="Z1213" s="100"/>
    </row>
    <row r="1214" spans="24:26">
      <c r="X1214" s="2"/>
      <c r="Y1214" s="101"/>
      <c r="Z1214" s="100"/>
    </row>
    <row r="1215" spans="24:26">
      <c r="X1215" s="2"/>
      <c r="Y1215" s="101"/>
      <c r="Z1215" s="100"/>
    </row>
    <row r="1216" spans="24:26">
      <c r="X1216" s="2"/>
      <c r="Y1216" s="101"/>
      <c r="Z1216" s="100"/>
    </row>
    <row r="1217" spans="24:26">
      <c r="X1217" s="2"/>
      <c r="Y1217" s="101"/>
      <c r="Z1217" s="100"/>
    </row>
    <row r="1218" spans="24:26">
      <c r="X1218" s="2"/>
      <c r="Y1218" s="101"/>
      <c r="Z1218" s="100"/>
    </row>
    <row r="1219" spans="24:26">
      <c r="X1219" s="2"/>
      <c r="Y1219" s="101"/>
      <c r="Z1219" s="100"/>
    </row>
    <row r="1220" spans="24:26">
      <c r="X1220" s="2"/>
      <c r="Y1220" s="101"/>
      <c r="Z1220" s="100"/>
    </row>
    <row r="1221" spans="24:26">
      <c r="X1221" s="2"/>
      <c r="Y1221" s="101"/>
      <c r="Z1221" s="100"/>
    </row>
    <row r="1222" spans="24:26">
      <c r="X1222" s="2"/>
      <c r="Y1222" s="101"/>
      <c r="Z1222" s="100"/>
    </row>
    <row r="1223" spans="24:26">
      <c r="X1223" s="2"/>
      <c r="Y1223" s="101"/>
      <c r="Z1223" s="100"/>
    </row>
    <row r="1224" spans="24:26">
      <c r="X1224" s="2"/>
      <c r="Y1224" s="101"/>
      <c r="Z1224" s="100"/>
    </row>
    <row r="1225" spans="24:26">
      <c r="X1225" s="2"/>
      <c r="Y1225" s="101"/>
      <c r="Z1225" s="100"/>
    </row>
    <row r="1226" spans="24:26">
      <c r="X1226" s="2"/>
      <c r="Y1226" s="101"/>
      <c r="Z1226" s="100"/>
    </row>
    <row r="1227" spans="24:26">
      <c r="X1227" s="2"/>
      <c r="Y1227" s="101"/>
      <c r="Z1227" s="100"/>
    </row>
    <row r="1228" spans="24:26">
      <c r="X1228" s="2"/>
      <c r="Y1228" s="101"/>
      <c r="Z1228" s="100"/>
    </row>
    <row r="1229" spans="24:26">
      <c r="X1229" s="2"/>
      <c r="Y1229" s="101"/>
      <c r="Z1229" s="100"/>
    </row>
    <row r="1230" spans="24:26">
      <c r="X1230" s="2"/>
      <c r="Y1230" s="101"/>
      <c r="Z1230" s="100"/>
    </row>
    <row r="1231" spans="24:26">
      <c r="X1231" s="2"/>
      <c r="Y1231" s="101"/>
      <c r="Z1231" s="100"/>
    </row>
    <row r="1232" spans="24:26">
      <c r="X1232" s="2"/>
      <c r="Y1232" s="101"/>
      <c r="Z1232" s="100"/>
    </row>
    <row r="1233" spans="24:26">
      <c r="X1233" s="2"/>
      <c r="Y1233" s="101"/>
      <c r="Z1233" s="100"/>
    </row>
    <row r="1234" spans="24:26">
      <c r="X1234" s="2"/>
      <c r="Y1234" s="101"/>
      <c r="Z1234" s="100"/>
    </row>
    <row r="1235" spans="24:26">
      <c r="X1235" s="2"/>
      <c r="Y1235" s="101"/>
      <c r="Z1235" s="100"/>
    </row>
    <row r="1236" spans="24:26">
      <c r="X1236" s="2"/>
      <c r="Y1236" s="101"/>
      <c r="Z1236" s="100"/>
    </row>
    <row r="1237" spans="24:26">
      <c r="X1237" s="2"/>
      <c r="Y1237" s="101"/>
      <c r="Z1237" s="100"/>
    </row>
    <row r="1238" spans="24:26">
      <c r="X1238" s="2"/>
      <c r="Y1238" s="101"/>
      <c r="Z1238" s="100"/>
    </row>
    <row r="1239" spans="24:26">
      <c r="X1239" s="2"/>
      <c r="Y1239" s="101"/>
      <c r="Z1239" s="100"/>
    </row>
    <row r="1240" spans="24:26">
      <c r="X1240" s="2"/>
      <c r="Y1240" s="101"/>
      <c r="Z1240" s="100"/>
    </row>
    <row r="1241" spans="24:26">
      <c r="X1241" s="2"/>
      <c r="Y1241" s="101"/>
      <c r="Z1241" s="100"/>
    </row>
    <row r="1242" spans="24:26">
      <c r="X1242" s="2"/>
      <c r="Y1242" s="101"/>
      <c r="Z1242" s="100"/>
    </row>
    <row r="1243" spans="24:26">
      <c r="X1243" s="2"/>
      <c r="Y1243" s="101"/>
      <c r="Z1243" s="100"/>
    </row>
    <row r="1244" spans="24:26">
      <c r="X1244" s="2"/>
      <c r="Y1244" s="101"/>
      <c r="Z1244" s="100"/>
    </row>
    <row r="1245" spans="24:26">
      <c r="X1245" s="2"/>
      <c r="Y1245" s="101"/>
      <c r="Z1245" s="100"/>
    </row>
    <row r="1246" spans="24:26">
      <c r="X1246" s="2"/>
      <c r="Y1246" s="101"/>
      <c r="Z1246" s="100"/>
    </row>
    <row r="1247" spans="24:26">
      <c r="X1247" s="2"/>
      <c r="Y1247" s="101"/>
      <c r="Z1247" s="100"/>
    </row>
    <row r="1248" spans="24:26">
      <c r="X1248" s="2"/>
      <c r="Y1248" s="101"/>
      <c r="Z1248" s="100"/>
    </row>
    <row r="1249" spans="24:26">
      <c r="X1249" s="2"/>
      <c r="Y1249" s="101"/>
      <c r="Z1249" s="100"/>
    </row>
    <row r="1250" spans="24:26">
      <c r="X1250" s="2"/>
      <c r="Y1250" s="101"/>
      <c r="Z1250" s="100"/>
    </row>
    <row r="1251" spans="24:26">
      <c r="X1251" s="2"/>
      <c r="Y1251" s="101"/>
      <c r="Z1251" s="100"/>
    </row>
    <row r="1252" spans="24:26">
      <c r="X1252" s="2"/>
      <c r="Y1252" s="101"/>
      <c r="Z1252" s="100"/>
    </row>
    <row r="1253" spans="24:26">
      <c r="X1253" s="2"/>
      <c r="Y1253" s="101"/>
      <c r="Z1253" s="100"/>
    </row>
    <row r="1254" spans="24:26">
      <c r="X1254" s="2"/>
      <c r="Y1254" s="101"/>
      <c r="Z1254" s="100"/>
    </row>
    <row r="1255" spans="24:26">
      <c r="X1255" s="2"/>
      <c r="Y1255" s="101"/>
      <c r="Z1255" s="100"/>
    </row>
    <row r="1256" spans="24:26">
      <c r="X1256" s="2"/>
      <c r="Y1256" s="101"/>
      <c r="Z1256" s="100"/>
    </row>
    <row r="1257" spans="24:26">
      <c r="X1257" s="2"/>
      <c r="Y1257" s="101"/>
      <c r="Z1257" s="100"/>
    </row>
    <row r="1258" spans="24:26">
      <c r="X1258" s="2"/>
      <c r="Y1258" s="101"/>
      <c r="Z1258" s="100"/>
    </row>
    <row r="1259" spans="24:26">
      <c r="X1259" s="2"/>
      <c r="Y1259" s="101"/>
      <c r="Z1259" s="100"/>
    </row>
    <row r="1260" spans="24:26">
      <c r="X1260" s="2"/>
      <c r="Y1260" s="101"/>
      <c r="Z1260" s="100"/>
    </row>
    <row r="1261" spans="24:26">
      <c r="X1261" s="2"/>
      <c r="Y1261" s="101"/>
      <c r="Z1261" s="100"/>
    </row>
    <row r="1262" spans="24:26">
      <c r="X1262" s="2"/>
      <c r="Y1262" s="101"/>
      <c r="Z1262" s="100"/>
    </row>
    <row r="1263" spans="24:26">
      <c r="X1263" s="2"/>
      <c r="Y1263" s="101"/>
      <c r="Z1263" s="100"/>
    </row>
    <row r="1264" spans="24:26">
      <c r="X1264" s="2"/>
      <c r="Y1264" s="101"/>
      <c r="Z1264" s="100"/>
    </row>
    <row r="1265" spans="24:26">
      <c r="X1265" s="2"/>
      <c r="Y1265" s="101"/>
      <c r="Z1265" s="100"/>
    </row>
    <row r="1266" spans="24:26">
      <c r="X1266" s="2"/>
      <c r="Y1266" s="101"/>
      <c r="Z1266" s="100"/>
    </row>
    <row r="1267" spans="24:26">
      <c r="X1267" s="2"/>
      <c r="Y1267" s="101"/>
      <c r="Z1267" s="100"/>
    </row>
    <row r="1268" spans="24:26">
      <c r="X1268" s="2"/>
      <c r="Y1268" s="101"/>
      <c r="Z1268" s="100"/>
    </row>
    <row r="1269" spans="24:26">
      <c r="X1269" s="2"/>
      <c r="Y1269" s="101"/>
      <c r="Z1269" s="100"/>
    </row>
    <row r="1270" spans="24:26">
      <c r="X1270" s="2"/>
      <c r="Y1270" s="101"/>
      <c r="Z1270" s="100"/>
    </row>
    <row r="1271" spans="24:26">
      <c r="X1271" s="2"/>
      <c r="Y1271" s="101"/>
      <c r="Z1271" s="100"/>
    </row>
    <row r="1272" spans="24:26">
      <c r="X1272" s="2"/>
      <c r="Y1272" s="101"/>
      <c r="Z1272" s="100"/>
    </row>
    <row r="1273" spans="24:26">
      <c r="X1273" s="2"/>
      <c r="Y1273" s="101"/>
      <c r="Z1273" s="100"/>
    </row>
    <row r="1274" spans="24:26">
      <c r="X1274" s="2"/>
      <c r="Y1274" s="101"/>
      <c r="Z1274" s="100"/>
    </row>
    <row r="1275" spans="24:26">
      <c r="X1275" s="2"/>
      <c r="Y1275" s="101"/>
      <c r="Z1275" s="100"/>
    </row>
    <row r="1276" spans="24:26">
      <c r="X1276" s="2"/>
      <c r="Y1276" s="101"/>
      <c r="Z1276" s="100"/>
    </row>
    <row r="1277" spans="24:26">
      <c r="X1277" s="2"/>
      <c r="Y1277" s="101"/>
      <c r="Z1277" s="100"/>
    </row>
    <row r="1278" spans="24:26">
      <c r="X1278" s="2"/>
      <c r="Y1278" s="101"/>
      <c r="Z1278" s="100"/>
    </row>
    <row r="1279" spans="24:26">
      <c r="X1279" s="2"/>
      <c r="Y1279" s="101"/>
      <c r="Z1279" s="100"/>
    </row>
    <row r="1280" spans="24:26">
      <c r="X1280" s="2"/>
      <c r="Y1280" s="101"/>
      <c r="Z1280" s="100"/>
    </row>
    <row r="1281" spans="24:26">
      <c r="X1281" s="2"/>
      <c r="Y1281" s="101"/>
      <c r="Z1281" s="100"/>
    </row>
    <row r="1282" spans="24:26">
      <c r="X1282" s="2"/>
      <c r="Y1282" s="101"/>
      <c r="Z1282" s="100"/>
    </row>
    <row r="1283" spans="24:26">
      <c r="X1283" s="2"/>
      <c r="Y1283" s="101"/>
      <c r="Z1283" s="100"/>
    </row>
    <row r="1284" spans="24:26">
      <c r="X1284" s="2"/>
      <c r="Y1284" s="101"/>
      <c r="Z1284" s="100"/>
    </row>
    <row r="1285" spans="24:26">
      <c r="X1285" s="2"/>
      <c r="Y1285" s="101"/>
      <c r="Z1285" s="100"/>
    </row>
    <row r="1286" spans="24:26">
      <c r="X1286" s="2"/>
      <c r="Y1286" s="101"/>
      <c r="Z1286" s="100"/>
    </row>
    <row r="1287" spans="24:26">
      <c r="X1287" s="2"/>
      <c r="Y1287" s="101"/>
      <c r="Z1287" s="100"/>
    </row>
    <row r="1288" spans="24:26">
      <c r="X1288" s="2"/>
      <c r="Y1288" s="101"/>
      <c r="Z1288" s="100"/>
    </row>
    <row r="1289" spans="24:26">
      <c r="X1289" s="2"/>
      <c r="Y1289" s="101"/>
      <c r="Z1289" s="100"/>
    </row>
    <row r="1290" spans="24:26">
      <c r="X1290" s="2"/>
      <c r="Y1290" s="101"/>
      <c r="Z1290" s="100"/>
    </row>
    <row r="1291" spans="24:26">
      <c r="X1291" s="2"/>
      <c r="Y1291" s="101"/>
      <c r="Z1291" s="100"/>
    </row>
    <row r="1292" spans="24:26">
      <c r="X1292" s="2"/>
      <c r="Y1292" s="101"/>
      <c r="Z1292" s="100"/>
    </row>
    <row r="1293" spans="24:26">
      <c r="X1293" s="2"/>
      <c r="Y1293" s="101"/>
      <c r="Z1293" s="100"/>
    </row>
    <row r="1294" spans="24:26">
      <c r="X1294" s="2"/>
      <c r="Y1294" s="101"/>
      <c r="Z1294" s="100"/>
    </row>
    <row r="1295" spans="24:26">
      <c r="X1295" s="2"/>
      <c r="Y1295" s="101"/>
      <c r="Z1295" s="100"/>
    </row>
    <row r="1296" spans="24:26">
      <c r="X1296" s="2"/>
      <c r="Y1296" s="101"/>
      <c r="Z1296" s="100"/>
    </row>
    <row r="1297" spans="24:26">
      <c r="X1297" s="2"/>
      <c r="Y1297" s="101"/>
      <c r="Z1297" s="100"/>
    </row>
    <row r="1298" spans="24:26">
      <c r="X1298" s="2"/>
      <c r="Y1298" s="101"/>
      <c r="Z1298" s="100"/>
    </row>
    <row r="1299" spans="24:26">
      <c r="X1299" s="2"/>
      <c r="Y1299" s="101"/>
      <c r="Z1299" s="100"/>
    </row>
    <row r="1300" spans="24:26">
      <c r="X1300" s="2"/>
      <c r="Y1300" s="101"/>
      <c r="Z1300" s="100"/>
    </row>
    <row r="1301" spans="24:26">
      <c r="X1301" s="2"/>
      <c r="Y1301" s="101"/>
      <c r="Z1301" s="100"/>
    </row>
    <row r="1302" spans="24:26">
      <c r="X1302" s="2"/>
      <c r="Y1302" s="101"/>
      <c r="Z1302" s="100"/>
    </row>
    <row r="1303" spans="24:26">
      <c r="X1303" s="2"/>
      <c r="Y1303" s="101"/>
      <c r="Z1303" s="100"/>
    </row>
    <row r="1304" spans="24:26">
      <c r="X1304" s="2"/>
      <c r="Y1304" s="101"/>
      <c r="Z1304" s="100"/>
    </row>
    <row r="1305" spans="24:26">
      <c r="X1305" s="2"/>
      <c r="Y1305" s="101"/>
      <c r="Z1305" s="100"/>
    </row>
    <row r="1306" spans="24:26">
      <c r="X1306" s="2"/>
      <c r="Y1306" s="101"/>
      <c r="Z1306" s="100"/>
    </row>
    <row r="1307" spans="24:26">
      <c r="X1307" s="2"/>
      <c r="Y1307" s="101"/>
      <c r="Z1307" s="100"/>
    </row>
    <row r="1308" spans="24:26">
      <c r="X1308" s="2"/>
      <c r="Y1308" s="101"/>
      <c r="Z1308" s="100"/>
    </row>
    <row r="1309" spans="24:26">
      <c r="X1309" s="2"/>
      <c r="Y1309" s="101"/>
      <c r="Z1309" s="100"/>
    </row>
    <row r="1310" spans="24:26">
      <c r="X1310" s="2"/>
      <c r="Y1310" s="101"/>
      <c r="Z1310" s="100"/>
    </row>
    <row r="1311" spans="24:26">
      <c r="X1311" s="2"/>
      <c r="Y1311" s="101"/>
      <c r="Z1311" s="100"/>
    </row>
    <row r="1312" spans="24:26">
      <c r="X1312" s="2"/>
      <c r="Y1312" s="101"/>
      <c r="Z1312" s="100"/>
    </row>
    <row r="1313" spans="24:26">
      <c r="X1313" s="2"/>
      <c r="Y1313" s="101"/>
      <c r="Z1313" s="100"/>
    </row>
    <row r="1314" spans="24:26">
      <c r="X1314" s="2"/>
      <c r="Y1314" s="101"/>
      <c r="Z1314" s="100"/>
    </row>
    <row r="1315" spans="24:26">
      <c r="X1315" s="2"/>
      <c r="Y1315" s="101"/>
      <c r="Z1315" s="100"/>
    </row>
    <row r="1316" spans="24:26">
      <c r="X1316" s="2"/>
      <c r="Y1316" s="101"/>
      <c r="Z1316" s="100"/>
    </row>
    <row r="1317" spans="24:26">
      <c r="X1317" s="2"/>
      <c r="Y1317" s="101"/>
      <c r="Z1317" s="100"/>
    </row>
    <row r="1318" spans="24:26">
      <c r="X1318" s="2"/>
      <c r="Y1318" s="101"/>
      <c r="Z1318" s="100"/>
    </row>
    <row r="1319" spans="24:26">
      <c r="X1319" s="2"/>
      <c r="Y1319" s="101"/>
      <c r="Z1319" s="100"/>
    </row>
    <row r="1320" spans="24:26">
      <c r="X1320" s="2"/>
      <c r="Y1320" s="101"/>
      <c r="Z1320" s="100"/>
    </row>
    <row r="1321" spans="24:26">
      <c r="X1321" s="2"/>
      <c r="Y1321" s="101"/>
      <c r="Z1321" s="100"/>
    </row>
    <row r="1322" spans="24:26">
      <c r="X1322" s="2"/>
      <c r="Y1322" s="101"/>
      <c r="Z1322" s="100"/>
    </row>
    <row r="1323" spans="24:26">
      <c r="X1323" s="2"/>
      <c r="Y1323" s="101"/>
      <c r="Z1323" s="100"/>
    </row>
    <row r="1324" spans="24:26">
      <c r="X1324" s="2"/>
      <c r="Y1324" s="101"/>
      <c r="Z1324" s="100"/>
    </row>
    <row r="1325" spans="24:26">
      <c r="X1325" s="2"/>
      <c r="Y1325" s="101"/>
      <c r="Z1325" s="100"/>
    </row>
    <row r="1326" spans="24:26">
      <c r="X1326" s="2"/>
      <c r="Y1326" s="101"/>
      <c r="Z1326" s="100"/>
    </row>
    <row r="1327" spans="24:26">
      <c r="X1327" s="2"/>
      <c r="Y1327" s="101"/>
      <c r="Z1327" s="100"/>
    </row>
    <row r="1328" spans="24:26">
      <c r="X1328" s="2"/>
      <c r="Y1328" s="101"/>
      <c r="Z1328" s="100"/>
    </row>
    <row r="1329" spans="24:26">
      <c r="X1329" s="2"/>
      <c r="Y1329" s="101"/>
      <c r="Z1329" s="100"/>
    </row>
    <row r="1330" spans="24:26">
      <c r="X1330" s="2"/>
      <c r="Y1330" s="101"/>
      <c r="Z1330" s="100"/>
    </row>
    <row r="1331" spans="24:26">
      <c r="X1331" s="2"/>
      <c r="Y1331" s="101"/>
      <c r="Z1331" s="100"/>
    </row>
    <row r="1332" spans="24:26">
      <c r="X1332" s="2"/>
      <c r="Y1332" s="101"/>
      <c r="Z1332" s="100"/>
    </row>
    <row r="1333" spans="24:26">
      <c r="X1333" s="2"/>
      <c r="Y1333" s="101"/>
      <c r="Z1333" s="100"/>
    </row>
    <row r="1334" spans="24:26">
      <c r="X1334" s="2"/>
      <c r="Y1334" s="101"/>
      <c r="Z1334" s="100"/>
    </row>
    <row r="1335" spans="24:26">
      <c r="X1335" s="2"/>
      <c r="Y1335" s="101"/>
      <c r="Z1335" s="100"/>
    </row>
    <row r="1336" spans="24:26">
      <c r="X1336" s="2"/>
      <c r="Y1336" s="101"/>
      <c r="Z1336" s="100"/>
    </row>
    <row r="1337" spans="24:26">
      <c r="X1337" s="2"/>
      <c r="Y1337" s="101"/>
      <c r="Z1337" s="100"/>
    </row>
    <row r="1338" spans="24:26">
      <c r="X1338" s="2"/>
      <c r="Y1338" s="101"/>
      <c r="Z1338" s="100"/>
    </row>
    <row r="1339" spans="24:26">
      <c r="X1339" s="2"/>
      <c r="Y1339" s="101"/>
      <c r="Z1339" s="100"/>
    </row>
    <row r="1340" spans="24:26">
      <c r="X1340" s="2"/>
      <c r="Y1340" s="101"/>
      <c r="Z1340" s="100"/>
    </row>
    <row r="1341" spans="24:26">
      <c r="X1341" s="2"/>
      <c r="Y1341" s="101"/>
      <c r="Z1341" s="100"/>
    </row>
    <row r="1342" spans="24:26">
      <c r="X1342" s="2"/>
      <c r="Y1342" s="101"/>
      <c r="Z1342" s="100"/>
    </row>
    <row r="1343" spans="24:26">
      <c r="X1343" s="2"/>
      <c r="Y1343" s="101"/>
      <c r="Z1343" s="100"/>
    </row>
    <row r="1344" spans="24:26">
      <c r="X1344" s="2"/>
      <c r="Y1344" s="101"/>
      <c r="Z1344" s="100"/>
    </row>
    <row r="1345" spans="24:26">
      <c r="X1345" s="2"/>
      <c r="Y1345" s="101"/>
      <c r="Z1345" s="100"/>
    </row>
    <row r="1346" spans="24:26">
      <c r="X1346" s="2"/>
      <c r="Y1346" s="101"/>
      <c r="Z1346" s="100"/>
    </row>
    <row r="1347" spans="24:26">
      <c r="X1347" s="2"/>
      <c r="Y1347" s="101"/>
      <c r="Z1347" s="100"/>
    </row>
    <row r="1348" spans="24:26">
      <c r="X1348" s="2"/>
      <c r="Y1348" s="101"/>
      <c r="Z1348" s="100"/>
    </row>
    <row r="1349" spans="24:26">
      <c r="X1349" s="2"/>
      <c r="Y1349" s="101"/>
      <c r="Z1349" s="100"/>
    </row>
    <row r="1350" spans="24:26">
      <c r="X1350" s="2"/>
      <c r="Y1350" s="101"/>
      <c r="Z1350" s="100"/>
    </row>
    <row r="1351" spans="24:26">
      <c r="X1351" s="2"/>
      <c r="Y1351" s="101"/>
      <c r="Z1351" s="100"/>
    </row>
    <row r="1352" spans="24:26">
      <c r="X1352" s="2"/>
      <c r="Y1352" s="101"/>
      <c r="Z1352" s="100"/>
    </row>
    <row r="1353" spans="24:26">
      <c r="X1353" s="2"/>
      <c r="Y1353" s="101"/>
      <c r="Z1353" s="100"/>
    </row>
    <row r="1354" spans="24:26">
      <c r="X1354" s="2"/>
      <c r="Y1354" s="101"/>
      <c r="Z1354" s="100"/>
    </row>
    <row r="1355" spans="24:26">
      <c r="X1355" s="2"/>
      <c r="Y1355" s="101"/>
      <c r="Z1355" s="100"/>
    </row>
    <row r="1356" spans="24:26">
      <c r="X1356" s="2"/>
      <c r="Y1356" s="101"/>
      <c r="Z1356" s="100"/>
    </row>
    <row r="1357" spans="24:26">
      <c r="X1357" s="2"/>
      <c r="Y1357" s="101"/>
      <c r="Z1357" s="100"/>
    </row>
    <row r="1358" spans="24:26">
      <c r="X1358" s="2"/>
      <c r="Y1358" s="101"/>
      <c r="Z1358" s="100"/>
    </row>
    <row r="1359" spans="24:26">
      <c r="X1359" s="2"/>
      <c r="Y1359" s="101"/>
      <c r="Z1359" s="100"/>
    </row>
    <row r="1360" spans="24:26">
      <c r="X1360" s="2"/>
      <c r="Y1360" s="101"/>
      <c r="Z1360" s="100"/>
    </row>
    <row r="1361" spans="24:26">
      <c r="X1361" s="2"/>
      <c r="Y1361" s="101"/>
      <c r="Z1361" s="100"/>
    </row>
    <row r="1362" spans="24:26">
      <c r="X1362" s="2"/>
      <c r="Y1362" s="101"/>
      <c r="Z1362" s="100"/>
    </row>
    <row r="1363" spans="24:26">
      <c r="X1363" s="2"/>
      <c r="Y1363" s="101"/>
      <c r="Z1363" s="100"/>
    </row>
    <row r="1364" spans="24:26">
      <c r="X1364" s="2"/>
      <c r="Y1364" s="101"/>
      <c r="Z1364" s="100"/>
    </row>
    <row r="1365" spans="24:26">
      <c r="X1365" s="2"/>
      <c r="Y1365" s="101"/>
      <c r="Z1365" s="100"/>
    </row>
    <row r="1366" spans="24:26">
      <c r="X1366" s="2"/>
      <c r="Y1366" s="101"/>
      <c r="Z1366" s="100"/>
    </row>
    <row r="1367" spans="24:26">
      <c r="X1367" s="2"/>
      <c r="Y1367" s="101"/>
      <c r="Z1367" s="100"/>
    </row>
    <row r="1368" spans="24:26">
      <c r="X1368" s="2"/>
      <c r="Y1368" s="101"/>
      <c r="Z1368" s="100"/>
    </row>
    <row r="1369" spans="24:26">
      <c r="X1369" s="2"/>
      <c r="Y1369" s="101"/>
      <c r="Z1369" s="100"/>
    </row>
    <row r="1370" spans="24:26">
      <c r="X1370" s="2"/>
      <c r="Y1370" s="101"/>
      <c r="Z1370" s="100"/>
    </row>
    <row r="1371" spans="24:26">
      <c r="X1371" s="2"/>
      <c r="Y1371" s="101"/>
      <c r="Z1371" s="100"/>
    </row>
    <row r="1372" spans="24:26">
      <c r="X1372" s="2"/>
      <c r="Y1372" s="101"/>
      <c r="Z1372" s="100"/>
    </row>
    <row r="1373" spans="24:26">
      <c r="X1373" s="2"/>
      <c r="Y1373" s="101"/>
      <c r="Z1373" s="100"/>
    </row>
    <row r="1374" spans="24:26">
      <c r="X1374" s="2"/>
      <c r="Y1374" s="101"/>
      <c r="Z1374" s="100"/>
    </row>
    <row r="1375" spans="24:26">
      <c r="X1375" s="2"/>
      <c r="Y1375" s="101"/>
      <c r="Z1375" s="100"/>
    </row>
    <row r="1376" spans="24:26">
      <c r="X1376" s="2"/>
      <c r="Y1376" s="101"/>
      <c r="Z1376" s="100"/>
    </row>
    <row r="1377" spans="24:26">
      <c r="X1377" s="2"/>
      <c r="Y1377" s="101"/>
      <c r="Z1377" s="100"/>
    </row>
    <row r="1378" spans="24:26">
      <c r="X1378" s="2"/>
      <c r="Y1378" s="101"/>
      <c r="Z1378" s="100"/>
    </row>
    <row r="1379" spans="24:26">
      <c r="X1379" s="2"/>
      <c r="Y1379" s="101"/>
      <c r="Z1379" s="100"/>
    </row>
    <row r="1380" spans="24:26">
      <c r="X1380" s="2"/>
      <c r="Y1380" s="101"/>
      <c r="Z1380" s="100"/>
    </row>
    <row r="1381" spans="24:26">
      <c r="X1381" s="2"/>
      <c r="Y1381" s="101"/>
      <c r="Z1381" s="100"/>
    </row>
    <row r="1382" spans="24:26">
      <c r="X1382" s="2"/>
      <c r="Y1382" s="101"/>
      <c r="Z1382" s="100"/>
    </row>
    <row r="1383" spans="24:26">
      <c r="X1383" s="2"/>
      <c r="Y1383" s="101"/>
      <c r="Z1383" s="100"/>
    </row>
    <row r="1384" spans="24:26">
      <c r="X1384" s="2"/>
      <c r="Y1384" s="101"/>
      <c r="Z1384" s="100"/>
    </row>
    <row r="1385" spans="24:26">
      <c r="X1385" s="2"/>
      <c r="Y1385" s="101"/>
      <c r="Z1385" s="100"/>
    </row>
    <row r="1386" spans="24:26">
      <c r="X1386" s="2"/>
      <c r="Y1386" s="101"/>
      <c r="Z1386" s="100"/>
    </row>
    <row r="1387" spans="24:26">
      <c r="X1387" s="2"/>
      <c r="Y1387" s="101"/>
      <c r="Z1387" s="100"/>
    </row>
    <row r="1388" spans="24:26">
      <c r="X1388" s="2"/>
      <c r="Y1388" s="101"/>
      <c r="Z1388" s="100"/>
    </row>
    <row r="1389" spans="24:26">
      <c r="X1389" s="2"/>
      <c r="Y1389" s="101"/>
      <c r="Z1389" s="100"/>
    </row>
    <row r="1390" spans="24:26">
      <c r="X1390" s="2"/>
      <c r="Y1390" s="101"/>
      <c r="Z1390" s="100"/>
    </row>
    <row r="1391" spans="24:26">
      <c r="X1391" s="2"/>
      <c r="Y1391" s="101"/>
      <c r="Z1391" s="100"/>
    </row>
    <row r="1392" spans="24:26">
      <c r="X1392" s="2"/>
      <c r="Y1392" s="101"/>
      <c r="Z1392" s="100"/>
    </row>
    <row r="1393" spans="24:26">
      <c r="X1393" s="2"/>
      <c r="Y1393" s="101"/>
      <c r="Z1393" s="100"/>
    </row>
    <row r="1394" spans="24:26">
      <c r="X1394" s="2"/>
      <c r="Y1394" s="101"/>
      <c r="Z1394" s="100"/>
    </row>
    <row r="1395" spans="24:26">
      <c r="X1395" s="2"/>
      <c r="Y1395" s="101"/>
      <c r="Z1395" s="100"/>
    </row>
    <row r="1396" spans="24:26">
      <c r="X1396" s="2"/>
      <c r="Y1396" s="101"/>
      <c r="Z1396" s="100"/>
    </row>
    <row r="1397" spans="24:26">
      <c r="X1397" s="2"/>
      <c r="Y1397" s="101"/>
      <c r="Z1397" s="100"/>
    </row>
    <row r="1398" spans="24:26">
      <c r="X1398" s="2"/>
      <c r="Y1398" s="101"/>
      <c r="Z1398" s="100"/>
    </row>
    <row r="1399" spans="24:26">
      <c r="X1399" s="2"/>
      <c r="Y1399" s="101"/>
      <c r="Z1399" s="100"/>
    </row>
    <row r="1400" spans="24:26">
      <c r="X1400" s="2"/>
      <c r="Y1400" s="101"/>
      <c r="Z1400" s="100"/>
    </row>
    <row r="1401" spans="24:26">
      <c r="X1401" s="2"/>
      <c r="Y1401" s="101"/>
      <c r="Z1401" s="100"/>
    </row>
    <row r="1402" spans="24:26">
      <c r="X1402" s="2"/>
      <c r="Y1402" s="101"/>
      <c r="Z1402" s="100"/>
    </row>
    <row r="1403" spans="24:26">
      <c r="X1403" s="2"/>
      <c r="Y1403" s="101"/>
      <c r="Z1403" s="100"/>
    </row>
    <row r="1404" spans="24:26">
      <c r="X1404" s="2"/>
      <c r="Y1404" s="101"/>
      <c r="Z1404" s="100"/>
    </row>
    <row r="1405" spans="24:26">
      <c r="X1405" s="2"/>
      <c r="Y1405" s="101"/>
      <c r="Z1405" s="100"/>
    </row>
    <row r="1406" spans="24:26">
      <c r="X1406" s="2"/>
      <c r="Y1406" s="101"/>
      <c r="Z1406" s="100"/>
    </row>
    <row r="1407" spans="24:26">
      <c r="X1407" s="2"/>
      <c r="Y1407" s="101"/>
      <c r="Z1407" s="100"/>
    </row>
    <row r="1408" spans="24:26">
      <c r="X1408" s="2"/>
      <c r="Y1408" s="101"/>
      <c r="Z1408" s="100"/>
    </row>
    <row r="1409" spans="24:26">
      <c r="X1409" s="2"/>
      <c r="Y1409" s="101"/>
      <c r="Z1409" s="100"/>
    </row>
    <row r="1410" spans="24:26">
      <c r="X1410" s="2"/>
      <c r="Y1410" s="101"/>
      <c r="Z1410" s="100"/>
    </row>
    <row r="1411" spans="24:26">
      <c r="X1411" s="2"/>
      <c r="Y1411" s="101"/>
      <c r="Z1411" s="100"/>
    </row>
    <row r="1412" spans="24:26">
      <c r="X1412" s="2"/>
      <c r="Y1412" s="101"/>
      <c r="Z1412" s="100"/>
    </row>
    <row r="1413" spans="24:26">
      <c r="X1413" s="2"/>
      <c r="Y1413" s="101"/>
      <c r="Z1413" s="100"/>
    </row>
    <row r="1414" spans="24:26">
      <c r="X1414" s="2"/>
      <c r="Y1414" s="101"/>
      <c r="Z1414" s="100"/>
    </row>
    <row r="1415" spans="24:26">
      <c r="X1415" s="2"/>
      <c r="Y1415" s="101"/>
      <c r="Z1415" s="100"/>
    </row>
    <row r="1416" spans="24:26">
      <c r="X1416" s="2"/>
      <c r="Y1416" s="101"/>
      <c r="Z1416" s="100"/>
    </row>
    <row r="1417" spans="24:26">
      <c r="X1417" s="2"/>
      <c r="Y1417" s="101"/>
      <c r="Z1417" s="100"/>
    </row>
    <row r="1418" spans="24:26">
      <c r="X1418" s="2"/>
      <c r="Y1418" s="101"/>
      <c r="Z1418" s="100"/>
    </row>
    <row r="1419" spans="24:26">
      <c r="X1419" s="2"/>
      <c r="Y1419" s="101"/>
      <c r="Z1419" s="100"/>
    </row>
    <row r="1420" spans="24:26">
      <c r="X1420" s="2"/>
      <c r="Y1420" s="101"/>
      <c r="Z1420" s="100"/>
    </row>
    <row r="1421" spans="24:26">
      <c r="X1421" s="2"/>
      <c r="Y1421" s="101"/>
      <c r="Z1421" s="100"/>
    </row>
    <row r="1422" spans="24:26">
      <c r="X1422" s="2"/>
      <c r="Y1422" s="101"/>
      <c r="Z1422" s="100"/>
    </row>
    <row r="1423" spans="24:26">
      <c r="X1423" s="2"/>
      <c r="Y1423" s="101"/>
      <c r="Z1423" s="100"/>
    </row>
    <row r="1424" spans="24:26">
      <c r="X1424" s="2"/>
      <c r="Y1424" s="101"/>
      <c r="Z1424" s="100"/>
    </row>
    <row r="1425" spans="24:26">
      <c r="X1425" s="2"/>
      <c r="Y1425" s="101"/>
      <c r="Z1425" s="100"/>
    </row>
    <row r="1426" spans="24:26">
      <c r="X1426" s="2"/>
      <c r="Y1426" s="101"/>
      <c r="Z1426" s="100"/>
    </row>
    <row r="1427" spans="24:26">
      <c r="X1427" s="2"/>
      <c r="Y1427" s="101"/>
      <c r="Z1427" s="100"/>
    </row>
    <row r="1428" spans="24:26">
      <c r="X1428" s="2"/>
      <c r="Y1428" s="101"/>
      <c r="Z1428" s="100"/>
    </row>
    <row r="1429" spans="24:26">
      <c r="X1429" s="2"/>
      <c r="Y1429" s="101"/>
      <c r="Z1429" s="100"/>
    </row>
    <row r="1430" spans="24:26">
      <c r="X1430" s="2"/>
      <c r="Y1430" s="101"/>
      <c r="Z1430" s="100"/>
    </row>
    <row r="1431" spans="24:26">
      <c r="X1431" s="2"/>
      <c r="Y1431" s="101"/>
      <c r="Z1431" s="100"/>
    </row>
    <row r="1432" spans="24:26">
      <c r="X1432" s="2"/>
      <c r="Y1432" s="101"/>
      <c r="Z1432" s="100"/>
    </row>
    <row r="1433" spans="24:26">
      <c r="X1433" s="2"/>
      <c r="Y1433" s="101"/>
      <c r="Z1433" s="100"/>
    </row>
    <row r="1434" spans="24:26">
      <c r="X1434" s="2"/>
      <c r="Y1434" s="101"/>
      <c r="Z1434" s="100"/>
    </row>
    <row r="1435" spans="24:26">
      <c r="X1435" s="2"/>
      <c r="Y1435" s="101"/>
      <c r="Z1435" s="100"/>
    </row>
    <row r="1436" spans="24:26">
      <c r="X1436" s="2"/>
      <c r="Y1436" s="101"/>
      <c r="Z1436" s="100"/>
    </row>
    <row r="1437" spans="24:26">
      <c r="X1437" s="2"/>
      <c r="Y1437" s="101"/>
      <c r="Z1437" s="100"/>
    </row>
    <row r="1438" spans="24:26">
      <c r="X1438" s="2"/>
      <c r="Y1438" s="101"/>
      <c r="Z1438" s="100"/>
    </row>
    <row r="1439" spans="24:26">
      <c r="X1439" s="2"/>
      <c r="Y1439" s="101"/>
      <c r="Z1439" s="100"/>
    </row>
    <row r="1440" spans="24:26">
      <c r="X1440" s="2"/>
      <c r="Y1440" s="101"/>
      <c r="Z1440" s="100"/>
    </row>
    <row r="1441" spans="24:26">
      <c r="X1441" s="2"/>
      <c r="Y1441" s="101"/>
      <c r="Z1441" s="100"/>
    </row>
    <row r="1442" spans="24:26">
      <c r="X1442" s="2"/>
      <c r="Y1442" s="101"/>
      <c r="Z1442" s="100"/>
    </row>
    <row r="1443" spans="24:26">
      <c r="X1443" s="2"/>
      <c r="Y1443" s="101"/>
      <c r="Z1443" s="100"/>
    </row>
    <row r="1444" spans="24:26">
      <c r="X1444" s="2"/>
      <c r="Y1444" s="101"/>
      <c r="Z1444" s="100"/>
    </row>
    <row r="1445" spans="24:26">
      <c r="X1445" s="2"/>
      <c r="Y1445" s="101"/>
      <c r="Z1445" s="100"/>
    </row>
    <row r="1446" spans="24:26">
      <c r="X1446" s="2"/>
      <c r="Y1446" s="101"/>
      <c r="Z1446" s="100"/>
    </row>
    <row r="1447" spans="24:26">
      <c r="X1447" s="2"/>
      <c r="Y1447" s="101"/>
      <c r="Z1447" s="100"/>
    </row>
    <row r="1448" spans="24:26">
      <c r="X1448" s="2"/>
      <c r="Y1448" s="101"/>
      <c r="Z1448" s="100"/>
    </row>
    <row r="1449" spans="24:26">
      <c r="X1449" s="2"/>
      <c r="Y1449" s="101"/>
      <c r="Z1449" s="100"/>
    </row>
    <row r="1450" spans="24:26">
      <c r="X1450" s="2"/>
      <c r="Y1450" s="101"/>
      <c r="Z1450" s="100"/>
    </row>
    <row r="1451" spans="24:26">
      <c r="X1451" s="2"/>
      <c r="Y1451" s="101"/>
      <c r="Z1451" s="100"/>
    </row>
    <row r="1452" spans="24:26">
      <c r="X1452" s="2"/>
      <c r="Y1452" s="101"/>
      <c r="Z1452" s="100"/>
    </row>
    <row r="1453" spans="24:26">
      <c r="X1453" s="2"/>
      <c r="Y1453" s="101"/>
      <c r="Z1453" s="100"/>
    </row>
    <row r="1454" spans="24:26">
      <c r="X1454" s="2"/>
      <c r="Y1454" s="101"/>
      <c r="Z1454" s="100"/>
    </row>
    <row r="1455" spans="24:26">
      <c r="X1455" s="2"/>
      <c r="Y1455" s="101"/>
      <c r="Z1455" s="100"/>
    </row>
    <row r="1456" spans="24:26">
      <c r="X1456" s="2"/>
      <c r="Y1456" s="101"/>
      <c r="Z1456" s="100"/>
    </row>
    <row r="1457" spans="24:26">
      <c r="X1457" s="2"/>
      <c r="Y1457" s="101"/>
      <c r="Z1457" s="100"/>
    </row>
    <row r="1458" spans="24:26">
      <c r="X1458" s="2"/>
      <c r="Y1458" s="101"/>
      <c r="Z1458" s="100"/>
    </row>
    <row r="1459" spans="24:26">
      <c r="X1459" s="2"/>
      <c r="Y1459" s="101"/>
      <c r="Z1459" s="100"/>
    </row>
    <row r="1460" spans="24:26">
      <c r="X1460" s="2"/>
      <c r="Y1460" s="101"/>
      <c r="Z1460" s="100"/>
    </row>
    <row r="1461" spans="24:26">
      <c r="X1461" s="2"/>
      <c r="Y1461" s="101"/>
      <c r="Z1461" s="100"/>
    </row>
    <row r="1462" spans="24:26">
      <c r="X1462" s="2"/>
      <c r="Y1462" s="101"/>
      <c r="Z1462" s="100"/>
    </row>
    <row r="1463" spans="24:26">
      <c r="X1463" s="2"/>
      <c r="Y1463" s="101"/>
      <c r="Z1463" s="100"/>
    </row>
    <row r="1464" spans="24:26">
      <c r="X1464" s="2"/>
      <c r="Y1464" s="101"/>
      <c r="Z1464" s="100"/>
    </row>
    <row r="1465" spans="24:26">
      <c r="X1465" s="2"/>
      <c r="Y1465" s="101"/>
      <c r="Z1465" s="100"/>
    </row>
    <row r="1466" spans="24:26">
      <c r="X1466" s="2"/>
      <c r="Y1466" s="101"/>
      <c r="Z1466" s="100"/>
    </row>
    <row r="1467" spans="24:26">
      <c r="X1467" s="2"/>
      <c r="Y1467" s="101"/>
      <c r="Z1467" s="100"/>
    </row>
    <row r="1468" spans="24:26">
      <c r="X1468" s="2"/>
      <c r="Y1468" s="101"/>
      <c r="Z1468" s="100"/>
    </row>
    <row r="1469" spans="24:26">
      <c r="X1469" s="2"/>
      <c r="Y1469" s="101"/>
      <c r="Z1469" s="100"/>
    </row>
    <row r="1470" spans="24:26">
      <c r="X1470" s="2"/>
      <c r="Y1470" s="101"/>
      <c r="Z1470" s="100"/>
    </row>
    <row r="1471" spans="24:26">
      <c r="X1471" s="2"/>
      <c r="Y1471" s="101"/>
      <c r="Z1471" s="100"/>
    </row>
    <row r="1472" spans="24:26">
      <c r="X1472" s="2"/>
      <c r="Y1472" s="101"/>
      <c r="Z1472" s="100"/>
    </row>
    <row r="1473" spans="24:26">
      <c r="X1473" s="2"/>
      <c r="Y1473" s="101"/>
      <c r="Z1473" s="100"/>
    </row>
    <row r="1474" spans="24:26">
      <c r="X1474" s="2"/>
      <c r="Y1474" s="101"/>
      <c r="Z1474" s="100"/>
    </row>
    <row r="1475" spans="24:26">
      <c r="X1475" s="2"/>
      <c r="Y1475" s="101"/>
      <c r="Z1475" s="100"/>
    </row>
    <row r="1476" spans="24:26">
      <c r="X1476" s="2"/>
      <c r="Y1476" s="101"/>
      <c r="Z1476" s="100"/>
    </row>
    <row r="1477" spans="24:26">
      <c r="X1477" s="2"/>
      <c r="Y1477" s="101"/>
      <c r="Z1477" s="100"/>
    </row>
    <row r="1478" spans="24:26">
      <c r="X1478" s="2"/>
      <c r="Y1478" s="101"/>
      <c r="Z1478" s="100"/>
    </row>
    <row r="1479" spans="24:26">
      <c r="X1479" s="2"/>
      <c r="Y1479" s="101"/>
      <c r="Z1479" s="100"/>
    </row>
    <row r="1480" spans="24:26">
      <c r="X1480" s="2"/>
      <c r="Y1480" s="101"/>
      <c r="Z1480" s="100"/>
    </row>
    <row r="1481" spans="24:26">
      <c r="X1481" s="2"/>
      <c r="Y1481" s="101"/>
      <c r="Z1481" s="100"/>
    </row>
    <row r="1482" spans="24:26">
      <c r="X1482" s="2"/>
      <c r="Y1482" s="101"/>
      <c r="Z1482" s="100"/>
    </row>
    <row r="1483" spans="24:26">
      <c r="X1483" s="2"/>
      <c r="Y1483" s="101"/>
      <c r="Z1483" s="100"/>
    </row>
    <row r="1484" spans="24:26">
      <c r="X1484" s="2"/>
      <c r="Y1484" s="101"/>
      <c r="Z1484" s="100"/>
    </row>
    <row r="1485" spans="24:26">
      <c r="X1485" s="2"/>
      <c r="Y1485" s="101"/>
      <c r="Z1485" s="100"/>
    </row>
    <row r="1486" spans="24:26">
      <c r="X1486" s="2"/>
      <c r="Y1486" s="101"/>
      <c r="Z1486" s="100"/>
    </row>
    <row r="1487" spans="24:26">
      <c r="X1487" s="2"/>
      <c r="Y1487" s="101"/>
      <c r="Z1487" s="100"/>
    </row>
    <row r="1488" spans="24:26">
      <c r="X1488" s="2"/>
      <c r="Y1488" s="101"/>
      <c r="Z1488" s="100"/>
    </row>
    <row r="1489" spans="24:26">
      <c r="X1489" s="2"/>
      <c r="Y1489" s="101"/>
      <c r="Z1489" s="100"/>
    </row>
    <row r="1490" spans="24:26">
      <c r="X1490" s="2"/>
      <c r="Y1490" s="101"/>
      <c r="Z1490" s="100"/>
    </row>
    <row r="1491" spans="24:26">
      <c r="X1491" s="2"/>
      <c r="Y1491" s="101"/>
      <c r="Z1491" s="100"/>
    </row>
    <row r="1492" spans="24:26">
      <c r="X1492" s="2"/>
      <c r="Y1492" s="101"/>
      <c r="Z1492" s="100"/>
    </row>
    <row r="1493" spans="24:26">
      <c r="X1493" s="2"/>
      <c r="Y1493" s="101"/>
      <c r="Z1493" s="100"/>
    </row>
    <row r="1494" spans="24:26">
      <c r="X1494" s="2"/>
      <c r="Y1494" s="101"/>
      <c r="Z1494" s="100"/>
    </row>
    <row r="1495" spans="24:26">
      <c r="X1495" s="2"/>
      <c r="Y1495" s="101"/>
      <c r="Z1495" s="100"/>
    </row>
    <row r="1496" spans="24:26">
      <c r="X1496" s="2"/>
      <c r="Y1496" s="101"/>
      <c r="Z1496" s="100"/>
    </row>
    <row r="1497" spans="24:26">
      <c r="X1497" s="2"/>
      <c r="Y1497" s="101"/>
      <c r="Z1497" s="100"/>
    </row>
    <row r="1498" spans="24:26">
      <c r="X1498" s="2"/>
      <c r="Y1498" s="101"/>
      <c r="Z1498" s="100"/>
    </row>
    <row r="1499" spans="24:26">
      <c r="X1499" s="2"/>
      <c r="Y1499" s="101"/>
      <c r="Z1499" s="100"/>
    </row>
    <row r="1500" spans="24:26">
      <c r="X1500" s="2"/>
      <c r="Y1500" s="101"/>
      <c r="Z1500" s="100"/>
    </row>
    <row r="1501" spans="24:26">
      <c r="X1501" s="2"/>
      <c r="Y1501" s="101"/>
      <c r="Z1501" s="100"/>
    </row>
    <row r="1502" spans="24:26">
      <c r="X1502" s="2"/>
      <c r="Y1502" s="101"/>
      <c r="Z1502" s="100"/>
    </row>
    <row r="1503" spans="24:26">
      <c r="X1503" s="2"/>
      <c r="Y1503" s="101"/>
      <c r="Z1503" s="100"/>
    </row>
    <row r="1504" spans="24:26">
      <c r="X1504" s="2"/>
      <c r="Y1504" s="101"/>
      <c r="Z1504" s="100"/>
    </row>
    <row r="1505" spans="24:26">
      <c r="X1505" s="2"/>
      <c r="Y1505" s="101"/>
      <c r="Z1505" s="100"/>
    </row>
    <row r="1506" spans="24:26">
      <c r="X1506" s="2"/>
      <c r="Y1506" s="101"/>
      <c r="Z1506" s="100"/>
    </row>
    <row r="1507" spans="24:26">
      <c r="X1507" s="2"/>
      <c r="Y1507" s="101"/>
      <c r="Z1507" s="100"/>
    </row>
    <row r="1508" spans="24:26">
      <c r="X1508" s="2"/>
      <c r="Y1508" s="101"/>
      <c r="Z1508" s="100"/>
    </row>
    <row r="1509" spans="24:26">
      <c r="X1509" s="2"/>
      <c r="Y1509" s="101"/>
      <c r="Z1509" s="100"/>
    </row>
    <row r="1510" spans="24:26">
      <c r="X1510" s="2"/>
      <c r="Y1510" s="101"/>
      <c r="Z1510" s="100"/>
    </row>
    <row r="1511" spans="24:26">
      <c r="X1511" s="2"/>
      <c r="Y1511" s="101"/>
      <c r="Z1511" s="100"/>
    </row>
    <row r="1512" spans="24:26">
      <c r="X1512" s="2"/>
      <c r="Y1512" s="101"/>
      <c r="Z1512" s="100"/>
    </row>
    <row r="1513" spans="24:26">
      <c r="X1513" s="2"/>
      <c r="Y1513" s="101"/>
      <c r="Z1513" s="100"/>
    </row>
    <row r="1514" spans="24:26">
      <c r="X1514" s="2"/>
      <c r="Y1514" s="101"/>
      <c r="Z1514" s="100"/>
    </row>
    <row r="1515" spans="24:26">
      <c r="X1515" s="2"/>
      <c r="Y1515" s="101"/>
      <c r="Z1515" s="100"/>
    </row>
    <row r="1516" spans="24:26">
      <c r="X1516" s="2"/>
      <c r="Y1516" s="101"/>
      <c r="Z1516" s="100"/>
    </row>
    <row r="1517" spans="24:26">
      <c r="X1517" s="2"/>
      <c r="Y1517" s="101"/>
      <c r="Z1517" s="100"/>
    </row>
    <row r="1518" spans="24:26">
      <c r="X1518" s="2"/>
      <c r="Y1518" s="101"/>
      <c r="Z1518" s="100"/>
    </row>
    <row r="1519" spans="24:26">
      <c r="X1519" s="2"/>
      <c r="Y1519" s="101"/>
      <c r="Z1519" s="100"/>
    </row>
    <row r="1520" spans="24:26">
      <c r="X1520" s="2"/>
      <c r="Y1520" s="101"/>
      <c r="Z1520" s="100"/>
    </row>
    <row r="1521" spans="24:26">
      <c r="X1521" s="2"/>
      <c r="Y1521" s="101"/>
      <c r="Z1521" s="100"/>
    </row>
    <row r="1522" spans="24:26">
      <c r="X1522" s="2"/>
      <c r="Y1522" s="101"/>
      <c r="Z1522" s="100"/>
    </row>
    <row r="1523" spans="24:26">
      <c r="X1523" s="2"/>
      <c r="Y1523" s="101"/>
      <c r="Z1523" s="100"/>
    </row>
    <row r="1524" spans="24:26">
      <c r="X1524" s="2"/>
      <c r="Y1524" s="101"/>
      <c r="Z1524" s="100"/>
    </row>
    <row r="1525" spans="24:26">
      <c r="X1525" s="2"/>
      <c r="Y1525" s="101"/>
      <c r="Z1525" s="100"/>
    </row>
    <row r="1526" spans="24:26">
      <c r="X1526" s="2"/>
      <c r="Y1526" s="101"/>
      <c r="Z1526" s="100"/>
    </row>
    <row r="1527" spans="24:26">
      <c r="X1527" s="2"/>
      <c r="Y1527" s="101"/>
      <c r="Z1527" s="100"/>
    </row>
    <row r="1528" spans="24:26">
      <c r="X1528" s="2"/>
      <c r="Y1528" s="101"/>
      <c r="Z1528" s="100"/>
    </row>
    <row r="1529" spans="24:26">
      <c r="X1529" s="2"/>
      <c r="Y1529" s="101"/>
      <c r="Z1529" s="100"/>
    </row>
    <row r="1530" spans="24:26">
      <c r="X1530" s="2"/>
      <c r="Y1530" s="101"/>
      <c r="Z1530" s="100"/>
    </row>
    <row r="1531" spans="24:26">
      <c r="X1531" s="2"/>
      <c r="Y1531" s="101"/>
      <c r="Z1531" s="100"/>
    </row>
    <row r="1532" spans="24:26">
      <c r="X1532" s="2"/>
      <c r="Y1532" s="101"/>
      <c r="Z1532" s="100"/>
    </row>
    <row r="1533" spans="24:26">
      <c r="X1533" s="2"/>
      <c r="Y1533" s="101"/>
      <c r="Z1533" s="100"/>
    </row>
    <row r="1534" spans="24:26">
      <c r="X1534" s="2"/>
      <c r="Y1534" s="101"/>
      <c r="Z1534" s="100"/>
    </row>
    <row r="1535" spans="24:26">
      <c r="X1535" s="2"/>
      <c r="Y1535" s="101"/>
      <c r="Z1535" s="100"/>
    </row>
    <row r="1536" spans="24:26">
      <c r="X1536" s="2"/>
      <c r="Y1536" s="101"/>
      <c r="Z1536" s="100"/>
    </row>
    <row r="1537" spans="24:26">
      <c r="X1537" s="2"/>
      <c r="Y1537" s="101"/>
      <c r="Z1537" s="100"/>
    </row>
    <row r="1538" spans="24:26">
      <c r="X1538" s="2"/>
      <c r="Y1538" s="101"/>
      <c r="Z1538" s="100"/>
    </row>
    <row r="1539" spans="24:26">
      <c r="X1539" s="2"/>
      <c r="Y1539" s="101"/>
      <c r="Z1539" s="100"/>
    </row>
    <row r="1540" spans="24:26">
      <c r="X1540" s="2"/>
      <c r="Y1540" s="101"/>
      <c r="Z1540" s="100"/>
    </row>
    <row r="1541" spans="24:26">
      <c r="X1541" s="2"/>
      <c r="Y1541" s="101"/>
      <c r="Z1541" s="100"/>
    </row>
    <row r="1542" spans="24:26">
      <c r="X1542" s="2"/>
      <c r="Y1542" s="101"/>
      <c r="Z1542" s="100"/>
    </row>
    <row r="1543" spans="24:26">
      <c r="X1543" s="2"/>
      <c r="Y1543" s="101"/>
      <c r="Z1543" s="100"/>
    </row>
    <row r="1544" spans="24:26">
      <c r="X1544" s="2"/>
      <c r="Y1544" s="101"/>
      <c r="Z1544" s="100"/>
    </row>
    <row r="1545" spans="24:26">
      <c r="X1545" s="2"/>
      <c r="Y1545" s="101"/>
      <c r="Z1545" s="100"/>
    </row>
    <row r="1546" spans="24:26">
      <c r="X1546" s="2"/>
      <c r="Y1546" s="101"/>
      <c r="Z1546" s="100"/>
    </row>
    <row r="1547" spans="24:26">
      <c r="X1547" s="2"/>
      <c r="Y1547" s="101"/>
      <c r="Z1547" s="100"/>
    </row>
    <row r="1548" spans="24:26">
      <c r="X1548" s="2"/>
      <c r="Y1548" s="101"/>
      <c r="Z1548" s="100"/>
    </row>
    <row r="1549" spans="24:26">
      <c r="X1549" s="2"/>
      <c r="Y1549" s="101"/>
      <c r="Z1549" s="100"/>
    </row>
    <row r="1550" spans="24:26">
      <c r="X1550" s="2"/>
      <c r="Y1550" s="101"/>
      <c r="Z1550" s="100"/>
    </row>
    <row r="1551" spans="24:26">
      <c r="X1551" s="2"/>
      <c r="Y1551" s="101"/>
      <c r="Z1551" s="100"/>
    </row>
    <row r="1552" spans="24:26">
      <c r="X1552" s="2"/>
      <c r="Y1552" s="101"/>
      <c r="Z1552" s="100"/>
    </row>
    <row r="1553" spans="24:26">
      <c r="X1553" s="2"/>
      <c r="Y1553" s="101"/>
      <c r="Z1553" s="100"/>
    </row>
    <row r="1554" spans="24:26">
      <c r="X1554" s="2"/>
      <c r="Y1554" s="101"/>
      <c r="Z1554" s="100"/>
    </row>
    <row r="1555" spans="24:26">
      <c r="X1555" s="2"/>
      <c r="Y1555" s="101"/>
      <c r="Z1555" s="100"/>
    </row>
    <row r="1556" spans="24:26">
      <c r="X1556" s="2"/>
      <c r="Y1556" s="101"/>
      <c r="Z1556" s="100"/>
    </row>
    <row r="1557" spans="24:26">
      <c r="X1557" s="2"/>
      <c r="Y1557" s="101"/>
      <c r="Z1557" s="100"/>
    </row>
    <row r="1558" spans="24:26">
      <c r="X1558" s="2"/>
      <c r="Y1558" s="101"/>
      <c r="Z1558" s="100"/>
    </row>
    <row r="1559" spans="24:26">
      <c r="X1559" s="2"/>
      <c r="Y1559" s="101"/>
      <c r="Z1559" s="100"/>
    </row>
    <row r="1560" spans="24:26">
      <c r="X1560" s="2"/>
      <c r="Y1560" s="101"/>
      <c r="Z1560" s="100"/>
    </row>
    <row r="1561" spans="24:26">
      <c r="X1561" s="2"/>
      <c r="Y1561" s="101"/>
      <c r="Z1561" s="100"/>
    </row>
    <row r="1562" spans="24:26">
      <c r="X1562" s="2"/>
      <c r="Y1562" s="101"/>
      <c r="Z1562" s="100"/>
    </row>
    <row r="1563" spans="24:26">
      <c r="X1563" s="2"/>
      <c r="Y1563" s="101"/>
      <c r="Z1563" s="100"/>
    </row>
    <row r="1564" spans="24:26">
      <c r="X1564" s="2"/>
      <c r="Y1564" s="101"/>
      <c r="Z1564" s="100"/>
    </row>
    <row r="1565" spans="24:26">
      <c r="X1565" s="2"/>
      <c r="Y1565" s="101"/>
      <c r="Z1565" s="100"/>
    </row>
    <row r="1566" spans="24:26">
      <c r="X1566" s="2"/>
      <c r="Y1566" s="101"/>
      <c r="Z1566" s="100"/>
    </row>
    <row r="1567" spans="24:26">
      <c r="X1567" s="2"/>
      <c r="Y1567" s="101"/>
      <c r="Z1567" s="100"/>
    </row>
    <row r="1568" spans="24:26">
      <c r="X1568" s="2"/>
      <c r="Y1568" s="101"/>
      <c r="Z1568" s="100"/>
    </row>
    <row r="1569" spans="24:26">
      <c r="X1569" s="2"/>
      <c r="Y1569" s="101"/>
      <c r="Z1569" s="100"/>
    </row>
    <row r="1570" spans="24:26">
      <c r="X1570" s="2"/>
      <c r="Y1570" s="101"/>
      <c r="Z1570" s="100"/>
    </row>
    <row r="1571" spans="24:26">
      <c r="X1571" s="2"/>
      <c r="Y1571" s="101"/>
      <c r="Z1571" s="100"/>
    </row>
    <row r="1572" spans="24:26">
      <c r="X1572" s="2"/>
      <c r="Y1572" s="101"/>
      <c r="Z1572" s="100"/>
    </row>
    <row r="1573" spans="24:26">
      <c r="X1573" s="2"/>
      <c r="Y1573" s="101"/>
      <c r="Z1573" s="100"/>
    </row>
    <row r="1574" spans="24:26">
      <c r="X1574" s="2"/>
      <c r="Y1574" s="101"/>
      <c r="Z1574" s="100"/>
    </row>
    <row r="1575" spans="24:26">
      <c r="X1575" s="2"/>
      <c r="Y1575" s="101"/>
      <c r="Z1575" s="100"/>
    </row>
    <row r="1576" spans="24:26">
      <c r="X1576" s="2"/>
      <c r="Y1576" s="101"/>
      <c r="Z1576" s="100"/>
    </row>
    <row r="1577" spans="24:26">
      <c r="X1577" s="2"/>
      <c r="Y1577" s="101"/>
      <c r="Z1577" s="100"/>
    </row>
    <row r="1578" spans="24:26">
      <c r="X1578" s="2"/>
      <c r="Y1578" s="101"/>
      <c r="Z1578" s="100"/>
    </row>
    <row r="1579" spans="24:26">
      <c r="X1579" s="2"/>
      <c r="Y1579" s="101"/>
      <c r="Z1579" s="100"/>
    </row>
    <row r="1580" spans="24:26">
      <c r="X1580" s="2"/>
      <c r="Y1580" s="101"/>
      <c r="Z1580" s="100"/>
    </row>
    <row r="1581" spans="24:26">
      <c r="X1581" s="2"/>
      <c r="Y1581" s="101"/>
      <c r="Z1581" s="100"/>
    </row>
    <row r="1582" spans="24:26">
      <c r="X1582" s="2"/>
      <c r="Y1582" s="101"/>
      <c r="Z1582" s="100"/>
    </row>
    <row r="1583" spans="24:26">
      <c r="X1583" s="2"/>
      <c r="Y1583" s="101"/>
      <c r="Z1583" s="100"/>
    </row>
    <row r="1584" spans="24:26">
      <c r="X1584" s="2"/>
      <c r="Y1584" s="101"/>
      <c r="Z1584" s="100"/>
    </row>
    <row r="1585" spans="24:26">
      <c r="X1585" s="2"/>
      <c r="Y1585" s="101"/>
      <c r="Z1585" s="100"/>
    </row>
    <row r="1586" spans="24:26">
      <c r="X1586" s="2"/>
      <c r="Y1586" s="101"/>
      <c r="Z1586" s="100"/>
    </row>
    <row r="1587" spans="24:26">
      <c r="X1587" s="2"/>
      <c r="Y1587" s="101"/>
      <c r="Z1587" s="100"/>
    </row>
    <row r="1588" spans="24:26">
      <c r="X1588" s="2"/>
      <c r="Y1588" s="101"/>
      <c r="Z1588" s="100"/>
    </row>
    <row r="1589" spans="24:26">
      <c r="X1589" s="2"/>
      <c r="Y1589" s="101"/>
      <c r="Z1589" s="100"/>
    </row>
    <row r="1590" spans="24:26">
      <c r="X1590" s="2"/>
      <c r="Y1590" s="101"/>
      <c r="Z1590" s="100"/>
    </row>
    <row r="1591" spans="24:26">
      <c r="X1591" s="2"/>
      <c r="Y1591" s="101"/>
      <c r="Z1591" s="100"/>
    </row>
    <row r="1592" spans="24:26">
      <c r="X1592" s="2"/>
      <c r="Y1592" s="101"/>
      <c r="Z1592" s="100"/>
    </row>
    <row r="1593" spans="24:26">
      <c r="X1593" s="2"/>
      <c r="Y1593" s="101"/>
      <c r="Z1593" s="100"/>
    </row>
    <row r="1594" spans="24:26">
      <c r="X1594" s="2"/>
      <c r="Y1594" s="101"/>
      <c r="Z1594" s="100"/>
    </row>
    <row r="1595" spans="24:26">
      <c r="X1595" s="2"/>
      <c r="Y1595" s="101"/>
      <c r="Z1595" s="100"/>
    </row>
    <row r="1596" spans="24:26">
      <c r="X1596" s="2"/>
      <c r="Y1596" s="101"/>
      <c r="Z1596" s="100"/>
    </row>
    <row r="1597" spans="24:26">
      <c r="X1597" s="2"/>
      <c r="Y1597" s="101"/>
      <c r="Z1597" s="100"/>
    </row>
    <row r="1598" spans="24:26">
      <c r="X1598" s="2"/>
      <c r="Y1598" s="101"/>
      <c r="Z1598" s="100"/>
    </row>
    <row r="1599" spans="24:26">
      <c r="X1599" s="2"/>
      <c r="Y1599" s="101"/>
      <c r="Z1599" s="100"/>
    </row>
    <row r="1600" spans="24:26">
      <c r="X1600" s="2"/>
      <c r="Y1600" s="101"/>
      <c r="Z1600" s="100"/>
    </row>
    <row r="1601" spans="24:26">
      <c r="X1601" s="2"/>
      <c r="Y1601" s="101"/>
      <c r="Z1601" s="100"/>
    </row>
    <row r="1602" spans="24:26">
      <c r="X1602" s="2"/>
      <c r="Y1602" s="101"/>
      <c r="Z1602" s="100"/>
    </row>
    <row r="1603" spans="24:26">
      <c r="X1603" s="2"/>
      <c r="Y1603" s="101"/>
      <c r="Z1603" s="100"/>
    </row>
    <row r="1604" spans="24:26">
      <c r="X1604" s="2"/>
      <c r="Y1604" s="101"/>
      <c r="Z1604" s="100"/>
    </row>
    <row r="1605" spans="24:26">
      <c r="X1605" s="2"/>
      <c r="Y1605" s="101"/>
      <c r="Z1605" s="100"/>
    </row>
    <row r="1606" spans="24:26">
      <c r="X1606" s="2"/>
      <c r="Y1606" s="101"/>
      <c r="Z1606" s="100"/>
    </row>
    <row r="1607" spans="24:26">
      <c r="X1607" s="2"/>
      <c r="Y1607" s="101"/>
      <c r="Z1607" s="100"/>
    </row>
    <row r="1608" spans="24:26">
      <c r="X1608" s="2"/>
      <c r="Y1608" s="101"/>
      <c r="Z1608" s="100"/>
    </row>
    <row r="1609" spans="24:26">
      <c r="X1609" s="2"/>
      <c r="Y1609" s="101"/>
      <c r="Z1609" s="100"/>
    </row>
    <row r="1610" spans="24:26">
      <c r="X1610" s="2"/>
      <c r="Y1610" s="101"/>
      <c r="Z1610" s="100"/>
    </row>
    <row r="1611" spans="24:26">
      <c r="X1611" s="2"/>
      <c r="Y1611" s="101"/>
      <c r="Z1611" s="100"/>
    </row>
    <row r="1612" spans="24:26">
      <c r="X1612" s="2"/>
      <c r="Y1612" s="101"/>
      <c r="Z1612" s="100"/>
    </row>
    <row r="1613" spans="24:26">
      <c r="X1613" s="2"/>
      <c r="Y1613" s="101"/>
      <c r="Z1613" s="100"/>
    </row>
    <row r="1614" spans="24:26">
      <c r="X1614" s="2"/>
      <c r="Y1614" s="101"/>
      <c r="Z1614" s="100"/>
    </row>
    <row r="1615" spans="24:26">
      <c r="X1615" s="2"/>
      <c r="Y1615" s="101"/>
      <c r="Z1615" s="100"/>
    </row>
    <row r="1616" spans="24:26">
      <c r="X1616" s="2"/>
      <c r="Y1616" s="101"/>
      <c r="Z1616" s="100"/>
    </row>
    <row r="1617" spans="24:26">
      <c r="X1617" s="2"/>
      <c r="Y1617" s="101"/>
      <c r="Z1617" s="100"/>
    </row>
    <row r="1618" spans="24:26">
      <c r="X1618" s="2"/>
      <c r="Y1618" s="101"/>
      <c r="Z1618" s="100"/>
    </row>
    <row r="1619" spans="24:26">
      <c r="X1619" s="2"/>
      <c r="Y1619" s="101"/>
      <c r="Z1619" s="100"/>
    </row>
    <row r="1620" spans="24:26">
      <c r="X1620" s="2"/>
      <c r="Y1620" s="101"/>
      <c r="Z1620" s="100"/>
    </row>
    <row r="1621" spans="24:26">
      <c r="X1621" s="2"/>
      <c r="Y1621" s="101"/>
      <c r="Z1621" s="100"/>
    </row>
    <row r="1622" spans="24:26">
      <c r="X1622" s="2"/>
      <c r="Y1622" s="101"/>
      <c r="Z1622" s="100"/>
    </row>
    <row r="1623" spans="24:26">
      <c r="X1623" s="2"/>
      <c r="Y1623" s="101"/>
      <c r="Z1623" s="100"/>
    </row>
    <row r="1624" spans="24:26">
      <c r="X1624" s="2"/>
      <c r="Y1624" s="101"/>
      <c r="Z1624" s="100"/>
    </row>
    <row r="1625" spans="24:26">
      <c r="X1625" s="2"/>
      <c r="Y1625" s="101"/>
      <c r="Z1625" s="100"/>
    </row>
    <row r="1626" spans="24:26">
      <c r="X1626" s="2"/>
      <c r="Y1626" s="101"/>
      <c r="Z1626" s="100"/>
    </row>
    <row r="1627" spans="24:26">
      <c r="X1627" s="2"/>
      <c r="Y1627" s="101"/>
      <c r="Z1627" s="100"/>
    </row>
    <row r="1628" spans="24:26">
      <c r="X1628" s="2"/>
      <c r="Y1628" s="101"/>
      <c r="Z1628" s="100"/>
    </row>
    <row r="1629" spans="24:26">
      <c r="X1629" s="2"/>
      <c r="Y1629" s="101"/>
      <c r="Z1629" s="100"/>
    </row>
    <row r="1630" spans="24:26">
      <c r="X1630" s="2"/>
      <c r="Y1630" s="101"/>
      <c r="Z1630" s="100"/>
    </row>
    <row r="1631" spans="24:26">
      <c r="X1631" s="2"/>
      <c r="Y1631" s="101"/>
      <c r="Z1631" s="100"/>
    </row>
    <row r="1632" spans="24:26">
      <c r="X1632" s="2"/>
      <c r="Y1632" s="101"/>
      <c r="Z1632" s="100"/>
    </row>
    <row r="1633" spans="24:26">
      <c r="X1633" s="2"/>
      <c r="Y1633" s="101"/>
      <c r="Z1633" s="100"/>
    </row>
    <row r="1634" spans="24:26">
      <c r="X1634" s="2"/>
      <c r="Y1634" s="101"/>
      <c r="Z1634" s="100"/>
    </row>
    <row r="1635" spans="24:26">
      <c r="X1635" s="2"/>
      <c r="Y1635" s="101"/>
      <c r="Z1635" s="100"/>
    </row>
    <row r="1636" spans="24:26">
      <c r="X1636" s="2"/>
      <c r="Y1636" s="101"/>
      <c r="Z1636" s="100"/>
    </row>
    <row r="1637" spans="24:26">
      <c r="X1637" s="2"/>
      <c r="Y1637" s="101"/>
      <c r="Z1637" s="100"/>
    </row>
    <row r="1638" spans="24:26">
      <c r="X1638" s="2"/>
      <c r="Y1638" s="101"/>
      <c r="Z1638" s="100"/>
    </row>
    <row r="1639" spans="24:26">
      <c r="X1639" s="2"/>
      <c r="Y1639" s="101"/>
      <c r="Z1639" s="100"/>
    </row>
    <row r="1640" spans="24:26">
      <c r="X1640" s="2"/>
      <c r="Y1640" s="101"/>
      <c r="Z1640" s="100"/>
    </row>
    <row r="1641" spans="24:26">
      <c r="X1641" s="2"/>
      <c r="Y1641" s="101"/>
      <c r="Z1641" s="100"/>
    </row>
    <row r="1642" spans="24:26">
      <c r="X1642" s="2"/>
      <c r="Y1642" s="101"/>
      <c r="Z1642" s="100"/>
    </row>
    <row r="1643" spans="24:26">
      <c r="X1643" s="2"/>
      <c r="Y1643" s="101"/>
      <c r="Z1643" s="100"/>
    </row>
    <row r="1644" spans="24:26">
      <c r="X1644" s="2"/>
      <c r="Y1644" s="101"/>
      <c r="Z1644" s="100"/>
    </row>
    <row r="1645" spans="24:26">
      <c r="X1645" s="2"/>
      <c r="Y1645" s="101"/>
      <c r="Z1645" s="100"/>
    </row>
    <row r="1646" spans="24:26">
      <c r="X1646" s="2"/>
      <c r="Y1646" s="101"/>
      <c r="Z1646" s="100"/>
    </row>
    <row r="1647" spans="24:26">
      <c r="X1647" s="2"/>
      <c r="Y1647" s="101"/>
      <c r="Z1647" s="100"/>
    </row>
    <row r="1648" spans="24:26">
      <c r="X1648" s="2"/>
      <c r="Y1648" s="101"/>
      <c r="Z1648" s="100"/>
    </row>
    <row r="1649" spans="24:26">
      <c r="X1649" s="2"/>
      <c r="Y1649" s="101"/>
      <c r="Z1649" s="100"/>
    </row>
    <row r="1650" spans="24:26">
      <c r="X1650" s="2"/>
      <c r="Y1650" s="101"/>
      <c r="Z1650" s="100"/>
    </row>
    <row r="1651" spans="24:26">
      <c r="X1651" s="2"/>
      <c r="Y1651" s="101"/>
      <c r="Z1651" s="100"/>
    </row>
    <row r="1652" spans="24:26">
      <c r="X1652" s="2"/>
      <c r="Y1652" s="101"/>
      <c r="Z1652" s="100"/>
    </row>
    <row r="1653" spans="24:26">
      <c r="X1653" s="2"/>
      <c r="Y1653" s="101"/>
      <c r="Z1653" s="100"/>
    </row>
    <row r="1654" spans="24:26">
      <c r="X1654" s="2"/>
      <c r="Y1654" s="101"/>
      <c r="Z1654" s="100"/>
    </row>
    <row r="1655" spans="24:26">
      <c r="X1655" s="2"/>
      <c r="Y1655" s="101"/>
      <c r="Z1655" s="100"/>
    </row>
    <row r="1656" spans="24:26">
      <c r="X1656" s="2"/>
      <c r="Y1656" s="101"/>
      <c r="Z1656" s="100"/>
    </row>
    <row r="1657" spans="24:26">
      <c r="X1657" s="2"/>
      <c r="Y1657" s="101"/>
      <c r="Z1657" s="100"/>
    </row>
    <row r="1658" spans="24:26">
      <c r="X1658" s="2"/>
      <c r="Y1658" s="101"/>
      <c r="Z1658" s="100"/>
    </row>
    <row r="1659" spans="24:26">
      <c r="X1659" s="2"/>
      <c r="Y1659" s="101"/>
      <c r="Z1659" s="100"/>
    </row>
    <row r="1660" spans="24:26">
      <c r="X1660" s="2"/>
      <c r="Y1660" s="101"/>
      <c r="Z1660" s="100"/>
    </row>
    <row r="1661" spans="24:26">
      <c r="X1661" s="2"/>
      <c r="Y1661" s="101"/>
      <c r="Z1661" s="100"/>
    </row>
    <row r="1662" spans="24:26">
      <c r="X1662" s="2"/>
      <c r="Y1662" s="101"/>
      <c r="Z1662" s="100"/>
    </row>
    <row r="1663" spans="24:26">
      <c r="X1663" s="2"/>
      <c r="Y1663" s="101"/>
      <c r="Z1663" s="100"/>
    </row>
    <row r="1664" spans="24:26">
      <c r="X1664" s="2"/>
      <c r="Y1664" s="101"/>
      <c r="Z1664" s="100"/>
    </row>
    <row r="1665" spans="24:26">
      <c r="X1665" s="2"/>
      <c r="Y1665" s="101"/>
      <c r="Z1665" s="100"/>
    </row>
    <row r="1666" spans="24:26">
      <c r="X1666" s="2"/>
      <c r="Y1666" s="101"/>
      <c r="Z1666" s="100"/>
    </row>
    <row r="1667" spans="24:26">
      <c r="X1667" s="2"/>
      <c r="Y1667" s="101"/>
      <c r="Z1667" s="100"/>
    </row>
    <row r="1668" spans="24:26">
      <c r="X1668" s="2"/>
      <c r="Y1668" s="101"/>
      <c r="Z1668" s="100"/>
    </row>
    <row r="1669" spans="24:26">
      <c r="X1669" s="2"/>
      <c r="Y1669" s="101"/>
      <c r="Z1669" s="100"/>
    </row>
    <row r="1670" spans="24:26">
      <c r="X1670" s="2"/>
      <c r="Y1670" s="101"/>
      <c r="Z1670" s="100"/>
    </row>
    <row r="1671" spans="24:26">
      <c r="X1671" s="2"/>
      <c r="Y1671" s="101"/>
      <c r="Z1671" s="100"/>
    </row>
    <row r="1672" spans="24:26">
      <c r="X1672" s="2"/>
      <c r="Y1672" s="101"/>
      <c r="Z1672" s="100"/>
    </row>
    <row r="1673" spans="24:26">
      <c r="X1673" s="2"/>
      <c r="Y1673" s="101"/>
      <c r="Z1673" s="100"/>
    </row>
    <row r="1674" spans="24:26">
      <c r="X1674" s="2"/>
      <c r="Y1674" s="101"/>
      <c r="Z1674" s="100"/>
    </row>
    <row r="1675" spans="24:26">
      <c r="X1675" s="2"/>
      <c r="Y1675" s="101"/>
      <c r="Z1675" s="100"/>
    </row>
    <row r="1676" spans="24:26">
      <c r="X1676" s="2"/>
      <c r="Y1676" s="101"/>
      <c r="Z1676" s="100"/>
    </row>
    <row r="1677" spans="24:26">
      <c r="X1677" s="2"/>
      <c r="Y1677" s="101"/>
      <c r="Z1677" s="100"/>
    </row>
    <row r="1678" spans="24:26">
      <c r="X1678" s="2"/>
      <c r="Y1678" s="101"/>
      <c r="Z1678" s="100"/>
    </row>
    <row r="1679" spans="24:26">
      <c r="X1679" s="2"/>
      <c r="Y1679" s="101"/>
      <c r="Z1679" s="100"/>
    </row>
    <row r="1680" spans="24:26">
      <c r="X1680" s="2"/>
      <c r="Y1680" s="101"/>
      <c r="Z1680" s="100"/>
    </row>
    <row r="1681" spans="24:26">
      <c r="X1681" s="2"/>
      <c r="Y1681" s="101"/>
      <c r="Z1681" s="100"/>
    </row>
    <row r="1682" spans="24:26">
      <c r="X1682" s="2"/>
      <c r="Y1682" s="101"/>
      <c r="Z1682" s="100"/>
    </row>
    <row r="1683" spans="24:26">
      <c r="X1683" s="2"/>
      <c r="Y1683" s="101"/>
      <c r="Z1683" s="100"/>
    </row>
    <row r="1684" spans="24:26">
      <c r="X1684" s="2"/>
      <c r="Y1684" s="101"/>
      <c r="Z1684" s="100"/>
    </row>
    <row r="1685" spans="24:26">
      <c r="X1685" s="2"/>
      <c r="Y1685" s="101"/>
      <c r="Z1685" s="100"/>
    </row>
    <row r="1686" spans="24:26">
      <c r="X1686" s="2"/>
      <c r="Y1686" s="101"/>
      <c r="Z1686" s="100"/>
    </row>
    <row r="1687" spans="24:26">
      <c r="X1687" s="2"/>
      <c r="Y1687" s="101"/>
      <c r="Z1687" s="100"/>
    </row>
    <row r="1688" spans="24:26">
      <c r="X1688" s="2"/>
      <c r="Y1688" s="101"/>
      <c r="Z1688" s="100"/>
    </row>
    <row r="1689" spans="24:26">
      <c r="X1689" s="2"/>
      <c r="Y1689" s="101"/>
      <c r="Z1689" s="100"/>
    </row>
    <row r="1690" spans="24:26">
      <c r="X1690" s="2"/>
      <c r="Y1690" s="101"/>
      <c r="Z1690" s="100"/>
    </row>
    <row r="1691" spans="24:26">
      <c r="X1691" s="2"/>
      <c r="Y1691" s="101"/>
      <c r="Z1691" s="100"/>
    </row>
    <row r="1692" spans="24:26">
      <c r="X1692" s="2"/>
      <c r="Y1692" s="101"/>
      <c r="Z1692" s="100"/>
    </row>
    <row r="1693" spans="24:26">
      <c r="X1693" s="2"/>
      <c r="Y1693" s="101"/>
      <c r="Z1693" s="100"/>
    </row>
    <row r="1694" spans="24:26">
      <c r="X1694" s="2"/>
      <c r="Y1694" s="101"/>
      <c r="Z1694" s="100"/>
    </row>
    <row r="1695" spans="24:26">
      <c r="X1695" s="2"/>
      <c r="Y1695" s="101"/>
      <c r="Z1695" s="100"/>
    </row>
    <row r="1696" spans="24:26">
      <c r="X1696" s="2"/>
      <c r="Y1696" s="101"/>
      <c r="Z1696" s="100"/>
    </row>
    <row r="1697" spans="24:26">
      <c r="X1697" s="2"/>
      <c r="Y1697" s="101"/>
      <c r="Z1697" s="100"/>
    </row>
    <row r="1698" spans="24:26">
      <c r="X1698" s="2"/>
      <c r="Y1698" s="101"/>
      <c r="Z1698" s="100"/>
    </row>
    <row r="1699" spans="24:26">
      <c r="X1699" s="2"/>
      <c r="Y1699" s="101"/>
      <c r="Z1699" s="100"/>
    </row>
    <row r="1700" spans="24:26">
      <c r="X1700" s="2"/>
      <c r="Y1700" s="101"/>
      <c r="Z1700" s="100"/>
    </row>
    <row r="1701" spans="24:26">
      <c r="X1701" s="2"/>
      <c r="Y1701" s="101"/>
      <c r="Z1701" s="100"/>
    </row>
    <row r="1702" spans="24:26">
      <c r="X1702" s="2"/>
      <c r="Y1702" s="101"/>
      <c r="Z1702" s="100"/>
    </row>
    <row r="1703" spans="24:26">
      <c r="X1703" s="2"/>
      <c r="Y1703" s="101"/>
      <c r="Z1703" s="100"/>
    </row>
    <row r="1704" spans="24:26">
      <c r="X1704" s="2"/>
      <c r="Y1704" s="101"/>
      <c r="Z1704" s="100"/>
    </row>
    <row r="1705" spans="24:26">
      <c r="X1705" s="2"/>
      <c r="Y1705" s="101"/>
      <c r="Z1705" s="100"/>
    </row>
    <row r="1706" spans="24:26">
      <c r="X1706" s="2"/>
      <c r="Y1706" s="101"/>
      <c r="Z1706" s="100"/>
    </row>
    <row r="1707" spans="24:26">
      <c r="X1707" s="2"/>
      <c r="Y1707" s="101"/>
      <c r="Z1707" s="100"/>
    </row>
    <row r="1708" spans="24:26">
      <c r="X1708" s="2"/>
      <c r="Y1708" s="101"/>
      <c r="Z1708" s="100"/>
    </row>
    <row r="1709" spans="24:26">
      <c r="X1709" s="2"/>
      <c r="Y1709" s="101"/>
      <c r="Z1709" s="100"/>
    </row>
    <row r="1710" spans="24:26">
      <c r="X1710" s="2"/>
      <c r="Y1710" s="101"/>
      <c r="Z1710" s="100"/>
    </row>
    <row r="1711" spans="24:26">
      <c r="X1711" s="2"/>
      <c r="Y1711" s="101"/>
      <c r="Z1711" s="100"/>
    </row>
    <row r="1712" spans="24:26">
      <c r="X1712" s="2"/>
      <c r="Y1712" s="101"/>
      <c r="Z1712" s="100"/>
    </row>
    <row r="1713" spans="24:26">
      <c r="X1713" s="2"/>
      <c r="Y1713" s="101"/>
      <c r="Z1713" s="100"/>
    </row>
    <row r="1714" spans="24:26">
      <c r="X1714" s="2"/>
      <c r="Y1714" s="101"/>
      <c r="Z1714" s="100"/>
    </row>
    <row r="1715" spans="24:26">
      <c r="X1715" s="2"/>
      <c r="Y1715" s="101"/>
      <c r="Z1715" s="100"/>
    </row>
    <row r="1716" spans="24:26">
      <c r="X1716" s="2"/>
      <c r="Y1716" s="101"/>
      <c r="Z1716" s="100"/>
    </row>
    <row r="1717" spans="24:26">
      <c r="X1717" s="2"/>
      <c r="Y1717" s="101"/>
      <c r="Z1717" s="100"/>
    </row>
    <row r="1718" spans="24:26">
      <c r="X1718" s="2"/>
      <c r="Y1718" s="101"/>
      <c r="Z1718" s="100"/>
    </row>
    <row r="1719" spans="24:26">
      <c r="X1719" s="2"/>
      <c r="Y1719" s="101"/>
      <c r="Z1719" s="100"/>
    </row>
    <row r="1720" spans="24:26">
      <c r="X1720" s="2"/>
      <c r="Y1720" s="101"/>
      <c r="Z1720" s="100"/>
    </row>
    <row r="1721" spans="24:26">
      <c r="X1721" s="2"/>
      <c r="Y1721" s="101"/>
      <c r="Z1721" s="100"/>
    </row>
    <row r="1722" spans="24:26">
      <c r="X1722" s="2"/>
      <c r="Y1722" s="101"/>
      <c r="Z1722" s="100"/>
    </row>
    <row r="1723" spans="24:26">
      <c r="X1723" s="2"/>
      <c r="Y1723" s="101"/>
      <c r="Z1723" s="100"/>
    </row>
    <row r="1724" spans="24:26">
      <c r="X1724" s="2"/>
      <c r="Y1724" s="101"/>
      <c r="Z1724" s="100"/>
    </row>
    <row r="1725" spans="24:26">
      <c r="X1725" s="2"/>
      <c r="Y1725" s="101"/>
      <c r="Z1725" s="100"/>
    </row>
    <row r="1726" spans="24:26">
      <c r="X1726" s="2"/>
      <c r="Y1726" s="101"/>
      <c r="Z1726" s="100"/>
    </row>
    <row r="1727" spans="24:26">
      <c r="X1727" s="2"/>
      <c r="Y1727" s="101"/>
      <c r="Z1727" s="100"/>
    </row>
    <row r="1728" spans="24:26">
      <c r="X1728" s="2"/>
      <c r="Y1728" s="101"/>
      <c r="Z1728" s="100"/>
    </row>
    <row r="1729" spans="24:26">
      <c r="X1729" s="2"/>
      <c r="Y1729" s="101"/>
      <c r="Z1729" s="100"/>
    </row>
    <row r="1730" spans="24:26">
      <c r="X1730" s="2"/>
      <c r="Y1730" s="101"/>
      <c r="Z1730" s="100"/>
    </row>
    <row r="1731" spans="24:26">
      <c r="X1731" s="2"/>
      <c r="Y1731" s="101"/>
      <c r="Z1731" s="100"/>
    </row>
    <row r="1732" spans="24:26">
      <c r="X1732" s="2"/>
      <c r="Y1732" s="101"/>
      <c r="Z1732" s="100"/>
    </row>
    <row r="1733" spans="24:26">
      <c r="X1733" s="2"/>
      <c r="Y1733" s="101"/>
      <c r="Z1733" s="100"/>
    </row>
    <row r="1734" spans="24:26">
      <c r="X1734" s="2"/>
      <c r="Y1734" s="101"/>
      <c r="Z1734" s="100"/>
    </row>
    <row r="1735" spans="24:26">
      <c r="X1735" s="2"/>
      <c r="Y1735" s="101"/>
      <c r="Z1735" s="100"/>
    </row>
    <row r="1736" spans="24:26">
      <c r="X1736" s="2"/>
      <c r="Y1736" s="101"/>
      <c r="Z1736" s="100"/>
    </row>
    <row r="1737" spans="24:26">
      <c r="X1737" s="2"/>
      <c r="Y1737" s="101"/>
      <c r="Z1737" s="100"/>
    </row>
    <row r="1738" spans="24:26">
      <c r="X1738" s="2"/>
      <c r="Y1738" s="101"/>
      <c r="Z1738" s="100"/>
    </row>
    <row r="1739" spans="24:26">
      <c r="X1739" s="2"/>
      <c r="Y1739" s="101"/>
      <c r="Z1739" s="100"/>
    </row>
    <row r="1740" spans="24:26">
      <c r="X1740" s="2"/>
      <c r="Y1740" s="101"/>
      <c r="Z1740" s="100"/>
    </row>
    <row r="1741" spans="24:26">
      <c r="X1741" s="2"/>
      <c r="Y1741" s="101"/>
      <c r="Z1741" s="100"/>
    </row>
    <row r="1742" spans="24:26">
      <c r="X1742" s="2"/>
      <c r="Y1742" s="101"/>
      <c r="Z1742" s="100"/>
    </row>
    <row r="1743" spans="24:26">
      <c r="X1743" s="2"/>
      <c r="Y1743" s="101"/>
      <c r="Z1743" s="100"/>
    </row>
    <row r="1744" spans="24:26">
      <c r="X1744" s="2"/>
      <c r="Y1744" s="101"/>
      <c r="Z1744" s="100"/>
    </row>
    <row r="1745" spans="24:26">
      <c r="X1745" s="2"/>
      <c r="Y1745" s="101"/>
      <c r="Z1745" s="100"/>
    </row>
    <row r="1746" spans="24:26">
      <c r="X1746" s="2"/>
      <c r="Y1746" s="101"/>
      <c r="Z1746" s="100"/>
    </row>
    <row r="1747" spans="24:26">
      <c r="X1747" s="2"/>
      <c r="Y1747" s="101"/>
      <c r="Z1747" s="100"/>
    </row>
    <row r="1748" spans="24:26">
      <c r="X1748" s="2"/>
      <c r="Y1748" s="101"/>
      <c r="Z1748" s="100"/>
    </row>
    <row r="1749" spans="24:26">
      <c r="X1749" s="2"/>
      <c r="Y1749" s="101"/>
      <c r="Z1749" s="100"/>
    </row>
    <row r="1750" spans="24:26">
      <c r="X1750" s="2"/>
      <c r="Y1750" s="101"/>
      <c r="Z1750" s="100"/>
    </row>
    <row r="1751" spans="24:26">
      <c r="X1751" s="2"/>
      <c r="Y1751" s="101"/>
      <c r="Z1751" s="100"/>
    </row>
    <row r="1752" spans="24:26">
      <c r="X1752" s="2"/>
      <c r="Y1752" s="101"/>
      <c r="Z1752" s="100"/>
    </row>
    <row r="1753" spans="24:26">
      <c r="X1753" s="2"/>
      <c r="Y1753" s="101"/>
      <c r="Z1753" s="100"/>
    </row>
    <row r="1754" spans="24:26">
      <c r="X1754" s="2"/>
      <c r="Y1754" s="101"/>
      <c r="Z1754" s="100"/>
    </row>
    <row r="1755" spans="24:26">
      <c r="X1755" s="2"/>
      <c r="Y1755" s="101"/>
      <c r="Z1755" s="100"/>
    </row>
    <row r="1756" spans="24:26">
      <c r="X1756" s="2"/>
      <c r="Y1756" s="101"/>
      <c r="Z1756" s="100"/>
    </row>
    <row r="1757" spans="24:26">
      <c r="X1757" s="2"/>
      <c r="Y1757" s="101"/>
      <c r="Z1757" s="100"/>
    </row>
    <row r="1758" spans="24:26">
      <c r="X1758" s="2"/>
      <c r="Y1758" s="101"/>
      <c r="Z1758" s="100"/>
    </row>
    <row r="1759" spans="24:26">
      <c r="X1759" s="2"/>
      <c r="Y1759" s="101"/>
      <c r="Z1759" s="100"/>
    </row>
    <row r="1760" spans="24:26">
      <c r="X1760" s="2"/>
      <c r="Y1760" s="101"/>
      <c r="Z1760" s="100"/>
    </row>
    <row r="1761" spans="24:26">
      <c r="X1761" s="2"/>
      <c r="Y1761" s="101"/>
      <c r="Z1761" s="100"/>
    </row>
    <row r="1762" spans="24:26">
      <c r="X1762" s="2"/>
      <c r="Y1762" s="101"/>
      <c r="Z1762" s="100"/>
    </row>
    <row r="1763" spans="24:26">
      <c r="X1763" s="2"/>
      <c r="Y1763" s="101"/>
      <c r="Z1763" s="100"/>
    </row>
    <row r="1764" spans="24:26">
      <c r="X1764" s="2"/>
      <c r="Y1764" s="101"/>
      <c r="Z1764" s="100"/>
    </row>
    <row r="1765" spans="24:26">
      <c r="X1765" s="2"/>
      <c r="Y1765" s="101"/>
      <c r="Z1765" s="100"/>
    </row>
    <row r="1766" spans="24:26">
      <c r="X1766" s="2"/>
      <c r="Y1766" s="101"/>
      <c r="Z1766" s="100"/>
    </row>
    <row r="1767" spans="24:26">
      <c r="X1767" s="2"/>
      <c r="Y1767" s="101"/>
      <c r="Z1767" s="100"/>
    </row>
    <row r="1768" spans="24:26">
      <c r="X1768" s="2"/>
      <c r="Y1768" s="101"/>
      <c r="Z1768" s="100"/>
    </row>
    <row r="1769" spans="24:26">
      <c r="X1769" s="2"/>
      <c r="Y1769" s="101"/>
      <c r="Z1769" s="100"/>
    </row>
    <row r="1770" spans="24:26">
      <c r="X1770" s="2"/>
      <c r="Y1770" s="101"/>
      <c r="Z1770" s="100"/>
    </row>
    <row r="1771" spans="24:26">
      <c r="X1771" s="2"/>
      <c r="Y1771" s="101"/>
      <c r="Z1771" s="100"/>
    </row>
    <row r="1772" spans="24:26">
      <c r="X1772" s="2"/>
      <c r="Y1772" s="101"/>
      <c r="Z1772" s="100"/>
    </row>
    <row r="1773" spans="24:26">
      <c r="X1773" s="2"/>
      <c r="Y1773" s="101"/>
      <c r="Z1773" s="100"/>
    </row>
    <row r="1774" spans="24:26">
      <c r="X1774" s="2"/>
      <c r="Y1774" s="101"/>
      <c r="Z1774" s="100"/>
    </row>
    <row r="1775" spans="24:26">
      <c r="X1775" s="2"/>
      <c r="Y1775" s="101"/>
      <c r="Z1775" s="100"/>
    </row>
    <row r="1776" spans="24:26">
      <c r="X1776" s="2"/>
      <c r="Y1776" s="101"/>
      <c r="Z1776" s="100"/>
    </row>
    <row r="1777" spans="24:26">
      <c r="X1777" s="2"/>
      <c r="Y1777" s="101"/>
      <c r="Z1777" s="100"/>
    </row>
    <row r="1778" spans="24:26">
      <c r="X1778" s="2"/>
      <c r="Y1778" s="101"/>
      <c r="Z1778" s="100"/>
    </row>
    <row r="1779" spans="24:26">
      <c r="X1779" s="2"/>
      <c r="Y1779" s="101"/>
      <c r="Z1779" s="100"/>
    </row>
    <row r="1780" spans="24:26">
      <c r="X1780" s="2"/>
      <c r="Y1780" s="101"/>
      <c r="Z1780" s="100"/>
    </row>
    <row r="1781" spans="24:26">
      <c r="X1781" s="2"/>
      <c r="Y1781" s="101"/>
      <c r="Z1781" s="100"/>
    </row>
    <row r="1782" spans="24:26">
      <c r="X1782" s="2"/>
      <c r="Y1782" s="101"/>
      <c r="Z1782" s="100"/>
    </row>
    <row r="1783" spans="24:26">
      <c r="X1783" s="2"/>
      <c r="Y1783" s="101"/>
      <c r="Z1783" s="100"/>
    </row>
    <row r="1784" spans="24:26">
      <c r="X1784" s="2"/>
      <c r="Y1784" s="101"/>
      <c r="Z1784" s="100"/>
    </row>
    <row r="1785" spans="24:26">
      <c r="X1785" s="2"/>
      <c r="Y1785" s="101"/>
      <c r="Z1785" s="100"/>
    </row>
    <row r="1786" spans="24:26">
      <c r="X1786" s="2"/>
      <c r="Y1786" s="101"/>
      <c r="Z1786" s="100"/>
    </row>
    <row r="1787" spans="24:26">
      <c r="X1787" s="2"/>
      <c r="Y1787" s="101"/>
      <c r="Z1787" s="100"/>
    </row>
    <row r="1788" spans="24:26">
      <c r="X1788" s="2"/>
      <c r="Y1788" s="101"/>
      <c r="Z1788" s="100"/>
    </row>
    <row r="1789" spans="24:26">
      <c r="X1789" s="2"/>
      <c r="Y1789" s="101"/>
      <c r="Z1789" s="100"/>
    </row>
    <row r="1790" spans="24:26">
      <c r="X1790" s="2"/>
      <c r="Y1790" s="101"/>
      <c r="Z1790" s="100"/>
    </row>
    <row r="1791" spans="24:26">
      <c r="X1791" s="2"/>
      <c r="Y1791" s="101"/>
      <c r="Z1791" s="100"/>
    </row>
    <row r="1792" spans="24:26">
      <c r="X1792" s="2"/>
      <c r="Y1792" s="101"/>
      <c r="Z1792" s="100"/>
    </row>
    <row r="1793" spans="24:26">
      <c r="X1793" s="2"/>
      <c r="Y1793" s="101"/>
      <c r="Z1793" s="100"/>
    </row>
    <row r="1794" spans="24:26">
      <c r="X1794" s="2"/>
      <c r="Y1794" s="101"/>
      <c r="Z1794" s="100"/>
    </row>
    <row r="1795" spans="24:26">
      <c r="X1795" s="2"/>
      <c r="Y1795" s="101"/>
      <c r="Z1795" s="100"/>
    </row>
    <row r="1796" spans="24:26">
      <c r="X1796" s="2"/>
      <c r="Y1796" s="101"/>
      <c r="Z1796" s="100"/>
    </row>
    <row r="1797" spans="24:26">
      <c r="X1797" s="2"/>
      <c r="Y1797" s="101"/>
      <c r="Z1797" s="100"/>
    </row>
    <row r="1798" spans="24:26">
      <c r="X1798" s="2"/>
      <c r="Y1798" s="101"/>
      <c r="Z1798" s="100"/>
    </row>
    <row r="1799" spans="24:26">
      <c r="X1799" s="2"/>
      <c r="Y1799" s="101"/>
      <c r="Z1799" s="100"/>
    </row>
    <row r="1800" spans="24:26">
      <c r="X1800" s="2"/>
      <c r="Y1800" s="101"/>
      <c r="Z1800" s="100"/>
    </row>
    <row r="1801" spans="24:26">
      <c r="X1801" s="2"/>
      <c r="Y1801" s="101"/>
      <c r="Z1801" s="100"/>
    </row>
    <row r="1802" spans="24:26">
      <c r="X1802" s="2"/>
      <c r="Y1802" s="101"/>
      <c r="Z1802" s="100"/>
    </row>
    <row r="1803" spans="24:26">
      <c r="X1803" s="2"/>
      <c r="Y1803" s="101"/>
      <c r="Z1803" s="100"/>
    </row>
    <row r="1804" spans="24:26">
      <c r="X1804" s="2"/>
      <c r="Y1804" s="101"/>
      <c r="Z1804" s="100"/>
    </row>
    <row r="1805" spans="24:26">
      <c r="X1805" s="2"/>
      <c r="Y1805" s="101"/>
      <c r="Z1805" s="100"/>
    </row>
    <row r="1806" spans="24:26">
      <c r="X1806" s="2"/>
      <c r="Y1806" s="101"/>
      <c r="Z1806" s="100"/>
    </row>
    <row r="1807" spans="24:26">
      <c r="X1807" s="2"/>
      <c r="Y1807" s="101"/>
      <c r="Z1807" s="100"/>
    </row>
    <row r="1808" spans="24:26">
      <c r="X1808" s="2"/>
      <c r="Y1808" s="101"/>
      <c r="Z1808" s="100"/>
    </row>
    <row r="1809" spans="24:26">
      <c r="X1809" s="2"/>
      <c r="Y1809" s="101"/>
      <c r="Z1809" s="100"/>
    </row>
    <row r="1810" spans="24:26">
      <c r="X1810" s="2"/>
      <c r="Y1810" s="101"/>
      <c r="Z1810" s="100"/>
    </row>
    <row r="1811" spans="24:26">
      <c r="X1811" s="2"/>
      <c r="Y1811" s="101"/>
      <c r="Z1811" s="100"/>
    </row>
    <row r="1812" spans="24:26">
      <c r="X1812" s="2"/>
      <c r="Y1812" s="101"/>
      <c r="Z1812" s="100"/>
    </row>
    <row r="1813" spans="24:26">
      <c r="X1813" s="2"/>
      <c r="Y1813" s="101"/>
      <c r="Z1813" s="100"/>
    </row>
    <row r="1814" spans="24:26">
      <c r="X1814" s="2"/>
      <c r="Y1814" s="101"/>
      <c r="Z1814" s="100"/>
    </row>
    <row r="1815" spans="24:26">
      <c r="X1815" s="2"/>
      <c r="Y1815" s="101"/>
      <c r="Z1815" s="100"/>
    </row>
    <row r="1816" spans="24:26">
      <c r="X1816" s="2"/>
      <c r="Y1816" s="101"/>
      <c r="Z1816" s="100"/>
    </row>
    <row r="1817" spans="24:26">
      <c r="X1817" s="2"/>
      <c r="Y1817" s="101"/>
      <c r="Z1817" s="100"/>
    </row>
    <row r="1818" spans="24:26">
      <c r="X1818" s="2"/>
      <c r="Y1818" s="101"/>
      <c r="Z1818" s="100"/>
    </row>
    <row r="1819" spans="24:26">
      <c r="X1819" s="2"/>
      <c r="Y1819" s="101"/>
      <c r="Z1819" s="100"/>
    </row>
    <row r="1820" spans="24:26">
      <c r="X1820" s="2"/>
      <c r="Y1820" s="101"/>
      <c r="Z1820" s="100"/>
    </row>
    <row r="1821" spans="24:26">
      <c r="X1821" s="2"/>
      <c r="Y1821" s="101"/>
      <c r="Z1821" s="100"/>
    </row>
    <row r="1822" spans="24:26">
      <c r="X1822" s="2"/>
      <c r="Y1822" s="101"/>
      <c r="Z1822" s="100"/>
    </row>
    <row r="1823" spans="24:26">
      <c r="X1823" s="2"/>
      <c r="Y1823" s="101"/>
      <c r="Z1823" s="100"/>
    </row>
    <row r="1824" spans="24:26">
      <c r="X1824" s="2"/>
      <c r="Y1824" s="101"/>
      <c r="Z1824" s="100"/>
    </row>
    <row r="1825" spans="24:26">
      <c r="X1825" s="2"/>
      <c r="Y1825" s="101"/>
      <c r="Z1825" s="100"/>
    </row>
    <row r="1826" spans="24:26">
      <c r="X1826" s="2"/>
      <c r="Y1826" s="101"/>
      <c r="Z1826" s="100"/>
    </row>
    <row r="1827" spans="24:26">
      <c r="X1827" s="2"/>
      <c r="Y1827" s="101"/>
      <c r="Z1827" s="100"/>
    </row>
    <row r="1828" spans="24:26">
      <c r="X1828" s="2"/>
      <c r="Y1828" s="101"/>
      <c r="Z1828" s="100"/>
    </row>
    <row r="1829" spans="24:26">
      <c r="X1829" s="2"/>
      <c r="Y1829" s="101"/>
      <c r="Z1829" s="100"/>
    </row>
    <row r="1830" spans="24:26">
      <c r="X1830" s="2"/>
      <c r="Y1830" s="101"/>
      <c r="Z1830" s="100"/>
    </row>
    <row r="1831" spans="24:26">
      <c r="X1831" s="2"/>
      <c r="Y1831" s="101"/>
      <c r="Z1831" s="100"/>
    </row>
    <row r="1832" spans="24:26">
      <c r="X1832" s="2"/>
      <c r="Y1832" s="101"/>
      <c r="Z1832" s="100"/>
    </row>
    <row r="1833" spans="24:26">
      <c r="X1833" s="2"/>
      <c r="Y1833" s="101"/>
      <c r="Z1833" s="100"/>
    </row>
    <row r="1834" spans="24:26">
      <c r="X1834" s="2"/>
      <c r="Y1834" s="101"/>
      <c r="Z1834" s="100"/>
    </row>
    <row r="1835" spans="24:26">
      <c r="X1835" s="2"/>
      <c r="Y1835" s="101"/>
      <c r="Z1835" s="100"/>
    </row>
    <row r="1836" spans="24:26">
      <c r="X1836" s="2"/>
      <c r="Y1836" s="101"/>
      <c r="Z1836" s="100"/>
    </row>
    <row r="1837" spans="24:26">
      <c r="X1837" s="2"/>
      <c r="Y1837" s="101"/>
      <c r="Z1837" s="100"/>
    </row>
    <row r="1838" spans="24:26">
      <c r="X1838" s="2"/>
      <c r="Y1838" s="101"/>
      <c r="Z1838" s="100"/>
    </row>
    <row r="1839" spans="24:26">
      <c r="X1839" s="2"/>
      <c r="Y1839" s="101"/>
      <c r="Z1839" s="100"/>
    </row>
    <row r="1840" spans="24:26">
      <c r="X1840" s="2"/>
      <c r="Y1840" s="101"/>
      <c r="Z1840" s="100"/>
    </row>
    <row r="1841" spans="24:26">
      <c r="X1841" s="2"/>
      <c r="Y1841" s="101"/>
      <c r="Z1841" s="100"/>
    </row>
    <row r="1842" spans="24:26">
      <c r="X1842" s="2"/>
      <c r="Y1842" s="101"/>
      <c r="Z1842" s="100"/>
    </row>
    <row r="1843" spans="24:26">
      <c r="X1843" s="2"/>
      <c r="Y1843" s="101"/>
      <c r="Z1843" s="100"/>
    </row>
    <row r="1844" spans="24:26">
      <c r="X1844" s="2"/>
      <c r="Y1844" s="101"/>
      <c r="Z1844" s="100"/>
    </row>
    <row r="1845" spans="24:26">
      <c r="X1845" s="2"/>
      <c r="Y1845" s="101"/>
      <c r="Z1845" s="100"/>
    </row>
    <row r="1846" spans="24:26">
      <c r="X1846" s="2"/>
      <c r="Y1846" s="101"/>
      <c r="Z1846" s="100"/>
    </row>
    <row r="1847" spans="24:26">
      <c r="X1847" s="2"/>
      <c r="Y1847" s="101"/>
      <c r="Z1847" s="100"/>
    </row>
    <row r="1848" spans="24:26">
      <c r="X1848" s="2"/>
      <c r="Y1848" s="101"/>
      <c r="Z1848" s="100"/>
    </row>
    <row r="1849" spans="24:26">
      <c r="X1849" s="2"/>
      <c r="Y1849" s="101"/>
      <c r="Z1849" s="100"/>
    </row>
    <row r="1850" spans="24:26">
      <c r="X1850" s="2"/>
      <c r="Y1850" s="101"/>
      <c r="Z1850" s="100"/>
    </row>
    <row r="1851" spans="24:26">
      <c r="X1851" s="2"/>
      <c r="Y1851" s="101"/>
      <c r="Z1851" s="100"/>
    </row>
    <row r="1852" spans="24:26">
      <c r="X1852" s="2"/>
      <c r="Y1852" s="101"/>
      <c r="Z1852" s="100"/>
    </row>
    <row r="1853" spans="24:26">
      <c r="X1853" s="2"/>
      <c r="Y1853" s="101"/>
      <c r="Z1853" s="100"/>
    </row>
    <row r="1854" spans="24:26">
      <c r="X1854" s="2"/>
      <c r="Y1854" s="101"/>
      <c r="Z1854" s="100"/>
    </row>
    <row r="1855" spans="24:26">
      <c r="X1855" s="2"/>
      <c r="Y1855" s="101"/>
      <c r="Z1855" s="100"/>
    </row>
    <row r="1856" spans="24:26">
      <c r="X1856" s="2"/>
      <c r="Y1856" s="101"/>
      <c r="Z1856" s="100"/>
    </row>
    <row r="1857" spans="24:26">
      <c r="X1857" s="2"/>
      <c r="Y1857" s="101"/>
      <c r="Z1857" s="100"/>
    </row>
    <row r="1858" spans="24:26">
      <c r="X1858" s="2"/>
      <c r="Y1858" s="101"/>
      <c r="Z1858" s="100"/>
    </row>
    <row r="1859" spans="24:26">
      <c r="X1859" s="2"/>
      <c r="Y1859" s="101"/>
      <c r="Z1859" s="100"/>
    </row>
    <row r="1860" spans="24:26">
      <c r="X1860" s="2"/>
      <c r="Y1860" s="101"/>
      <c r="Z1860" s="100"/>
    </row>
    <row r="1861" spans="24:26">
      <c r="X1861" s="2"/>
      <c r="Y1861" s="101"/>
      <c r="Z1861" s="100"/>
    </row>
    <row r="1862" spans="24:26">
      <c r="X1862" s="2"/>
      <c r="Y1862" s="101"/>
      <c r="Z1862" s="100"/>
    </row>
    <row r="1863" spans="24:26">
      <c r="X1863" s="2"/>
      <c r="Y1863" s="101"/>
      <c r="Z1863" s="100"/>
    </row>
    <row r="1864" spans="24:26">
      <c r="X1864" s="2"/>
      <c r="Y1864" s="101"/>
      <c r="Z1864" s="100"/>
    </row>
    <row r="1865" spans="24:26">
      <c r="X1865" s="2"/>
      <c r="Y1865" s="101"/>
      <c r="Z1865" s="100"/>
    </row>
    <row r="1866" spans="24:26">
      <c r="X1866" s="2"/>
      <c r="Y1866" s="101"/>
      <c r="Z1866" s="100"/>
    </row>
    <row r="1867" spans="24:26">
      <c r="X1867" s="2"/>
      <c r="Y1867" s="101"/>
      <c r="Z1867" s="100"/>
    </row>
    <row r="1868" spans="24:26">
      <c r="X1868" s="2"/>
      <c r="Y1868" s="101"/>
      <c r="Z1868" s="100"/>
    </row>
    <row r="1869" spans="24:26">
      <c r="X1869" s="2"/>
      <c r="Y1869" s="101"/>
      <c r="Z1869" s="100"/>
    </row>
    <row r="1870" spans="24:26">
      <c r="X1870" s="2"/>
      <c r="Y1870" s="101"/>
      <c r="Z1870" s="100"/>
    </row>
    <row r="1871" spans="24:26">
      <c r="X1871" s="2"/>
      <c r="Y1871" s="101"/>
      <c r="Z1871" s="100"/>
    </row>
    <row r="1872" spans="24:26">
      <c r="X1872" s="2"/>
      <c r="Y1872" s="101"/>
      <c r="Z1872" s="100"/>
    </row>
    <row r="1873" spans="24:26">
      <c r="X1873" s="2"/>
      <c r="Y1873" s="101"/>
      <c r="Z1873" s="100"/>
    </row>
    <row r="1874" spans="24:26">
      <c r="X1874" s="2"/>
      <c r="Y1874" s="101"/>
      <c r="Z1874" s="100"/>
    </row>
    <row r="1875" spans="24:26">
      <c r="X1875" s="2"/>
      <c r="Y1875" s="101"/>
      <c r="Z1875" s="100"/>
    </row>
    <row r="1876" spans="24:26">
      <c r="X1876" s="2"/>
      <c r="Y1876" s="101"/>
      <c r="Z1876" s="100"/>
    </row>
    <row r="1877" spans="24:26">
      <c r="X1877" s="2"/>
      <c r="Y1877" s="101"/>
      <c r="Z1877" s="100"/>
    </row>
    <row r="1878" spans="24:26">
      <c r="X1878" s="2"/>
      <c r="Y1878" s="101"/>
      <c r="Z1878" s="100"/>
    </row>
    <row r="1879" spans="24:26">
      <c r="X1879" s="2"/>
      <c r="Y1879" s="101"/>
      <c r="Z1879" s="100"/>
    </row>
    <row r="1880" spans="24:26">
      <c r="X1880" s="2"/>
      <c r="Y1880" s="101"/>
      <c r="Z1880" s="100"/>
    </row>
    <row r="1881" spans="24:26">
      <c r="X1881" s="2"/>
      <c r="Y1881" s="101"/>
      <c r="Z1881" s="100"/>
    </row>
    <row r="1882" spans="24:26">
      <c r="X1882" s="2"/>
      <c r="Y1882" s="101"/>
      <c r="Z1882" s="100"/>
    </row>
    <row r="1883" spans="24:26">
      <c r="X1883" s="2"/>
      <c r="Y1883" s="101"/>
      <c r="Z1883" s="100"/>
    </row>
    <row r="1884" spans="24:26">
      <c r="X1884" s="2"/>
      <c r="Y1884" s="101"/>
      <c r="Z1884" s="100"/>
    </row>
    <row r="1885" spans="24:26">
      <c r="X1885" s="2"/>
      <c r="Y1885" s="101"/>
      <c r="Z1885" s="100"/>
    </row>
    <row r="1886" spans="24:26">
      <c r="X1886" s="2"/>
      <c r="Y1886" s="101"/>
      <c r="Z1886" s="100"/>
    </row>
    <row r="1887" spans="24:26">
      <c r="X1887" s="2"/>
      <c r="Y1887" s="101"/>
      <c r="Z1887" s="100"/>
    </row>
    <row r="1888" spans="24:26">
      <c r="X1888" s="2"/>
      <c r="Y1888" s="101"/>
      <c r="Z1888" s="100"/>
    </row>
    <row r="1889" spans="24:26">
      <c r="X1889" s="2"/>
      <c r="Y1889" s="101"/>
      <c r="Z1889" s="100"/>
    </row>
    <row r="1890" spans="24:26">
      <c r="X1890" s="2"/>
      <c r="Y1890" s="101"/>
      <c r="Z1890" s="100"/>
    </row>
    <row r="1891" spans="24:26">
      <c r="X1891" s="2"/>
      <c r="Y1891" s="101"/>
      <c r="Z1891" s="100"/>
    </row>
    <row r="1892" spans="24:26">
      <c r="X1892" s="2"/>
      <c r="Y1892" s="101"/>
      <c r="Z1892" s="100"/>
    </row>
    <row r="1893" spans="24:26">
      <c r="X1893" s="2"/>
      <c r="Y1893" s="101"/>
      <c r="Z1893" s="100"/>
    </row>
    <row r="1894" spans="24:26">
      <c r="X1894" s="2"/>
      <c r="Y1894" s="101"/>
      <c r="Z1894" s="100"/>
    </row>
    <row r="1895" spans="24:26">
      <c r="X1895" s="2"/>
      <c r="Y1895" s="101"/>
      <c r="Z1895" s="100"/>
    </row>
    <row r="1896" spans="24:26">
      <c r="X1896" s="2"/>
      <c r="Y1896" s="101"/>
      <c r="Z1896" s="100"/>
    </row>
    <row r="1897" spans="24:26">
      <c r="X1897" s="2"/>
      <c r="Y1897" s="101"/>
      <c r="Z1897" s="100"/>
    </row>
    <row r="1898" spans="24:26">
      <c r="X1898" s="2"/>
      <c r="Y1898" s="101"/>
      <c r="Z1898" s="100"/>
    </row>
    <row r="1899" spans="24:26">
      <c r="X1899" s="2"/>
      <c r="Y1899" s="101"/>
      <c r="Z1899" s="100"/>
    </row>
    <row r="1900" spans="24:26">
      <c r="X1900" s="2"/>
      <c r="Y1900" s="101"/>
      <c r="Z1900" s="100"/>
    </row>
    <row r="1901" spans="24:26">
      <c r="X1901" s="2"/>
      <c r="Y1901" s="101"/>
      <c r="Z1901" s="100"/>
    </row>
    <row r="1902" spans="24:26">
      <c r="X1902" s="2"/>
      <c r="Y1902" s="101"/>
      <c r="Z1902" s="100"/>
    </row>
    <row r="1903" spans="24:26">
      <c r="X1903" s="2"/>
      <c r="Y1903" s="101"/>
      <c r="Z1903" s="100"/>
    </row>
    <row r="1904" spans="24:26">
      <c r="X1904" s="2"/>
      <c r="Y1904" s="101"/>
      <c r="Z1904" s="100"/>
    </row>
    <row r="1905" spans="24:26">
      <c r="X1905" s="2"/>
      <c r="Y1905" s="101"/>
      <c r="Z1905" s="100"/>
    </row>
    <row r="1906" spans="24:26">
      <c r="X1906" s="2"/>
      <c r="Y1906" s="101"/>
      <c r="Z1906" s="100"/>
    </row>
    <row r="1907" spans="24:26">
      <c r="X1907" s="2"/>
      <c r="Y1907" s="101"/>
      <c r="Z1907" s="100"/>
    </row>
    <row r="1908" spans="24:26">
      <c r="X1908" s="2"/>
      <c r="Y1908" s="101"/>
      <c r="Z1908" s="100"/>
    </row>
    <row r="1909" spans="24:26">
      <c r="X1909" s="2"/>
      <c r="Y1909" s="101"/>
      <c r="Z1909" s="100"/>
    </row>
    <row r="1910" spans="24:26">
      <c r="X1910" s="2"/>
      <c r="Y1910" s="101"/>
      <c r="Z1910" s="100"/>
    </row>
    <row r="1911" spans="24:26">
      <c r="X1911" s="2"/>
      <c r="Y1911" s="101"/>
      <c r="Z1911" s="100"/>
    </row>
    <row r="1912" spans="24:26">
      <c r="X1912" s="2"/>
      <c r="Y1912" s="101"/>
      <c r="Z1912" s="100"/>
    </row>
    <row r="1913" spans="24:26">
      <c r="X1913" s="2"/>
      <c r="Y1913" s="101"/>
      <c r="Z1913" s="100"/>
    </row>
    <row r="1914" spans="24:26">
      <c r="X1914" s="2"/>
      <c r="Y1914" s="101"/>
      <c r="Z1914" s="100"/>
    </row>
    <row r="1915" spans="24:26">
      <c r="X1915" s="2"/>
      <c r="Y1915" s="101"/>
      <c r="Z1915" s="100"/>
    </row>
    <row r="1916" spans="24:26">
      <c r="X1916" s="2"/>
      <c r="Y1916" s="101"/>
      <c r="Z1916" s="100"/>
    </row>
    <row r="1917" spans="24:26">
      <c r="X1917" s="2"/>
      <c r="Y1917" s="101"/>
      <c r="Z1917" s="100"/>
    </row>
    <row r="1918" spans="24:26">
      <c r="X1918" s="2"/>
      <c r="Y1918" s="101"/>
      <c r="Z1918" s="100"/>
    </row>
    <row r="1919" spans="24:26">
      <c r="X1919" s="2"/>
      <c r="Y1919" s="101"/>
      <c r="Z1919" s="100"/>
    </row>
    <row r="1920" spans="24:26">
      <c r="X1920" s="2"/>
      <c r="Y1920" s="101"/>
      <c r="Z1920" s="100"/>
    </row>
    <row r="1921" spans="24:26">
      <c r="X1921" s="2"/>
      <c r="Y1921" s="101"/>
      <c r="Z1921" s="100"/>
    </row>
    <row r="1922" spans="24:26">
      <c r="X1922" s="2"/>
      <c r="Y1922" s="101"/>
      <c r="Z1922" s="100"/>
    </row>
    <row r="1923" spans="24:26">
      <c r="X1923" s="2"/>
      <c r="Y1923" s="101"/>
      <c r="Z1923" s="100"/>
    </row>
    <row r="1924" spans="24:26">
      <c r="X1924" s="2"/>
      <c r="Y1924" s="101"/>
      <c r="Z1924" s="100"/>
    </row>
    <row r="1925" spans="24:26">
      <c r="X1925" s="2"/>
      <c r="Y1925" s="101"/>
      <c r="Z1925" s="100"/>
    </row>
    <row r="1926" spans="24:26">
      <c r="X1926" s="2"/>
      <c r="Y1926" s="101"/>
      <c r="Z1926" s="100"/>
    </row>
    <row r="1927" spans="24:26">
      <c r="X1927" s="2"/>
      <c r="Y1927" s="101"/>
      <c r="Z1927" s="100"/>
    </row>
    <row r="1928" spans="24:26">
      <c r="X1928" s="2"/>
      <c r="Y1928" s="101"/>
      <c r="Z1928" s="100"/>
    </row>
    <row r="1929" spans="24:26">
      <c r="X1929" s="2"/>
      <c r="Y1929" s="101"/>
      <c r="Z1929" s="100"/>
    </row>
    <row r="1930" spans="24:26">
      <c r="X1930" s="2"/>
      <c r="Y1930" s="101"/>
      <c r="Z1930" s="100"/>
    </row>
    <row r="1931" spans="24:26">
      <c r="X1931" s="2"/>
      <c r="Y1931" s="101"/>
      <c r="Z1931" s="100"/>
    </row>
    <row r="1932" spans="24:26">
      <c r="X1932" s="2"/>
      <c r="Y1932" s="101"/>
      <c r="Z1932" s="100"/>
    </row>
    <row r="1933" spans="24:26">
      <c r="X1933" s="2"/>
      <c r="Y1933" s="101"/>
      <c r="Z1933" s="100"/>
    </row>
    <row r="1934" spans="24:26">
      <c r="X1934" s="2"/>
      <c r="Y1934" s="101"/>
      <c r="Z1934" s="100"/>
    </row>
    <row r="1935" spans="24:26">
      <c r="X1935" s="2"/>
      <c r="Y1935" s="101"/>
      <c r="Z1935" s="100"/>
    </row>
    <row r="1936" spans="24:26">
      <c r="X1936" s="2"/>
      <c r="Y1936" s="101"/>
      <c r="Z1936" s="100"/>
    </row>
    <row r="1937" spans="24:26">
      <c r="X1937" s="2"/>
      <c r="Y1937" s="101"/>
      <c r="Z1937" s="100"/>
    </row>
    <row r="1938" spans="24:26">
      <c r="X1938" s="2"/>
      <c r="Y1938" s="101"/>
      <c r="Z1938" s="100"/>
    </row>
    <row r="1939" spans="24:26">
      <c r="X1939" s="2"/>
      <c r="Y1939" s="101"/>
      <c r="Z1939" s="100"/>
    </row>
    <row r="1940" spans="24:26">
      <c r="X1940" s="2"/>
      <c r="Y1940" s="101"/>
      <c r="Z1940" s="100"/>
    </row>
    <row r="1941" spans="24:26">
      <c r="X1941" s="2"/>
      <c r="Y1941" s="101"/>
      <c r="Z1941" s="100"/>
    </row>
    <row r="1942" spans="24:26">
      <c r="X1942" s="2"/>
      <c r="Y1942" s="101"/>
      <c r="Z1942" s="100"/>
    </row>
    <row r="1943" spans="24:26">
      <c r="X1943" s="2"/>
      <c r="Y1943" s="101"/>
      <c r="Z1943" s="100"/>
    </row>
    <row r="1944" spans="24:26">
      <c r="X1944" s="2"/>
      <c r="Y1944" s="101"/>
      <c r="Z1944" s="100"/>
    </row>
    <row r="1945" spans="24:26">
      <c r="X1945" s="2"/>
      <c r="Y1945" s="101"/>
      <c r="Z1945" s="100"/>
    </row>
    <row r="1946" spans="24:26">
      <c r="X1946" s="2"/>
      <c r="Y1946" s="101"/>
      <c r="Z1946" s="100"/>
    </row>
    <row r="1947" spans="24:26">
      <c r="X1947" s="2"/>
      <c r="Y1947" s="101"/>
      <c r="Z1947" s="100"/>
    </row>
    <row r="1948" spans="24:26">
      <c r="X1948" s="2"/>
      <c r="Y1948" s="101"/>
      <c r="Z1948" s="100"/>
    </row>
    <row r="1949" spans="24:26">
      <c r="X1949" s="2"/>
      <c r="Y1949" s="101"/>
      <c r="Z1949" s="100"/>
    </row>
    <row r="1950" spans="24:26">
      <c r="X1950" s="2"/>
      <c r="Y1950" s="101"/>
      <c r="Z1950" s="100"/>
    </row>
    <row r="1951" spans="24:26">
      <c r="X1951" s="2"/>
      <c r="Y1951" s="101"/>
      <c r="Z1951" s="100"/>
    </row>
    <row r="1952" spans="24:26">
      <c r="X1952" s="2"/>
      <c r="Y1952" s="101"/>
      <c r="Z1952" s="100"/>
    </row>
    <row r="1953" spans="24:26">
      <c r="X1953" s="2"/>
      <c r="Y1953" s="101"/>
      <c r="Z1953" s="100"/>
    </row>
    <row r="1954" spans="24:26">
      <c r="X1954" s="2"/>
      <c r="Y1954" s="101"/>
      <c r="Z1954" s="100"/>
    </row>
    <row r="1955" spans="24:26">
      <c r="X1955" s="2"/>
      <c r="Y1955" s="101"/>
      <c r="Z1955" s="100"/>
    </row>
    <row r="1956" spans="24:26">
      <c r="X1956" s="2"/>
      <c r="Y1956" s="101"/>
      <c r="Z1956" s="100"/>
    </row>
    <row r="1957" spans="24:26">
      <c r="X1957" s="2"/>
      <c r="Y1957" s="101"/>
      <c r="Z1957" s="100"/>
    </row>
    <row r="1958" spans="24:26">
      <c r="X1958" s="2"/>
      <c r="Y1958" s="101"/>
      <c r="Z1958" s="100"/>
    </row>
    <row r="1959" spans="24:26">
      <c r="X1959" s="2"/>
      <c r="Y1959" s="101"/>
      <c r="Z1959" s="100"/>
    </row>
    <row r="1960" spans="24:26">
      <c r="X1960" s="2"/>
      <c r="Y1960" s="101"/>
      <c r="Z1960" s="100"/>
    </row>
    <row r="1961" spans="24:26">
      <c r="X1961" s="2"/>
      <c r="Y1961" s="101"/>
      <c r="Z1961" s="100"/>
    </row>
    <row r="1962" spans="24:26">
      <c r="X1962" s="2"/>
      <c r="Y1962" s="101"/>
      <c r="Z1962" s="100"/>
    </row>
    <row r="1963" spans="24:26">
      <c r="X1963" s="2"/>
      <c r="Y1963" s="101"/>
      <c r="Z1963" s="100"/>
    </row>
    <row r="1964" spans="24:26">
      <c r="X1964" s="2"/>
      <c r="Y1964" s="101"/>
      <c r="Z1964" s="100"/>
    </row>
    <row r="1965" spans="24:26">
      <c r="X1965" s="2"/>
      <c r="Y1965" s="101"/>
      <c r="Z1965" s="100"/>
    </row>
    <row r="1966" spans="24:26">
      <c r="X1966" s="2"/>
      <c r="Y1966" s="101"/>
      <c r="Z1966" s="100"/>
    </row>
    <row r="1967" spans="24:26">
      <c r="X1967" s="2"/>
      <c r="Y1967" s="101"/>
      <c r="Z1967" s="100"/>
    </row>
    <row r="1968" spans="24:26">
      <c r="X1968" s="2"/>
      <c r="Y1968" s="101"/>
      <c r="Z1968" s="100"/>
    </row>
    <row r="1969" spans="24:26">
      <c r="X1969" s="2"/>
      <c r="Y1969" s="101"/>
      <c r="Z1969" s="100"/>
    </row>
    <row r="1970" spans="24:26">
      <c r="X1970" s="2"/>
      <c r="Y1970" s="101"/>
      <c r="Z1970" s="100"/>
    </row>
    <row r="1971" spans="24:26">
      <c r="X1971" s="2"/>
      <c r="Y1971" s="101"/>
      <c r="Z1971" s="100"/>
    </row>
    <row r="1972" spans="24:26">
      <c r="X1972" s="2"/>
      <c r="Y1972" s="101"/>
      <c r="Z1972" s="100"/>
    </row>
    <row r="1973" spans="24:26">
      <c r="X1973" s="2"/>
      <c r="Y1973" s="101"/>
      <c r="Z1973" s="100"/>
    </row>
    <row r="1974" spans="24:26">
      <c r="X1974" s="2"/>
      <c r="Y1974" s="101"/>
      <c r="Z1974" s="100"/>
    </row>
    <row r="1975" spans="24:26">
      <c r="X1975" s="2"/>
      <c r="Y1975" s="101"/>
      <c r="Z1975" s="100"/>
    </row>
    <row r="1976" spans="24:26">
      <c r="X1976" s="2"/>
      <c r="Y1976" s="101"/>
      <c r="Z1976" s="100"/>
    </row>
    <row r="1977" spans="24:26">
      <c r="X1977" s="2"/>
      <c r="Y1977" s="101"/>
      <c r="Z1977" s="100"/>
    </row>
    <row r="1978" spans="24:26">
      <c r="X1978" s="2"/>
      <c r="Y1978" s="101"/>
      <c r="Z1978" s="100"/>
    </row>
    <row r="1979" spans="24:26">
      <c r="X1979" s="2"/>
      <c r="Y1979" s="101"/>
      <c r="Z1979" s="100"/>
    </row>
    <row r="1980" spans="24:26">
      <c r="X1980" s="2"/>
      <c r="Y1980" s="101"/>
      <c r="Z1980" s="100"/>
    </row>
    <row r="1981" spans="24:26">
      <c r="X1981" s="2"/>
      <c r="Y1981" s="101"/>
      <c r="Z1981" s="100"/>
    </row>
    <row r="1982" spans="24:26">
      <c r="X1982" s="2"/>
      <c r="Y1982" s="101"/>
      <c r="Z1982" s="100"/>
    </row>
    <row r="1983" spans="24:26">
      <c r="X1983" s="2"/>
      <c r="Y1983" s="101"/>
      <c r="Z1983" s="100"/>
    </row>
    <row r="1984" spans="24:26">
      <c r="X1984" s="2"/>
      <c r="Y1984" s="101"/>
      <c r="Z1984" s="100"/>
    </row>
    <row r="1985" spans="24:26">
      <c r="X1985" s="2"/>
      <c r="Y1985" s="101"/>
      <c r="Z1985" s="100"/>
    </row>
    <row r="1986" spans="24:26">
      <c r="X1986" s="2"/>
      <c r="Y1986" s="101"/>
      <c r="Z1986" s="100"/>
    </row>
    <row r="1987" spans="24:26">
      <c r="X1987" s="2"/>
      <c r="Y1987" s="101"/>
      <c r="Z1987" s="100"/>
    </row>
    <row r="1988" spans="24:26">
      <c r="X1988" s="2"/>
      <c r="Y1988" s="101"/>
      <c r="Z1988" s="100"/>
    </row>
    <row r="1989" spans="24:26">
      <c r="X1989" s="2"/>
      <c r="Y1989" s="101"/>
      <c r="Z1989" s="100"/>
    </row>
    <row r="1990" spans="24:26">
      <c r="X1990" s="2"/>
      <c r="Y1990" s="101"/>
      <c r="Z1990" s="100"/>
    </row>
    <row r="1991" spans="24:26">
      <c r="X1991" s="2"/>
      <c r="Y1991" s="101"/>
      <c r="Z1991" s="100"/>
    </row>
    <row r="1992" spans="24:26">
      <c r="X1992" s="2"/>
      <c r="Y1992" s="101"/>
      <c r="Z1992" s="100"/>
    </row>
    <row r="1993" spans="24:26">
      <c r="X1993" s="2"/>
      <c r="Y1993" s="101"/>
      <c r="Z1993" s="100"/>
    </row>
    <row r="1994" spans="24:26">
      <c r="X1994" s="2"/>
      <c r="Y1994" s="101"/>
      <c r="Z1994" s="100"/>
    </row>
    <row r="1995" spans="24:26">
      <c r="X1995" s="2"/>
      <c r="Y1995" s="101"/>
      <c r="Z1995" s="100"/>
    </row>
    <row r="1996" spans="24:26">
      <c r="X1996" s="2"/>
      <c r="Y1996" s="101"/>
      <c r="Z1996" s="100"/>
    </row>
    <row r="1997" spans="24:26">
      <c r="X1997" s="2"/>
      <c r="Y1997" s="101"/>
      <c r="Z1997" s="100"/>
    </row>
    <row r="1998" spans="24:26">
      <c r="X1998" s="2"/>
      <c r="Y1998" s="101"/>
      <c r="Z1998" s="100"/>
    </row>
    <row r="1999" spans="24:26">
      <c r="X1999" s="2"/>
      <c r="Y1999" s="101"/>
      <c r="Z1999" s="100"/>
    </row>
    <row r="2000" spans="24:26">
      <c r="X2000" s="2"/>
      <c r="Y2000" s="101"/>
      <c r="Z2000" s="100"/>
    </row>
    <row r="2001" spans="24:26">
      <c r="X2001" s="2"/>
      <c r="Y2001" s="101"/>
      <c r="Z2001" s="100"/>
    </row>
    <row r="2002" spans="24:26">
      <c r="X2002" s="2"/>
      <c r="Y2002" s="101"/>
      <c r="Z2002" s="100"/>
    </row>
    <row r="2003" spans="24:26">
      <c r="X2003" s="2"/>
      <c r="Y2003" s="101"/>
      <c r="Z2003" s="100"/>
    </row>
    <row r="2004" spans="24:26">
      <c r="X2004" s="2"/>
      <c r="Y2004" s="101"/>
      <c r="Z2004" s="100"/>
    </row>
    <row r="2005" spans="24:26">
      <c r="X2005" s="2"/>
      <c r="Y2005" s="101"/>
      <c r="Z2005" s="100"/>
    </row>
    <row r="2006" spans="24:26">
      <c r="X2006" s="2"/>
      <c r="Y2006" s="101"/>
      <c r="Z2006" s="100"/>
    </row>
    <row r="2007" spans="24:26">
      <c r="X2007" s="2"/>
      <c r="Y2007" s="101"/>
      <c r="Z2007" s="100"/>
    </row>
    <row r="2008" spans="24:26">
      <c r="X2008" s="2"/>
      <c r="Y2008" s="101"/>
      <c r="Z2008" s="100"/>
    </row>
    <row r="2009" spans="24:26">
      <c r="X2009" s="2"/>
      <c r="Y2009" s="101"/>
      <c r="Z2009" s="100"/>
    </row>
    <row r="2010" spans="24:26">
      <c r="X2010" s="2"/>
      <c r="Y2010" s="101"/>
      <c r="Z2010" s="100"/>
    </row>
    <row r="2011" spans="24:26">
      <c r="X2011" s="2"/>
      <c r="Y2011" s="101"/>
      <c r="Z2011" s="100"/>
    </row>
    <row r="2012" spans="24:26">
      <c r="X2012" s="2"/>
      <c r="Y2012" s="101"/>
      <c r="Z2012" s="100"/>
    </row>
    <row r="2013" spans="24:26">
      <c r="X2013" s="2"/>
      <c r="Y2013" s="101"/>
      <c r="Z2013" s="100"/>
    </row>
    <row r="2014" spans="24:26">
      <c r="X2014" s="2"/>
      <c r="Y2014" s="101"/>
      <c r="Z2014" s="100"/>
    </row>
    <row r="2015" spans="24:26">
      <c r="X2015" s="2"/>
      <c r="Y2015" s="101"/>
      <c r="Z2015" s="100"/>
    </row>
    <row r="2016" spans="24:26">
      <c r="X2016" s="2"/>
      <c r="Y2016" s="101"/>
      <c r="Z2016" s="100"/>
    </row>
    <row r="2017" spans="24:26">
      <c r="X2017" s="2"/>
      <c r="Y2017" s="101"/>
      <c r="Z2017" s="100"/>
    </row>
    <row r="2018" spans="24:26">
      <c r="X2018" s="2"/>
      <c r="Y2018" s="101"/>
      <c r="Z2018" s="100"/>
    </row>
    <row r="2019" spans="24:26">
      <c r="X2019" s="2"/>
      <c r="Y2019" s="101"/>
      <c r="Z2019" s="100"/>
    </row>
    <row r="2020" spans="24:26">
      <c r="X2020" s="2"/>
      <c r="Y2020" s="101"/>
      <c r="Z2020" s="100"/>
    </row>
    <row r="2021" spans="24:26">
      <c r="X2021" s="2"/>
      <c r="Y2021" s="101"/>
      <c r="Z2021" s="100"/>
    </row>
    <row r="2022" spans="24:26">
      <c r="X2022" s="2"/>
      <c r="Y2022" s="101"/>
      <c r="Z2022" s="100"/>
    </row>
    <row r="2023" spans="24:26">
      <c r="X2023" s="2"/>
      <c r="Y2023" s="101"/>
      <c r="Z2023" s="100"/>
    </row>
    <row r="2024" spans="24:26">
      <c r="X2024" s="2"/>
      <c r="Y2024" s="101"/>
      <c r="Z2024" s="100"/>
    </row>
    <row r="2025" spans="24:26">
      <c r="X2025" s="2"/>
      <c r="Y2025" s="101"/>
      <c r="Z2025" s="100"/>
    </row>
    <row r="2026" spans="24:26">
      <c r="X2026" s="2"/>
      <c r="Y2026" s="101"/>
      <c r="Z2026" s="100"/>
    </row>
    <row r="2027" spans="24:26">
      <c r="X2027" s="2"/>
      <c r="Y2027" s="101"/>
      <c r="Z2027" s="100"/>
    </row>
    <row r="2028" spans="24:26">
      <c r="X2028" s="2"/>
      <c r="Y2028" s="101"/>
      <c r="Z2028" s="100"/>
    </row>
    <row r="2029" spans="24:26">
      <c r="X2029" s="2"/>
      <c r="Y2029" s="101"/>
      <c r="Z2029" s="100"/>
    </row>
    <row r="2030" spans="24:26">
      <c r="X2030" s="2"/>
      <c r="Y2030" s="101"/>
      <c r="Z2030" s="100"/>
    </row>
    <row r="2031" spans="24:26">
      <c r="X2031" s="2"/>
      <c r="Y2031" s="101"/>
      <c r="Z2031" s="100"/>
    </row>
    <row r="2032" spans="24:26">
      <c r="X2032" s="2"/>
      <c r="Y2032" s="101"/>
      <c r="Z2032" s="100"/>
    </row>
    <row r="2033" spans="24:26">
      <c r="X2033" s="2"/>
      <c r="Y2033" s="101"/>
      <c r="Z2033" s="100"/>
    </row>
    <row r="2034" spans="24:26">
      <c r="X2034" s="2"/>
      <c r="Y2034" s="101"/>
      <c r="Z2034" s="100"/>
    </row>
    <row r="2035" spans="24:26">
      <c r="X2035" s="2"/>
      <c r="Y2035" s="101"/>
      <c r="Z2035" s="100"/>
    </row>
    <row r="2036" spans="24:26">
      <c r="X2036" s="2"/>
      <c r="Y2036" s="101"/>
      <c r="Z2036" s="100"/>
    </row>
    <row r="2037" spans="24:26">
      <c r="X2037" s="2"/>
      <c r="Y2037" s="101"/>
      <c r="Z2037" s="100"/>
    </row>
    <row r="2038" spans="24:26">
      <c r="X2038" s="2"/>
      <c r="Y2038" s="101"/>
      <c r="Z2038" s="100"/>
    </row>
    <row r="2039" spans="24:26">
      <c r="X2039" s="2"/>
      <c r="Y2039" s="101"/>
      <c r="Z2039" s="100"/>
    </row>
    <row r="2040" spans="24:26">
      <c r="X2040" s="2"/>
      <c r="Y2040" s="101"/>
      <c r="Z2040" s="100"/>
    </row>
    <row r="2041" spans="24:26">
      <c r="X2041" s="2"/>
      <c r="Y2041" s="101"/>
      <c r="Z2041" s="100"/>
    </row>
    <row r="2042" spans="24:26">
      <c r="X2042" s="2"/>
      <c r="Y2042" s="101"/>
      <c r="Z2042" s="100"/>
    </row>
    <row r="2043" spans="24:26">
      <c r="X2043" s="2"/>
      <c r="Y2043" s="101"/>
      <c r="Z2043" s="100"/>
    </row>
    <row r="2044" spans="24:26">
      <c r="X2044" s="2"/>
      <c r="Y2044" s="101"/>
      <c r="Z2044" s="100"/>
    </row>
    <row r="2045" spans="24:26">
      <c r="X2045" s="2"/>
      <c r="Y2045" s="101"/>
      <c r="Z2045" s="100"/>
    </row>
    <row r="2046" spans="24:26">
      <c r="X2046" s="2"/>
      <c r="Y2046" s="101"/>
      <c r="Z2046" s="100"/>
    </row>
    <row r="2047" spans="24:26">
      <c r="X2047" s="2"/>
      <c r="Y2047" s="101"/>
      <c r="Z2047" s="100"/>
    </row>
    <row r="2048" spans="24:26">
      <c r="X2048" s="2"/>
      <c r="Y2048" s="101"/>
      <c r="Z2048" s="100"/>
    </row>
    <row r="2049" spans="24:26">
      <c r="X2049" s="2"/>
      <c r="Y2049" s="101"/>
      <c r="Z2049" s="100"/>
    </row>
    <row r="2050" spans="24:26">
      <c r="X2050" s="2"/>
      <c r="Y2050" s="101"/>
      <c r="Z2050" s="100"/>
    </row>
    <row r="2051" spans="24:26">
      <c r="X2051" s="2"/>
      <c r="Y2051" s="101"/>
      <c r="Z2051" s="100"/>
    </row>
    <row r="2052" spans="24:26">
      <c r="X2052" s="2"/>
      <c r="Y2052" s="101"/>
      <c r="Z2052" s="100"/>
    </row>
    <row r="2053" spans="24:26">
      <c r="X2053" s="2"/>
      <c r="Y2053" s="101"/>
      <c r="Z2053" s="100"/>
    </row>
    <row r="2054" spans="24:26">
      <c r="X2054" s="2"/>
      <c r="Y2054" s="101"/>
      <c r="Z2054" s="100"/>
    </row>
    <row r="2055" spans="24:26">
      <c r="X2055" s="2"/>
      <c r="Y2055" s="101"/>
      <c r="Z2055" s="100"/>
    </row>
    <row r="2056" spans="24:26">
      <c r="X2056" s="2"/>
      <c r="Y2056" s="101"/>
      <c r="Z2056" s="100"/>
    </row>
    <row r="2057" spans="24:26">
      <c r="X2057" s="2"/>
      <c r="Y2057" s="101"/>
      <c r="Z2057" s="100"/>
    </row>
    <row r="2058" spans="24:26">
      <c r="X2058" s="2"/>
      <c r="Y2058" s="101"/>
      <c r="Z2058" s="100"/>
    </row>
    <row r="2059" spans="24:26">
      <c r="X2059" s="2"/>
      <c r="Y2059" s="101"/>
      <c r="Z2059" s="100"/>
    </row>
    <row r="2060" spans="24:26">
      <c r="X2060" s="2"/>
      <c r="Y2060" s="101"/>
      <c r="Z2060" s="100"/>
    </row>
    <row r="2061" spans="24:26">
      <c r="X2061" s="2"/>
      <c r="Y2061" s="101"/>
      <c r="Z2061" s="100"/>
    </row>
    <row r="2062" spans="24:26">
      <c r="X2062" s="2"/>
      <c r="Y2062" s="101"/>
      <c r="Z2062" s="100"/>
    </row>
    <row r="2063" spans="24:26">
      <c r="X2063" s="2"/>
      <c r="Y2063" s="101"/>
      <c r="Z2063" s="100"/>
    </row>
    <row r="2064" spans="24:26">
      <c r="X2064" s="2"/>
      <c r="Y2064" s="101"/>
      <c r="Z2064" s="100"/>
    </row>
    <row r="2065" spans="24:26">
      <c r="X2065" s="2"/>
      <c r="Y2065" s="101"/>
      <c r="Z2065" s="100"/>
    </row>
    <row r="2066" spans="24:26">
      <c r="X2066" s="2"/>
      <c r="Y2066" s="101"/>
      <c r="Z2066" s="100"/>
    </row>
    <row r="2067" spans="24:26">
      <c r="X2067" s="2"/>
      <c r="Y2067" s="101"/>
      <c r="Z2067" s="100"/>
    </row>
    <row r="2068" spans="24:26">
      <c r="X2068" s="2"/>
      <c r="Y2068" s="101"/>
      <c r="Z2068" s="100"/>
    </row>
    <row r="2069" spans="24:26">
      <c r="X2069" s="2"/>
      <c r="Y2069" s="101"/>
      <c r="Z2069" s="100"/>
    </row>
    <row r="2070" spans="24:26">
      <c r="X2070" s="2"/>
      <c r="Y2070" s="101"/>
      <c r="Z2070" s="100"/>
    </row>
    <row r="2071" spans="24:26">
      <c r="X2071" s="2"/>
      <c r="Y2071" s="101"/>
      <c r="Z2071" s="100"/>
    </row>
    <row r="2072" spans="24:26">
      <c r="X2072" s="2"/>
      <c r="Y2072" s="101"/>
      <c r="Z2072" s="100"/>
    </row>
    <row r="2073" spans="24:26">
      <c r="X2073" s="2"/>
      <c r="Y2073" s="101"/>
      <c r="Z2073" s="100"/>
    </row>
    <row r="2074" spans="24:26">
      <c r="X2074" s="2"/>
      <c r="Y2074" s="101"/>
      <c r="Z2074" s="100"/>
    </row>
    <row r="2075" spans="24:26">
      <c r="X2075" s="2"/>
      <c r="Y2075" s="101"/>
      <c r="Z2075" s="100"/>
    </row>
    <row r="2076" spans="24:26">
      <c r="X2076" s="2"/>
      <c r="Y2076" s="101"/>
      <c r="Z2076" s="100"/>
    </row>
    <row r="2077" spans="24:26">
      <c r="X2077" s="2"/>
      <c r="Y2077" s="101"/>
      <c r="Z2077" s="100"/>
    </row>
    <row r="2078" spans="24:26">
      <c r="X2078" s="2"/>
      <c r="Y2078" s="101"/>
      <c r="Z2078" s="100"/>
    </row>
    <row r="2079" spans="24:26">
      <c r="X2079" s="2"/>
      <c r="Y2079" s="101"/>
      <c r="Z2079" s="100"/>
    </row>
    <row r="2080" spans="24:26">
      <c r="X2080" s="2"/>
      <c r="Y2080" s="101"/>
      <c r="Z2080" s="100"/>
    </row>
    <row r="2081" spans="24:26">
      <c r="X2081" s="2"/>
      <c r="Y2081" s="101"/>
      <c r="Z2081" s="100"/>
    </row>
    <row r="2082" spans="24:26">
      <c r="X2082" s="2"/>
      <c r="Y2082" s="101"/>
      <c r="Z2082" s="100"/>
    </row>
    <row r="2083" spans="24:26">
      <c r="X2083" s="2"/>
      <c r="Y2083" s="101"/>
      <c r="Z2083" s="100"/>
    </row>
    <row r="2084" spans="24:26">
      <c r="X2084" s="2"/>
      <c r="Y2084" s="101"/>
      <c r="Z2084" s="100"/>
    </row>
    <row r="2085" spans="24:26">
      <c r="X2085" s="2"/>
      <c r="Y2085" s="101"/>
      <c r="Z2085" s="100"/>
    </row>
    <row r="2086" spans="24:26">
      <c r="X2086" s="2"/>
      <c r="Y2086" s="101"/>
      <c r="Z2086" s="100"/>
    </row>
    <row r="2087" spans="24:26">
      <c r="X2087" s="2"/>
      <c r="Y2087" s="101"/>
      <c r="Z2087" s="100"/>
    </row>
    <row r="2088" spans="24:26">
      <c r="X2088" s="2"/>
      <c r="Y2088" s="101"/>
      <c r="Z2088" s="100"/>
    </row>
    <row r="2089" spans="24:26">
      <c r="X2089" s="2"/>
      <c r="Y2089" s="101"/>
      <c r="Z2089" s="100"/>
    </row>
    <row r="2090" spans="24:26">
      <c r="X2090" s="2"/>
      <c r="Y2090" s="101"/>
      <c r="Z2090" s="100"/>
    </row>
    <row r="2091" spans="24:26">
      <c r="X2091" s="2"/>
      <c r="Y2091" s="101"/>
      <c r="Z2091" s="100"/>
    </row>
    <row r="2092" spans="24:26">
      <c r="X2092" s="2"/>
      <c r="Y2092" s="101"/>
      <c r="Z2092" s="100"/>
    </row>
    <row r="2093" spans="24:26">
      <c r="X2093" s="2"/>
      <c r="Y2093" s="101"/>
      <c r="Z2093" s="100"/>
    </row>
    <row r="2094" spans="24:26">
      <c r="X2094" s="2"/>
      <c r="Y2094" s="101"/>
      <c r="Z2094" s="100"/>
    </row>
    <row r="2095" spans="24:26">
      <c r="X2095" s="2"/>
      <c r="Y2095" s="101"/>
      <c r="Z2095" s="100"/>
    </row>
    <row r="2096" spans="24:26">
      <c r="X2096" s="2"/>
      <c r="Y2096" s="101"/>
      <c r="Z2096" s="100"/>
    </row>
    <row r="2097" spans="24:26">
      <c r="X2097" s="2"/>
      <c r="Y2097" s="101"/>
      <c r="Z2097" s="100"/>
    </row>
    <row r="2098" spans="24:26">
      <c r="X2098" s="2"/>
      <c r="Y2098" s="101"/>
      <c r="Z2098" s="100"/>
    </row>
    <row r="2099" spans="24:26">
      <c r="X2099" s="2"/>
      <c r="Y2099" s="101"/>
      <c r="Z2099" s="100"/>
    </row>
    <row r="2100" spans="24:26">
      <c r="X2100" s="2"/>
      <c r="Y2100" s="101"/>
      <c r="Z2100" s="100"/>
    </row>
    <row r="2101" spans="24:26">
      <c r="X2101" s="2"/>
      <c r="Y2101" s="101"/>
      <c r="Z2101" s="100"/>
    </row>
    <row r="2102" spans="24:26">
      <c r="X2102" s="2"/>
      <c r="Y2102" s="101"/>
      <c r="Z2102" s="100"/>
    </row>
    <row r="2103" spans="24:26">
      <c r="X2103" s="2"/>
      <c r="Y2103" s="101"/>
      <c r="Z2103" s="100"/>
    </row>
    <row r="2104" spans="24:26">
      <c r="X2104" s="2"/>
      <c r="Y2104" s="101"/>
      <c r="Z2104" s="100"/>
    </row>
    <row r="2105" spans="24:26">
      <c r="X2105" s="2"/>
      <c r="Y2105" s="101"/>
      <c r="Z2105" s="100"/>
    </row>
    <row r="2106" spans="24:26">
      <c r="X2106" s="2"/>
      <c r="Y2106" s="101"/>
      <c r="Z2106" s="100"/>
    </row>
    <row r="2107" spans="24:26">
      <c r="X2107" s="2"/>
      <c r="Y2107" s="101"/>
      <c r="Z2107" s="100"/>
    </row>
    <row r="2108" spans="24:26">
      <c r="X2108" s="2"/>
      <c r="Y2108" s="101"/>
      <c r="Z2108" s="100"/>
    </row>
    <row r="2109" spans="24:26">
      <c r="X2109" s="2"/>
      <c r="Y2109" s="101"/>
      <c r="Z2109" s="100"/>
    </row>
    <row r="2110" spans="24:26">
      <c r="X2110" s="2"/>
      <c r="Y2110" s="101"/>
      <c r="Z2110" s="100"/>
    </row>
    <row r="2111" spans="24:26">
      <c r="X2111" s="2"/>
      <c r="Y2111" s="101"/>
      <c r="Z2111" s="100"/>
    </row>
    <row r="2112" spans="24:26">
      <c r="X2112" s="2"/>
      <c r="Y2112" s="101"/>
      <c r="Z2112" s="100"/>
    </row>
    <row r="2113" spans="24:26">
      <c r="X2113" s="2"/>
      <c r="Y2113" s="101"/>
      <c r="Z2113" s="100"/>
    </row>
    <row r="2114" spans="24:26">
      <c r="X2114" s="2"/>
      <c r="Y2114" s="101"/>
      <c r="Z2114" s="100"/>
    </row>
    <row r="2115" spans="24:26">
      <c r="X2115" s="2"/>
      <c r="Y2115" s="101"/>
      <c r="Z2115" s="100"/>
    </row>
    <row r="2116" spans="24:26">
      <c r="X2116" s="2"/>
      <c r="Y2116" s="101"/>
      <c r="Z2116" s="100"/>
    </row>
    <row r="2117" spans="24:26">
      <c r="X2117" s="2"/>
      <c r="Y2117" s="101"/>
      <c r="Z2117" s="100"/>
    </row>
    <row r="2118" spans="24:26">
      <c r="X2118" s="2"/>
      <c r="Y2118" s="101"/>
      <c r="Z2118" s="100"/>
    </row>
    <row r="2119" spans="24:26">
      <c r="X2119" s="2"/>
      <c r="Y2119" s="101"/>
      <c r="Z2119" s="100"/>
    </row>
    <row r="2120" spans="24:26">
      <c r="X2120" s="2"/>
      <c r="Y2120" s="101"/>
      <c r="Z2120" s="100"/>
    </row>
    <row r="2121" spans="24:26">
      <c r="X2121" s="2"/>
      <c r="Y2121" s="101"/>
      <c r="Z2121" s="100"/>
    </row>
    <row r="2122" spans="24:26">
      <c r="X2122" s="2"/>
      <c r="Y2122" s="101"/>
      <c r="Z2122" s="100"/>
    </row>
    <row r="2123" spans="24:26">
      <c r="X2123" s="2"/>
      <c r="Y2123" s="101"/>
      <c r="Z2123" s="100"/>
    </row>
    <row r="2124" spans="24:26">
      <c r="X2124" s="2"/>
      <c r="Y2124" s="101"/>
      <c r="Z2124" s="100"/>
    </row>
    <row r="2125" spans="24:26">
      <c r="X2125" s="2"/>
      <c r="Y2125" s="101"/>
      <c r="Z2125" s="100"/>
    </row>
    <row r="2126" spans="24:26">
      <c r="X2126" s="2"/>
      <c r="Y2126" s="101"/>
      <c r="Z2126" s="100"/>
    </row>
    <row r="2127" spans="24:26">
      <c r="X2127" s="2"/>
      <c r="Y2127" s="101"/>
      <c r="Z2127" s="100"/>
    </row>
    <row r="2128" spans="24:26">
      <c r="X2128" s="2"/>
      <c r="Y2128" s="101"/>
      <c r="Z2128" s="100"/>
    </row>
    <row r="2129" spans="24:26">
      <c r="X2129" s="2"/>
      <c r="Y2129" s="101"/>
      <c r="Z2129" s="100"/>
    </row>
    <row r="2130" spans="24:26">
      <c r="X2130" s="2"/>
      <c r="Y2130" s="101"/>
      <c r="Z2130" s="100"/>
    </row>
    <row r="2131" spans="24:26">
      <c r="X2131" s="2"/>
      <c r="Y2131" s="101"/>
      <c r="Z2131" s="100"/>
    </row>
    <row r="2132" spans="24:26">
      <c r="X2132" s="2"/>
      <c r="Y2132" s="101"/>
      <c r="Z2132" s="100"/>
    </row>
    <row r="2133" spans="24:26">
      <c r="X2133" s="2"/>
      <c r="Y2133" s="101"/>
      <c r="Z2133" s="100"/>
    </row>
    <row r="2134" spans="24:26">
      <c r="X2134" s="2"/>
      <c r="Y2134" s="101"/>
      <c r="Z2134" s="100"/>
    </row>
    <row r="2135" spans="24:26">
      <c r="X2135" s="2"/>
      <c r="Y2135" s="101"/>
      <c r="Z2135" s="100"/>
    </row>
    <row r="2136" spans="24:26">
      <c r="X2136" s="2"/>
      <c r="Y2136" s="101"/>
      <c r="Z2136" s="100"/>
    </row>
    <row r="2137" spans="24:26">
      <c r="X2137" s="2"/>
      <c r="Y2137" s="101"/>
      <c r="Z2137" s="100"/>
    </row>
    <row r="2138" spans="24:26">
      <c r="X2138" s="2"/>
      <c r="Y2138" s="101"/>
      <c r="Z2138" s="100"/>
    </row>
    <row r="2139" spans="24:26">
      <c r="X2139" s="2"/>
      <c r="Y2139" s="101"/>
      <c r="Z2139" s="100"/>
    </row>
    <row r="2140" spans="24:26">
      <c r="X2140" s="2"/>
      <c r="Y2140" s="101"/>
      <c r="Z2140" s="100"/>
    </row>
    <row r="2141" spans="24:26">
      <c r="X2141" s="2"/>
      <c r="Y2141" s="101"/>
      <c r="Z2141" s="100"/>
    </row>
    <row r="2142" spans="24:26">
      <c r="X2142" s="2"/>
      <c r="Y2142" s="101"/>
      <c r="Z2142" s="100"/>
    </row>
    <row r="2143" spans="24:26">
      <c r="X2143" s="2"/>
      <c r="Y2143" s="101"/>
      <c r="Z2143" s="100"/>
    </row>
    <row r="2144" spans="24:26">
      <c r="X2144" s="2"/>
      <c r="Y2144" s="101"/>
      <c r="Z2144" s="100"/>
    </row>
    <row r="2145" spans="24:26">
      <c r="X2145" s="2"/>
      <c r="Y2145" s="101"/>
      <c r="Z2145" s="100"/>
    </row>
    <row r="2146" spans="24:26">
      <c r="X2146" s="2"/>
      <c r="Y2146" s="101"/>
      <c r="Z2146" s="100"/>
    </row>
    <row r="2147" spans="24:26">
      <c r="X2147" s="2"/>
      <c r="Y2147" s="101"/>
      <c r="Z2147" s="100"/>
    </row>
    <row r="2148" spans="24:26">
      <c r="X2148" s="2"/>
      <c r="Y2148" s="101"/>
      <c r="Z2148" s="100"/>
    </row>
    <row r="2149" spans="24:26">
      <c r="X2149" s="2"/>
      <c r="Y2149" s="101"/>
      <c r="Z2149" s="100"/>
    </row>
    <row r="2150" spans="24:26">
      <c r="X2150" s="2"/>
      <c r="Y2150" s="101"/>
      <c r="Z2150" s="100"/>
    </row>
    <row r="2151" spans="24:26">
      <c r="X2151" s="2"/>
      <c r="Y2151" s="101"/>
      <c r="Z2151" s="100"/>
    </row>
    <row r="2152" spans="24:26">
      <c r="X2152" s="2"/>
      <c r="Y2152" s="101"/>
      <c r="Z2152" s="100"/>
    </row>
    <row r="2153" spans="24:26">
      <c r="X2153" s="2"/>
      <c r="Y2153" s="101"/>
      <c r="Z2153" s="100"/>
    </row>
    <row r="2154" spans="24:26">
      <c r="X2154" s="2"/>
      <c r="Y2154" s="101"/>
      <c r="Z2154" s="100"/>
    </row>
    <row r="2155" spans="24:26">
      <c r="X2155" s="2"/>
      <c r="Y2155" s="101"/>
      <c r="Z2155" s="100"/>
    </row>
    <row r="2156" spans="24:26">
      <c r="X2156" s="2"/>
      <c r="Y2156" s="101"/>
      <c r="Z2156" s="100"/>
    </row>
    <row r="2157" spans="24:26">
      <c r="X2157" s="2"/>
      <c r="Y2157" s="101"/>
      <c r="Z2157" s="100"/>
    </row>
    <row r="2158" spans="24:26">
      <c r="X2158" s="2"/>
      <c r="Y2158" s="101"/>
      <c r="Z2158" s="100"/>
    </row>
    <row r="2159" spans="24:26">
      <c r="X2159" s="2"/>
      <c r="Y2159" s="101"/>
      <c r="Z2159" s="100"/>
    </row>
    <row r="2160" spans="24:26">
      <c r="X2160" s="2"/>
      <c r="Y2160" s="101"/>
      <c r="Z2160" s="100"/>
    </row>
    <row r="2161" spans="24:26">
      <c r="X2161" s="2"/>
      <c r="Y2161" s="101"/>
      <c r="Z2161" s="100"/>
    </row>
    <row r="2162" spans="24:26">
      <c r="X2162" s="2"/>
      <c r="Y2162" s="101"/>
      <c r="Z2162" s="100"/>
    </row>
    <row r="2163" spans="24:26">
      <c r="X2163" s="2"/>
      <c r="Y2163" s="101"/>
      <c r="Z2163" s="100"/>
    </row>
    <row r="2164" spans="24:26">
      <c r="X2164" s="2"/>
      <c r="Y2164" s="101"/>
      <c r="Z2164" s="100"/>
    </row>
    <row r="2165" spans="24:26">
      <c r="X2165" s="2"/>
      <c r="Y2165" s="101"/>
      <c r="Z2165" s="100"/>
    </row>
    <row r="2166" spans="24:26">
      <c r="X2166" s="2"/>
      <c r="Y2166" s="101"/>
      <c r="Z2166" s="100"/>
    </row>
    <row r="2167" spans="24:26">
      <c r="X2167" s="2"/>
      <c r="Y2167" s="101"/>
      <c r="Z2167" s="100"/>
    </row>
    <row r="2168" spans="24:26">
      <c r="X2168" s="2"/>
      <c r="Y2168" s="101"/>
      <c r="Z2168" s="100"/>
    </row>
    <row r="2169" spans="24:26">
      <c r="X2169" s="2"/>
      <c r="Y2169" s="101"/>
      <c r="Z2169" s="100"/>
    </row>
    <row r="2170" spans="24:26">
      <c r="X2170" s="2"/>
      <c r="Y2170" s="101"/>
      <c r="Z2170" s="100"/>
    </row>
    <row r="2171" spans="24:26">
      <c r="X2171" s="2"/>
      <c r="Y2171" s="101"/>
      <c r="Z2171" s="100"/>
    </row>
    <row r="2172" spans="24:26">
      <c r="X2172" s="2"/>
      <c r="Y2172" s="101"/>
      <c r="Z2172" s="100"/>
    </row>
    <row r="2173" spans="24:26">
      <c r="X2173" s="2"/>
      <c r="Y2173" s="101"/>
      <c r="Z2173" s="100"/>
    </row>
    <row r="2174" spans="24:26">
      <c r="X2174" s="2"/>
      <c r="Y2174" s="101"/>
      <c r="Z2174" s="100"/>
    </row>
    <row r="2175" spans="24:26">
      <c r="X2175" s="2"/>
      <c r="Y2175" s="101"/>
      <c r="Z2175" s="100"/>
    </row>
    <row r="2176" spans="24:26">
      <c r="X2176" s="2"/>
      <c r="Y2176" s="101"/>
      <c r="Z2176" s="100"/>
    </row>
    <row r="2177" spans="24:26">
      <c r="X2177" s="2"/>
      <c r="Y2177" s="101"/>
      <c r="Z2177" s="100"/>
    </row>
    <row r="2178" spans="24:26">
      <c r="X2178" s="2"/>
      <c r="Y2178" s="101"/>
      <c r="Z2178" s="100"/>
    </row>
    <row r="2179" spans="24:26">
      <c r="X2179" s="2"/>
      <c r="Y2179" s="101"/>
      <c r="Z2179" s="100"/>
    </row>
    <row r="2180" spans="24:26">
      <c r="X2180" s="2"/>
      <c r="Y2180" s="101"/>
      <c r="Z2180" s="100"/>
    </row>
    <row r="2181" spans="24:26">
      <c r="X2181" s="2"/>
      <c r="Y2181" s="101"/>
      <c r="Z2181" s="100"/>
    </row>
    <row r="2182" spans="24:26">
      <c r="X2182" s="2"/>
      <c r="Y2182" s="101"/>
      <c r="Z2182" s="100"/>
    </row>
    <row r="2183" spans="24:26">
      <c r="X2183" s="2"/>
      <c r="Y2183" s="101"/>
      <c r="Z2183" s="100"/>
    </row>
    <row r="2184" spans="24:26">
      <c r="X2184" s="2"/>
      <c r="Y2184" s="101"/>
      <c r="Z2184" s="100"/>
    </row>
    <row r="2185" spans="24:26">
      <c r="X2185" s="2"/>
      <c r="Y2185" s="101"/>
      <c r="Z2185" s="100"/>
    </row>
    <row r="2186" spans="24:26">
      <c r="X2186" s="2"/>
      <c r="Y2186" s="101"/>
      <c r="Z2186" s="100"/>
    </row>
    <row r="2187" spans="24:26">
      <c r="X2187" s="2"/>
      <c r="Y2187" s="101"/>
      <c r="Z2187" s="100"/>
    </row>
    <row r="2188" spans="24:26">
      <c r="X2188" s="2"/>
      <c r="Y2188" s="101"/>
      <c r="Z2188" s="100"/>
    </row>
    <row r="2189" spans="24:26">
      <c r="X2189" s="2"/>
      <c r="Y2189" s="101"/>
      <c r="Z2189" s="100"/>
    </row>
    <row r="2190" spans="24:26">
      <c r="X2190" s="2"/>
      <c r="Y2190" s="101"/>
      <c r="Z2190" s="100"/>
    </row>
    <row r="2191" spans="24:26">
      <c r="X2191" s="2"/>
      <c r="Y2191" s="101"/>
      <c r="Z2191" s="100"/>
    </row>
    <row r="2192" spans="24:26">
      <c r="X2192" s="2"/>
      <c r="Y2192" s="101"/>
      <c r="Z2192" s="100"/>
    </row>
    <row r="2193" spans="24:26">
      <c r="X2193" s="2"/>
      <c r="Y2193" s="101"/>
      <c r="Z2193" s="100"/>
    </row>
    <row r="2194" spans="24:26">
      <c r="X2194" s="2"/>
      <c r="Y2194" s="101"/>
      <c r="Z2194" s="100"/>
    </row>
    <row r="2195" spans="24:26">
      <c r="X2195" s="2"/>
      <c r="Y2195" s="101"/>
      <c r="Z2195" s="100"/>
    </row>
    <row r="2196" spans="24:26">
      <c r="X2196" s="2"/>
      <c r="Y2196" s="101"/>
      <c r="Z2196" s="100"/>
    </row>
    <row r="2197" spans="24:26">
      <c r="X2197" s="2"/>
      <c r="Y2197" s="101"/>
      <c r="Z2197" s="100"/>
    </row>
    <row r="2198" spans="24:26">
      <c r="X2198" s="2"/>
      <c r="Y2198" s="101"/>
      <c r="Z2198" s="100"/>
    </row>
    <row r="2199" spans="24:26">
      <c r="X2199" s="2"/>
      <c r="Y2199" s="101"/>
      <c r="Z2199" s="100"/>
    </row>
    <row r="2200" spans="24:26">
      <c r="X2200" s="2"/>
      <c r="Y2200" s="101"/>
      <c r="Z2200" s="100"/>
    </row>
    <row r="2201" spans="24:26">
      <c r="X2201" s="2"/>
      <c r="Y2201" s="101"/>
      <c r="Z2201" s="100"/>
    </row>
    <row r="2202" spans="24:26">
      <c r="X2202" s="2"/>
      <c r="Y2202" s="101"/>
      <c r="Z2202" s="100"/>
    </row>
    <row r="2203" spans="24:26">
      <c r="X2203" s="2"/>
      <c r="Y2203" s="101"/>
      <c r="Z2203" s="100"/>
    </row>
    <row r="2204" spans="24:26">
      <c r="X2204" s="2"/>
      <c r="Y2204" s="101"/>
      <c r="Z2204" s="100"/>
    </row>
    <row r="2205" spans="24:26">
      <c r="X2205" s="2"/>
      <c r="Y2205" s="101"/>
      <c r="Z2205" s="100"/>
    </row>
    <row r="2206" spans="24:26">
      <c r="X2206" s="2"/>
      <c r="Y2206" s="101"/>
      <c r="Z2206" s="100"/>
    </row>
    <row r="2207" spans="24:26">
      <c r="X2207" s="2"/>
      <c r="Y2207" s="101"/>
      <c r="Z2207" s="100"/>
    </row>
    <row r="2208" spans="24:26">
      <c r="X2208" s="2"/>
      <c r="Y2208" s="101"/>
      <c r="Z2208" s="100"/>
    </row>
    <row r="2209" spans="24:26">
      <c r="X2209" s="2"/>
      <c r="Y2209" s="101"/>
      <c r="Z2209" s="100"/>
    </row>
    <row r="2210" spans="24:26">
      <c r="X2210" s="2"/>
      <c r="Y2210" s="101"/>
      <c r="Z2210" s="100"/>
    </row>
    <row r="2211" spans="24:26">
      <c r="X2211" s="2"/>
      <c r="Y2211" s="101"/>
      <c r="Z2211" s="100"/>
    </row>
    <row r="2212" spans="24:26">
      <c r="X2212" s="2"/>
      <c r="Y2212" s="101"/>
      <c r="Z2212" s="100"/>
    </row>
    <row r="2213" spans="24:26">
      <c r="X2213" s="2"/>
      <c r="Y2213" s="101"/>
      <c r="Z2213" s="100"/>
    </row>
    <row r="2214" spans="24:26">
      <c r="X2214" s="2"/>
      <c r="Y2214" s="101"/>
      <c r="Z2214" s="100"/>
    </row>
    <row r="2215" spans="24:26">
      <c r="X2215" s="2"/>
      <c r="Y2215" s="101"/>
      <c r="Z2215" s="100"/>
    </row>
    <row r="2216" spans="24:26">
      <c r="X2216" s="2"/>
      <c r="Y2216" s="101"/>
      <c r="Z2216" s="100"/>
    </row>
    <row r="2217" spans="24:26">
      <c r="X2217" s="2"/>
      <c r="Y2217" s="101"/>
      <c r="Z2217" s="100"/>
    </row>
    <row r="2218" spans="24:26">
      <c r="X2218" s="2"/>
      <c r="Y2218" s="101"/>
      <c r="Z2218" s="100"/>
    </row>
    <row r="2219" spans="24:26">
      <c r="X2219" s="2"/>
      <c r="Y2219" s="101"/>
      <c r="Z2219" s="100"/>
    </row>
    <row r="2220" spans="24:26">
      <c r="X2220" s="2"/>
      <c r="Y2220" s="101"/>
      <c r="Z2220" s="100"/>
    </row>
    <row r="2221" spans="24:26">
      <c r="X2221" s="2"/>
      <c r="Y2221" s="101"/>
      <c r="Z2221" s="100"/>
    </row>
    <row r="2222" spans="24:26">
      <c r="X2222" s="2"/>
      <c r="Y2222" s="101"/>
      <c r="Z2222" s="100"/>
    </row>
    <row r="2223" spans="24:26">
      <c r="X2223" s="2"/>
      <c r="Y2223" s="101"/>
      <c r="Z2223" s="100"/>
    </row>
    <row r="2224" spans="24:26">
      <c r="X2224" s="2"/>
      <c r="Y2224" s="101"/>
      <c r="Z2224" s="100"/>
    </row>
    <row r="2225" spans="24:26">
      <c r="X2225" s="2"/>
      <c r="Y2225" s="101"/>
      <c r="Z2225" s="100"/>
    </row>
    <row r="2226" spans="24:26">
      <c r="X2226" s="2"/>
      <c r="Y2226" s="101"/>
      <c r="Z2226" s="100"/>
    </row>
    <row r="2227" spans="24:26">
      <c r="X2227" s="2"/>
      <c r="Y2227" s="101"/>
      <c r="Z2227" s="100"/>
    </row>
    <row r="2228" spans="24:26">
      <c r="X2228" s="2"/>
      <c r="Y2228" s="101"/>
      <c r="Z2228" s="100"/>
    </row>
    <row r="2229" spans="24:26">
      <c r="X2229" s="2"/>
      <c r="Y2229" s="101"/>
      <c r="Z2229" s="100"/>
    </row>
    <row r="2230" spans="24:26">
      <c r="X2230" s="2"/>
      <c r="Y2230" s="101"/>
      <c r="Z2230" s="100"/>
    </row>
    <row r="2231" spans="24:26">
      <c r="X2231" s="2"/>
      <c r="Y2231" s="101"/>
      <c r="Z2231" s="100"/>
    </row>
    <row r="2232" spans="24:26">
      <c r="X2232" s="2"/>
      <c r="Y2232" s="101"/>
      <c r="Z2232" s="100"/>
    </row>
    <row r="2233" spans="24:26">
      <c r="X2233" s="2"/>
      <c r="Y2233" s="101"/>
      <c r="Z2233" s="100"/>
    </row>
    <row r="2234" spans="24:26">
      <c r="X2234" s="2"/>
      <c r="Y2234" s="101"/>
      <c r="Z2234" s="100"/>
    </row>
    <row r="2235" spans="24:26">
      <c r="X2235" s="2"/>
      <c r="Y2235" s="101"/>
      <c r="Z2235" s="100"/>
    </row>
    <row r="2236" spans="24:26">
      <c r="X2236" s="2"/>
      <c r="Y2236" s="101"/>
      <c r="Z2236" s="100"/>
    </row>
    <row r="2237" spans="24:26">
      <c r="X2237" s="2"/>
      <c r="Y2237" s="101"/>
      <c r="Z2237" s="100"/>
    </row>
    <row r="2238" spans="24:26">
      <c r="X2238" s="2"/>
      <c r="Y2238" s="101"/>
      <c r="Z2238" s="100"/>
    </row>
    <row r="2239" spans="24:26">
      <c r="X2239" s="2"/>
      <c r="Y2239" s="101"/>
      <c r="Z2239" s="100"/>
    </row>
    <row r="2240" spans="24:26">
      <c r="X2240" s="2"/>
      <c r="Y2240" s="101"/>
      <c r="Z2240" s="100"/>
    </row>
    <row r="2241" spans="24:26">
      <c r="X2241" s="2"/>
      <c r="Y2241" s="101"/>
      <c r="Z2241" s="100"/>
    </row>
    <row r="2242" spans="24:26">
      <c r="X2242" s="2"/>
      <c r="Y2242" s="101"/>
      <c r="Z2242" s="100"/>
    </row>
    <row r="2243" spans="24:26">
      <c r="X2243" s="2"/>
      <c r="Y2243" s="101"/>
      <c r="Z2243" s="100"/>
    </row>
    <row r="2244" spans="24:26">
      <c r="X2244" s="2"/>
      <c r="Y2244" s="101"/>
      <c r="Z2244" s="100"/>
    </row>
    <row r="2245" spans="24:26">
      <c r="X2245" s="2"/>
      <c r="Y2245" s="101"/>
      <c r="Z2245" s="100"/>
    </row>
    <row r="2246" spans="24:26">
      <c r="X2246" s="2"/>
      <c r="Y2246" s="101"/>
      <c r="Z2246" s="100"/>
    </row>
    <row r="2247" spans="24:26">
      <c r="X2247" s="2"/>
      <c r="Y2247" s="101"/>
      <c r="Z2247" s="100"/>
    </row>
    <row r="2248" spans="24:26">
      <c r="X2248" s="2"/>
      <c r="Y2248" s="101"/>
      <c r="Z2248" s="100"/>
    </row>
    <row r="2249" spans="24:26">
      <c r="X2249" s="2"/>
      <c r="Y2249" s="101"/>
      <c r="Z2249" s="100"/>
    </row>
    <row r="2250" spans="24:26">
      <c r="X2250" s="2"/>
      <c r="Y2250" s="101"/>
      <c r="Z2250" s="100"/>
    </row>
    <row r="2251" spans="24:26">
      <c r="X2251" s="2"/>
      <c r="Y2251" s="101"/>
      <c r="Z2251" s="100"/>
    </row>
    <row r="2252" spans="24:26">
      <c r="X2252" s="2"/>
      <c r="Y2252" s="101"/>
      <c r="Z2252" s="100"/>
    </row>
    <row r="2253" spans="24:26">
      <c r="X2253" s="2"/>
      <c r="Y2253" s="101"/>
      <c r="Z2253" s="100"/>
    </row>
    <row r="2254" spans="24:26">
      <c r="X2254" s="2"/>
      <c r="Y2254" s="101"/>
      <c r="Z2254" s="100"/>
    </row>
    <row r="2255" spans="24:26">
      <c r="X2255" s="2"/>
      <c r="Y2255" s="101"/>
      <c r="Z2255" s="100"/>
    </row>
    <row r="2256" spans="24:26">
      <c r="X2256" s="2"/>
      <c r="Y2256" s="101"/>
      <c r="Z2256" s="100"/>
    </row>
    <row r="2257" spans="24:26">
      <c r="X2257" s="2"/>
      <c r="Y2257" s="101"/>
      <c r="Z2257" s="100"/>
    </row>
    <row r="2258" spans="24:26">
      <c r="X2258" s="2"/>
      <c r="Y2258" s="101"/>
      <c r="Z2258" s="100"/>
    </row>
    <row r="2259" spans="24:26">
      <c r="X2259" s="2"/>
      <c r="Y2259" s="101"/>
      <c r="Z2259" s="100"/>
    </row>
    <row r="2260" spans="24:26">
      <c r="X2260" s="2"/>
      <c r="Y2260" s="101"/>
      <c r="Z2260" s="100"/>
    </row>
    <row r="2261" spans="24:26">
      <c r="X2261" s="2"/>
      <c r="Y2261" s="101"/>
      <c r="Z2261" s="100"/>
    </row>
    <row r="2262" spans="24:26">
      <c r="X2262" s="2"/>
      <c r="Y2262" s="101"/>
      <c r="Z2262" s="100"/>
    </row>
    <row r="2263" spans="24:26">
      <c r="X2263" s="2"/>
      <c r="Y2263" s="101"/>
      <c r="Z2263" s="100"/>
    </row>
    <row r="2264" spans="24:26">
      <c r="X2264" s="2"/>
      <c r="Y2264" s="101"/>
      <c r="Z2264" s="100"/>
    </row>
    <row r="2265" spans="24:26">
      <c r="X2265" s="2"/>
      <c r="Y2265" s="101"/>
      <c r="Z2265" s="100"/>
    </row>
    <row r="2266" spans="24:26">
      <c r="X2266" s="2"/>
      <c r="Y2266" s="101"/>
      <c r="Z2266" s="100"/>
    </row>
    <row r="2267" spans="24:26">
      <c r="X2267" s="2"/>
      <c r="Y2267" s="101"/>
      <c r="Z2267" s="100"/>
    </row>
    <row r="2268" spans="24:26">
      <c r="X2268" s="2"/>
      <c r="Y2268" s="101"/>
      <c r="Z2268" s="100"/>
    </row>
    <row r="2269" spans="24:26">
      <c r="X2269" s="2"/>
      <c r="Y2269" s="101"/>
      <c r="Z2269" s="100"/>
    </row>
    <row r="2270" spans="24:26">
      <c r="X2270" s="2"/>
      <c r="Y2270" s="101"/>
      <c r="Z2270" s="100"/>
    </row>
    <row r="2271" spans="24:26">
      <c r="X2271" s="2"/>
      <c r="Y2271" s="101"/>
      <c r="Z2271" s="100"/>
    </row>
    <row r="2272" spans="24:26">
      <c r="X2272" s="2"/>
      <c r="Y2272" s="101"/>
      <c r="Z2272" s="100"/>
    </row>
    <row r="2273" spans="24:26">
      <c r="X2273" s="2"/>
      <c r="Y2273" s="101"/>
      <c r="Z2273" s="100"/>
    </row>
    <row r="2274" spans="24:26">
      <c r="X2274" s="2"/>
      <c r="Y2274" s="101"/>
      <c r="Z2274" s="100"/>
    </row>
    <row r="2275" spans="24:26">
      <c r="X2275" s="2"/>
      <c r="Y2275" s="101"/>
      <c r="Z2275" s="100"/>
    </row>
    <row r="2276" spans="24:26">
      <c r="X2276" s="2"/>
      <c r="Y2276" s="101"/>
      <c r="Z2276" s="100"/>
    </row>
    <row r="2277" spans="24:26">
      <c r="X2277" s="2"/>
      <c r="Y2277" s="101"/>
      <c r="Z2277" s="100"/>
    </row>
    <row r="2278" spans="24:26">
      <c r="X2278" s="2"/>
      <c r="Y2278" s="101"/>
      <c r="Z2278" s="100"/>
    </row>
    <row r="2279" spans="24:26">
      <c r="X2279" s="2"/>
      <c r="Y2279" s="101"/>
      <c r="Z2279" s="100"/>
    </row>
    <row r="2280" spans="24:26">
      <c r="X2280" s="2"/>
      <c r="Y2280" s="101"/>
      <c r="Z2280" s="100"/>
    </row>
    <row r="2281" spans="24:26">
      <c r="X2281" s="2"/>
      <c r="Y2281" s="101"/>
      <c r="Z2281" s="100"/>
    </row>
    <row r="2282" spans="24:26">
      <c r="X2282" s="2"/>
      <c r="Y2282" s="101"/>
      <c r="Z2282" s="100"/>
    </row>
    <row r="2283" spans="24:26">
      <c r="X2283" s="2"/>
      <c r="Y2283" s="101"/>
      <c r="Z2283" s="100"/>
    </row>
    <row r="2284" spans="24:26">
      <c r="X2284" s="2"/>
      <c r="Y2284" s="101"/>
      <c r="Z2284" s="100"/>
    </row>
    <row r="2285" spans="24:26">
      <c r="X2285" s="2"/>
      <c r="Y2285" s="101"/>
      <c r="Z2285" s="100"/>
    </row>
    <row r="2286" spans="24:26">
      <c r="X2286" s="2"/>
      <c r="Y2286" s="101"/>
      <c r="Z2286" s="100"/>
    </row>
    <row r="2287" spans="24:26">
      <c r="X2287" s="2"/>
      <c r="Y2287" s="101"/>
      <c r="Z2287" s="100"/>
    </row>
    <row r="2288" spans="24:26">
      <c r="X2288" s="2"/>
      <c r="Y2288" s="101"/>
      <c r="Z2288" s="100"/>
    </row>
    <row r="2289" spans="24:26">
      <c r="X2289" s="2"/>
      <c r="Y2289" s="101"/>
      <c r="Z2289" s="100"/>
    </row>
    <row r="2290" spans="24:26">
      <c r="X2290" s="2"/>
      <c r="Y2290" s="101"/>
      <c r="Z2290" s="100"/>
    </row>
    <row r="2291" spans="24:26">
      <c r="X2291" s="2"/>
      <c r="Y2291" s="101"/>
      <c r="Z2291" s="100"/>
    </row>
    <row r="2292" spans="24:26">
      <c r="X2292" s="2"/>
      <c r="Y2292" s="101"/>
      <c r="Z2292" s="100"/>
    </row>
    <row r="2293" spans="24:26">
      <c r="X2293" s="2"/>
      <c r="Y2293" s="101"/>
      <c r="Z2293" s="100"/>
    </row>
    <row r="2294" spans="24:26">
      <c r="X2294" s="2"/>
      <c r="Y2294" s="101"/>
      <c r="Z2294" s="100"/>
    </row>
    <row r="2295" spans="24:26">
      <c r="X2295" s="2"/>
      <c r="Y2295" s="101"/>
      <c r="Z2295" s="100"/>
    </row>
    <row r="2296" spans="24:26">
      <c r="X2296" s="2"/>
      <c r="Y2296" s="101"/>
      <c r="Z2296" s="100"/>
    </row>
    <row r="2297" spans="24:26">
      <c r="X2297" s="2"/>
      <c r="Y2297" s="101"/>
      <c r="Z2297" s="100"/>
    </row>
    <row r="2298" spans="24:26">
      <c r="X2298" s="2"/>
      <c r="Y2298" s="101"/>
      <c r="Z2298" s="100"/>
    </row>
    <row r="2299" spans="24:26">
      <c r="X2299" s="2"/>
      <c r="Y2299" s="101"/>
      <c r="Z2299" s="100"/>
    </row>
    <row r="2300" spans="24:26">
      <c r="X2300" s="2"/>
      <c r="Y2300" s="101"/>
      <c r="Z2300" s="100"/>
    </row>
    <row r="2301" spans="24:26">
      <c r="X2301" s="2"/>
      <c r="Y2301" s="101"/>
      <c r="Z2301" s="100"/>
    </row>
    <row r="2302" spans="24:26">
      <c r="X2302" s="2"/>
      <c r="Y2302" s="101"/>
      <c r="Z2302" s="100"/>
    </row>
    <row r="2303" spans="24:26">
      <c r="X2303" s="2"/>
      <c r="Y2303" s="101"/>
      <c r="Z2303" s="100"/>
    </row>
    <row r="2304" spans="24:26">
      <c r="X2304" s="2"/>
      <c r="Y2304" s="101"/>
      <c r="Z2304" s="100"/>
    </row>
    <row r="2305" spans="24:26">
      <c r="X2305" s="2"/>
      <c r="Y2305" s="101"/>
      <c r="Z2305" s="100"/>
    </row>
    <row r="2306" spans="24:26">
      <c r="X2306" s="2"/>
      <c r="Y2306" s="101"/>
      <c r="Z2306" s="100"/>
    </row>
    <row r="2307" spans="24:26">
      <c r="X2307" s="2"/>
      <c r="Y2307" s="101"/>
      <c r="Z2307" s="100"/>
    </row>
    <row r="2308" spans="24:26">
      <c r="X2308" s="2"/>
      <c r="Y2308" s="101"/>
      <c r="Z2308" s="100"/>
    </row>
    <row r="2309" spans="24:26">
      <c r="X2309" s="2"/>
      <c r="Y2309" s="101"/>
      <c r="Z2309" s="100"/>
    </row>
    <row r="2310" spans="24:26">
      <c r="X2310" s="2"/>
      <c r="Y2310" s="101"/>
      <c r="Z2310" s="100"/>
    </row>
    <row r="2311" spans="24:26">
      <c r="X2311" s="2"/>
      <c r="Y2311" s="101"/>
      <c r="Z2311" s="100"/>
    </row>
    <row r="2312" spans="24:26">
      <c r="X2312" s="2"/>
      <c r="Y2312" s="101"/>
      <c r="Z2312" s="100"/>
    </row>
    <row r="2313" spans="24:26">
      <c r="X2313" s="2"/>
      <c r="Y2313" s="101"/>
      <c r="Z2313" s="100"/>
    </row>
    <row r="2314" spans="24:26">
      <c r="X2314" s="2"/>
      <c r="Y2314" s="101"/>
      <c r="Z2314" s="100"/>
    </row>
    <row r="2315" spans="24:26">
      <c r="X2315" s="2"/>
      <c r="Y2315" s="101"/>
      <c r="Z2315" s="100"/>
    </row>
    <row r="2316" spans="24:26">
      <c r="X2316" s="2"/>
      <c r="Y2316" s="101"/>
      <c r="Z2316" s="100"/>
    </row>
    <row r="2317" spans="24:26">
      <c r="X2317" s="2"/>
      <c r="Y2317" s="101"/>
      <c r="Z2317" s="100"/>
    </row>
    <row r="2318" spans="24:26">
      <c r="X2318" s="2"/>
      <c r="Y2318" s="101"/>
      <c r="Z2318" s="100"/>
    </row>
    <row r="2319" spans="24:26">
      <c r="X2319" s="2"/>
      <c r="Y2319" s="101"/>
      <c r="Z2319" s="100"/>
    </row>
    <row r="2320" spans="24:26">
      <c r="X2320" s="2"/>
      <c r="Y2320" s="101"/>
      <c r="Z2320" s="100"/>
    </row>
    <row r="2321" spans="24:26">
      <c r="X2321" s="2"/>
      <c r="Y2321" s="101"/>
      <c r="Z2321" s="100"/>
    </row>
    <row r="2322" spans="24:26">
      <c r="X2322" s="2"/>
      <c r="Y2322" s="101"/>
      <c r="Z2322" s="100"/>
    </row>
    <row r="2323" spans="24:26">
      <c r="X2323" s="2"/>
      <c r="Y2323" s="101"/>
      <c r="Z2323" s="100"/>
    </row>
    <row r="2324" spans="24:26">
      <c r="X2324" s="2"/>
      <c r="Y2324" s="101"/>
      <c r="Z2324" s="100"/>
    </row>
    <row r="2325" spans="24:26">
      <c r="X2325" s="2"/>
      <c r="Y2325" s="101"/>
      <c r="Z2325" s="100"/>
    </row>
    <row r="2326" spans="24:26">
      <c r="X2326" s="2"/>
      <c r="Y2326" s="101"/>
      <c r="Z2326" s="100"/>
    </row>
    <row r="2327" spans="24:26">
      <c r="X2327" s="2"/>
      <c r="Y2327" s="101"/>
      <c r="Z2327" s="100"/>
    </row>
    <row r="2328" spans="24:26">
      <c r="X2328" s="2"/>
      <c r="Y2328" s="101"/>
      <c r="Z2328" s="100"/>
    </row>
    <row r="2329" spans="24:26">
      <c r="X2329" s="2"/>
      <c r="Y2329" s="101"/>
      <c r="Z2329" s="100"/>
    </row>
    <row r="2330" spans="24:26">
      <c r="X2330" s="2"/>
      <c r="Y2330" s="101"/>
      <c r="Z2330" s="100"/>
    </row>
    <row r="2331" spans="24:26">
      <c r="X2331" s="2"/>
      <c r="Y2331" s="101"/>
      <c r="Z2331" s="100"/>
    </row>
    <row r="2332" spans="24:26">
      <c r="X2332" s="2"/>
      <c r="Y2332" s="101"/>
      <c r="Z2332" s="100"/>
    </row>
    <row r="2333" spans="24:26">
      <c r="X2333" s="2"/>
      <c r="Y2333" s="101"/>
      <c r="Z2333" s="100"/>
    </row>
    <row r="2334" spans="24:26">
      <c r="X2334" s="2"/>
      <c r="Y2334" s="101"/>
      <c r="Z2334" s="100"/>
    </row>
    <row r="2335" spans="24:26">
      <c r="X2335" s="2"/>
      <c r="Y2335" s="101"/>
      <c r="Z2335" s="100"/>
    </row>
    <row r="2336" spans="24:26">
      <c r="X2336" s="2"/>
      <c r="Y2336" s="101"/>
      <c r="Z2336" s="100"/>
    </row>
    <row r="2337" spans="24:26">
      <c r="X2337" s="2"/>
      <c r="Y2337" s="101"/>
      <c r="Z2337" s="100"/>
    </row>
    <row r="2338" spans="24:26">
      <c r="X2338" s="2"/>
      <c r="Y2338" s="101"/>
      <c r="Z2338" s="100"/>
    </row>
    <row r="2339" spans="24:26">
      <c r="X2339" s="2"/>
      <c r="Y2339" s="101"/>
      <c r="Z2339" s="100"/>
    </row>
    <row r="2340" spans="24:26">
      <c r="X2340" s="2"/>
      <c r="Y2340" s="101"/>
      <c r="Z2340" s="100"/>
    </row>
    <row r="2341" spans="24:26">
      <c r="X2341" s="2"/>
      <c r="Y2341" s="101"/>
      <c r="Z2341" s="100"/>
    </row>
    <row r="2342" spans="24:26">
      <c r="X2342" s="2"/>
      <c r="Y2342" s="101"/>
      <c r="Z2342" s="100"/>
    </row>
    <row r="2343" spans="24:26">
      <c r="X2343" s="2"/>
      <c r="Y2343" s="101"/>
      <c r="Z2343" s="100"/>
    </row>
    <row r="2344" spans="24:26">
      <c r="X2344" s="2"/>
      <c r="Y2344" s="101"/>
      <c r="Z2344" s="100"/>
    </row>
    <row r="2345" spans="24:26">
      <c r="X2345" s="2"/>
      <c r="Y2345" s="101"/>
      <c r="Z2345" s="100"/>
    </row>
    <row r="2346" spans="24:26">
      <c r="X2346" s="2"/>
      <c r="Y2346" s="101"/>
      <c r="Z2346" s="100"/>
    </row>
    <row r="2347" spans="24:26">
      <c r="X2347" s="2"/>
      <c r="Y2347" s="101"/>
      <c r="Z2347" s="100"/>
    </row>
    <row r="2348" spans="24:26">
      <c r="X2348" s="2"/>
      <c r="Y2348" s="101"/>
      <c r="Z2348" s="100"/>
    </row>
    <row r="2349" spans="24:26">
      <c r="X2349" s="2"/>
      <c r="Y2349" s="101"/>
      <c r="Z2349" s="100"/>
    </row>
    <row r="2350" spans="24:26">
      <c r="X2350" s="2"/>
      <c r="Y2350" s="101"/>
      <c r="Z2350" s="100"/>
    </row>
    <row r="2351" spans="24:26">
      <c r="X2351" s="2"/>
      <c r="Y2351" s="101"/>
      <c r="Z2351" s="100"/>
    </row>
    <row r="2352" spans="24:26">
      <c r="X2352" s="2"/>
      <c r="Y2352" s="101"/>
      <c r="Z2352" s="100"/>
    </row>
    <row r="2353" spans="24:26">
      <c r="X2353" s="2"/>
      <c r="Y2353" s="101"/>
      <c r="Z2353" s="100"/>
    </row>
    <row r="2354" spans="24:26">
      <c r="X2354" s="2"/>
      <c r="Y2354" s="101"/>
      <c r="Z2354" s="100"/>
    </row>
    <row r="2355" spans="24:26">
      <c r="X2355" s="2"/>
      <c r="Y2355" s="101"/>
      <c r="Z2355" s="100"/>
    </row>
    <row r="2356" spans="24:26">
      <c r="X2356" s="2"/>
      <c r="Y2356" s="101"/>
      <c r="Z2356" s="100"/>
    </row>
    <row r="2357" spans="24:26">
      <c r="X2357" s="2"/>
      <c r="Y2357" s="101"/>
      <c r="Z2357" s="100"/>
    </row>
    <row r="2358" spans="24:26">
      <c r="X2358" s="2"/>
      <c r="Y2358" s="101"/>
      <c r="Z2358" s="100"/>
    </row>
    <row r="2359" spans="24:26">
      <c r="X2359" s="2"/>
      <c r="Y2359" s="101"/>
      <c r="Z2359" s="100"/>
    </row>
    <row r="2360" spans="24:26">
      <c r="X2360" s="2"/>
      <c r="Y2360" s="101"/>
      <c r="Z2360" s="100"/>
    </row>
    <row r="2361" spans="24:26">
      <c r="X2361" s="2"/>
      <c r="Y2361" s="101"/>
      <c r="Z2361" s="100"/>
    </row>
    <row r="2362" spans="24:26">
      <c r="X2362" s="2"/>
      <c r="Y2362" s="101"/>
      <c r="Z2362" s="100"/>
    </row>
    <row r="2363" spans="24:26">
      <c r="X2363" s="2"/>
      <c r="Y2363" s="101"/>
      <c r="Z2363" s="100"/>
    </row>
    <row r="2364" spans="24:26">
      <c r="X2364" s="2"/>
      <c r="Y2364" s="101"/>
      <c r="Z2364" s="100"/>
    </row>
    <row r="2365" spans="24:26">
      <c r="X2365" s="2"/>
      <c r="Y2365" s="101"/>
      <c r="Z2365" s="100"/>
    </row>
    <row r="2366" spans="24:26">
      <c r="X2366" s="2"/>
      <c r="Y2366" s="101"/>
      <c r="Z2366" s="100"/>
    </row>
    <row r="2367" spans="24:26">
      <c r="X2367" s="2"/>
      <c r="Y2367" s="101"/>
      <c r="Z2367" s="100"/>
    </row>
    <row r="2368" spans="24:26">
      <c r="X2368" s="2"/>
      <c r="Y2368" s="101"/>
      <c r="Z2368" s="100"/>
    </row>
    <row r="2369" spans="24:26">
      <c r="X2369" s="2"/>
      <c r="Y2369" s="101"/>
      <c r="Z2369" s="100"/>
    </row>
    <row r="2370" spans="24:26">
      <c r="X2370" s="2"/>
      <c r="Y2370" s="101"/>
      <c r="Z2370" s="100"/>
    </row>
    <row r="2371" spans="24:26">
      <c r="X2371" s="2"/>
      <c r="Y2371" s="101"/>
      <c r="Z2371" s="100"/>
    </row>
    <row r="2372" spans="24:26">
      <c r="X2372" s="2"/>
      <c r="Y2372" s="101"/>
      <c r="Z2372" s="100"/>
    </row>
    <row r="2373" spans="24:26">
      <c r="X2373" s="2"/>
      <c r="Y2373" s="101"/>
      <c r="Z2373" s="100"/>
    </row>
    <row r="2374" spans="24:26">
      <c r="X2374" s="2"/>
      <c r="Y2374" s="101"/>
      <c r="Z2374" s="100"/>
    </row>
    <row r="2375" spans="24:26">
      <c r="X2375" s="2"/>
      <c r="Y2375" s="101"/>
      <c r="Z2375" s="100"/>
    </row>
    <row r="2376" spans="24:26">
      <c r="X2376" s="2"/>
      <c r="Y2376" s="101"/>
      <c r="Z2376" s="100"/>
    </row>
    <row r="2377" spans="24:26">
      <c r="X2377" s="2"/>
      <c r="Y2377" s="101"/>
      <c r="Z2377" s="100"/>
    </row>
    <row r="2378" spans="24:26">
      <c r="X2378" s="2"/>
      <c r="Y2378" s="101"/>
      <c r="Z2378" s="100"/>
    </row>
    <row r="2379" spans="24:26">
      <c r="X2379" s="2"/>
      <c r="Y2379" s="101"/>
      <c r="Z2379" s="100"/>
    </row>
    <row r="2380" spans="24:26">
      <c r="X2380" s="2"/>
      <c r="Y2380" s="101"/>
      <c r="Z2380" s="100"/>
    </row>
    <row r="2381" spans="24:26">
      <c r="X2381" s="2"/>
      <c r="Y2381" s="101"/>
      <c r="Z2381" s="100"/>
    </row>
    <row r="2382" spans="24:26">
      <c r="X2382" s="2"/>
      <c r="Y2382" s="101"/>
      <c r="Z2382" s="100"/>
    </row>
    <row r="2383" spans="24:26">
      <c r="X2383" s="2"/>
      <c r="Y2383" s="101"/>
      <c r="Z2383" s="100"/>
    </row>
    <row r="2384" spans="24:26">
      <c r="X2384" s="2"/>
      <c r="Y2384" s="101"/>
      <c r="Z2384" s="100"/>
    </row>
    <row r="2385" spans="24:26">
      <c r="X2385" s="2"/>
      <c r="Y2385" s="101"/>
      <c r="Z2385" s="100"/>
    </row>
    <row r="2386" spans="24:26">
      <c r="X2386" s="2"/>
      <c r="Y2386" s="101"/>
      <c r="Z2386" s="100"/>
    </row>
    <row r="2387" spans="24:26">
      <c r="X2387" s="2"/>
      <c r="Y2387" s="101"/>
      <c r="Z2387" s="100"/>
    </row>
    <row r="2388" spans="24:26">
      <c r="X2388" s="2"/>
      <c r="Y2388" s="101"/>
      <c r="Z2388" s="100"/>
    </row>
    <row r="2389" spans="24:26">
      <c r="X2389" s="2"/>
      <c r="Y2389" s="101"/>
      <c r="Z2389" s="100"/>
    </row>
    <row r="2390" spans="24:26">
      <c r="X2390" s="2"/>
      <c r="Y2390" s="101"/>
      <c r="Z2390" s="100"/>
    </row>
    <row r="2391" spans="24:26">
      <c r="X2391" s="2"/>
      <c r="Y2391" s="101"/>
      <c r="Z2391" s="100"/>
    </row>
    <row r="2392" spans="24:26">
      <c r="X2392" s="2"/>
      <c r="Y2392" s="101"/>
      <c r="Z2392" s="100"/>
    </row>
    <row r="2393" spans="24:26">
      <c r="X2393" s="2"/>
      <c r="Y2393" s="101"/>
      <c r="Z2393" s="100"/>
    </row>
    <row r="2394" spans="24:26">
      <c r="X2394" s="2"/>
      <c r="Y2394" s="101"/>
      <c r="Z2394" s="100"/>
    </row>
    <row r="2395" spans="24:26">
      <c r="X2395" s="2"/>
      <c r="Y2395" s="101"/>
      <c r="Z2395" s="100"/>
    </row>
    <row r="2396" spans="24:26">
      <c r="X2396" s="2"/>
      <c r="Y2396" s="101"/>
      <c r="Z2396" s="100"/>
    </row>
    <row r="2397" spans="24:26">
      <c r="X2397" s="2"/>
      <c r="Y2397" s="101"/>
      <c r="Z2397" s="100"/>
    </row>
    <row r="2398" spans="24:26">
      <c r="X2398" s="2"/>
      <c r="Y2398" s="101"/>
      <c r="Z2398" s="100"/>
    </row>
    <row r="2399" spans="24:26">
      <c r="X2399" s="2"/>
      <c r="Y2399" s="101"/>
      <c r="Z2399" s="100"/>
    </row>
    <row r="2400" spans="24:26">
      <c r="X2400" s="2"/>
      <c r="Y2400" s="101"/>
      <c r="Z2400" s="100"/>
    </row>
    <row r="2401" spans="24:26">
      <c r="X2401" s="2"/>
      <c r="Y2401" s="101"/>
      <c r="Z2401" s="100"/>
    </row>
    <row r="2402" spans="24:26">
      <c r="X2402" s="2"/>
      <c r="Y2402" s="101"/>
      <c r="Z2402" s="100"/>
    </row>
    <row r="2403" spans="24:26">
      <c r="X2403" s="2"/>
      <c r="Y2403" s="101"/>
      <c r="Z2403" s="100"/>
    </row>
    <row r="2404" spans="24:26">
      <c r="X2404" s="2"/>
      <c r="Y2404" s="101"/>
      <c r="Z2404" s="100"/>
    </row>
    <row r="2405" spans="24:26">
      <c r="X2405" s="2"/>
      <c r="Y2405" s="101"/>
      <c r="Z2405" s="100"/>
    </row>
    <row r="2406" spans="24:26">
      <c r="X2406" s="2"/>
      <c r="Y2406" s="101"/>
      <c r="Z2406" s="100"/>
    </row>
    <row r="2407" spans="24:26">
      <c r="X2407" s="2"/>
      <c r="Y2407" s="101"/>
      <c r="Z2407" s="100"/>
    </row>
    <row r="2408" spans="24:26">
      <c r="X2408" s="2"/>
      <c r="Y2408" s="101"/>
      <c r="Z2408" s="100"/>
    </row>
    <row r="2409" spans="24:26">
      <c r="X2409" s="2"/>
      <c r="Y2409" s="101"/>
      <c r="Z2409" s="100"/>
    </row>
    <row r="2410" spans="24:26">
      <c r="X2410" s="2"/>
      <c r="Y2410" s="101"/>
      <c r="Z2410" s="100"/>
    </row>
    <row r="2411" spans="24:26">
      <c r="X2411" s="2"/>
      <c r="Y2411" s="101"/>
      <c r="Z2411" s="100"/>
    </row>
    <row r="2412" spans="24:26">
      <c r="X2412" s="2"/>
      <c r="Y2412" s="101"/>
      <c r="Z2412" s="100"/>
    </row>
    <row r="2413" spans="24:26">
      <c r="X2413" s="2"/>
      <c r="Y2413" s="101"/>
      <c r="Z2413" s="100"/>
    </row>
    <row r="2414" spans="24:26">
      <c r="X2414" s="2"/>
      <c r="Y2414" s="101"/>
      <c r="Z2414" s="100"/>
    </row>
    <row r="2415" spans="24:26">
      <c r="X2415" s="2"/>
      <c r="Y2415" s="101"/>
      <c r="Z2415" s="100"/>
    </row>
    <row r="2416" spans="24:26">
      <c r="X2416" s="2"/>
      <c r="Y2416" s="101"/>
      <c r="Z2416" s="100"/>
    </row>
    <row r="2417" spans="24:26">
      <c r="X2417" s="2"/>
      <c r="Y2417" s="101"/>
      <c r="Z2417" s="100"/>
    </row>
    <row r="2418" spans="24:26">
      <c r="X2418" s="2"/>
      <c r="Y2418" s="101"/>
      <c r="Z2418" s="100"/>
    </row>
    <row r="2419" spans="24:26">
      <c r="X2419" s="2"/>
      <c r="Y2419" s="101"/>
      <c r="Z2419" s="100"/>
    </row>
    <row r="2420" spans="24:26">
      <c r="X2420" s="2"/>
      <c r="Y2420" s="101"/>
      <c r="Z2420" s="100"/>
    </row>
    <row r="2421" spans="24:26">
      <c r="X2421" s="2"/>
      <c r="Y2421" s="101"/>
      <c r="Z2421" s="100"/>
    </row>
    <row r="2422" spans="24:26">
      <c r="X2422" s="2"/>
      <c r="Y2422" s="101"/>
      <c r="Z2422" s="100"/>
    </row>
    <row r="2423" spans="24:26">
      <c r="X2423" s="2"/>
      <c r="Y2423" s="101"/>
      <c r="Z2423" s="100"/>
    </row>
    <row r="2424" spans="24:26">
      <c r="X2424" s="2"/>
      <c r="Y2424" s="101"/>
      <c r="Z2424" s="100"/>
    </row>
    <row r="2425" spans="24:26">
      <c r="X2425" s="2"/>
      <c r="Y2425" s="101"/>
      <c r="Z2425" s="100"/>
    </row>
    <row r="2426" spans="24:26">
      <c r="X2426" s="2"/>
      <c r="Y2426" s="101"/>
      <c r="Z2426" s="100"/>
    </row>
    <row r="2427" spans="24:26">
      <c r="X2427" s="2"/>
      <c r="Y2427" s="101"/>
      <c r="Z2427" s="100"/>
    </row>
    <row r="2428" spans="24:26">
      <c r="X2428" s="2"/>
      <c r="Y2428" s="101"/>
      <c r="Z2428" s="100"/>
    </row>
    <row r="2429" spans="24:26">
      <c r="X2429" s="2"/>
      <c r="Y2429" s="101"/>
      <c r="Z2429" s="100"/>
    </row>
    <row r="2430" spans="24:26">
      <c r="X2430" s="2"/>
      <c r="Y2430" s="101"/>
      <c r="Z2430" s="100"/>
    </row>
    <row r="2431" spans="24:26">
      <c r="X2431" s="2"/>
      <c r="Y2431" s="101"/>
      <c r="Z2431" s="100"/>
    </row>
    <row r="2432" spans="24:26">
      <c r="X2432" s="2"/>
      <c r="Y2432" s="101"/>
      <c r="Z2432" s="100"/>
    </row>
    <row r="2433" spans="24:26">
      <c r="X2433" s="2"/>
      <c r="Y2433" s="101"/>
      <c r="Z2433" s="100"/>
    </row>
    <row r="2434" spans="24:26">
      <c r="X2434" s="2"/>
      <c r="Y2434" s="101"/>
      <c r="Z2434" s="100"/>
    </row>
    <row r="2435" spans="24:26">
      <c r="X2435" s="2"/>
      <c r="Y2435" s="101"/>
      <c r="Z2435" s="100"/>
    </row>
    <row r="2436" spans="24:26">
      <c r="X2436" s="2"/>
      <c r="Y2436" s="101"/>
      <c r="Z2436" s="100"/>
    </row>
    <row r="2437" spans="24:26">
      <c r="X2437" s="2"/>
      <c r="Y2437" s="101"/>
      <c r="Z2437" s="100"/>
    </row>
    <row r="2438" spans="24:26">
      <c r="X2438" s="2"/>
      <c r="Y2438" s="101"/>
      <c r="Z2438" s="100"/>
    </row>
    <row r="2439" spans="24:26">
      <c r="X2439" s="2"/>
      <c r="Y2439" s="101"/>
      <c r="Z2439" s="100"/>
    </row>
    <row r="2440" spans="24:26">
      <c r="X2440" s="2"/>
      <c r="Y2440" s="101"/>
      <c r="Z2440" s="100"/>
    </row>
    <row r="2441" spans="24:26">
      <c r="X2441" s="2"/>
      <c r="Y2441" s="101"/>
      <c r="Z2441" s="100"/>
    </row>
    <row r="2442" spans="24:26">
      <c r="X2442" s="2"/>
      <c r="Y2442" s="101"/>
      <c r="Z2442" s="100"/>
    </row>
    <row r="2443" spans="24:26">
      <c r="X2443" s="2"/>
      <c r="Y2443" s="101"/>
      <c r="Z2443" s="100"/>
    </row>
    <row r="2444" spans="24:26">
      <c r="X2444" s="2"/>
      <c r="Y2444" s="101"/>
      <c r="Z2444" s="100"/>
    </row>
    <row r="2445" spans="24:26">
      <c r="X2445" s="2"/>
      <c r="Y2445" s="101"/>
      <c r="Z2445" s="100"/>
    </row>
    <row r="2446" spans="24:26">
      <c r="X2446" s="2"/>
      <c r="Y2446" s="101"/>
      <c r="Z2446" s="100"/>
    </row>
    <row r="2447" spans="24:26">
      <c r="X2447" s="2"/>
      <c r="Y2447" s="101"/>
      <c r="Z2447" s="100"/>
    </row>
    <row r="2448" spans="24:26">
      <c r="X2448" s="2"/>
      <c r="Y2448" s="101"/>
      <c r="Z2448" s="100"/>
    </row>
    <row r="2449" spans="24:26">
      <c r="X2449" s="2"/>
      <c r="Y2449" s="101"/>
      <c r="Z2449" s="100"/>
    </row>
    <row r="2450" spans="24:26">
      <c r="X2450" s="2"/>
      <c r="Y2450" s="101"/>
      <c r="Z2450" s="100"/>
    </row>
    <row r="2451" spans="24:26">
      <c r="X2451" s="2"/>
      <c r="Y2451" s="101"/>
      <c r="Z2451" s="100"/>
    </row>
    <row r="2452" spans="24:26">
      <c r="X2452" s="2"/>
      <c r="Y2452" s="101"/>
      <c r="Z2452" s="100"/>
    </row>
    <row r="2453" spans="24:26">
      <c r="X2453" s="2"/>
      <c r="Y2453" s="101"/>
      <c r="Z2453" s="100"/>
    </row>
    <row r="2454" spans="24:26">
      <c r="X2454" s="2"/>
      <c r="Y2454" s="101"/>
      <c r="Z2454" s="100"/>
    </row>
    <row r="2455" spans="24:26">
      <c r="X2455" s="2"/>
      <c r="Y2455" s="101"/>
      <c r="Z2455" s="100"/>
    </row>
    <row r="2456" spans="24:26">
      <c r="X2456" s="2"/>
      <c r="Y2456" s="101"/>
      <c r="Z2456" s="100"/>
    </row>
    <row r="2457" spans="24:26">
      <c r="X2457" s="2"/>
      <c r="Y2457" s="101"/>
      <c r="Z2457" s="100"/>
    </row>
    <row r="2458" spans="24:26">
      <c r="X2458" s="2"/>
      <c r="Y2458" s="101"/>
      <c r="Z2458" s="100"/>
    </row>
    <row r="2459" spans="24:26">
      <c r="X2459" s="2"/>
      <c r="Y2459" s="101"/>
      <c r="Z2459" s="100"/>
    </row>
    <row r="2460" spans="24:26">
      <c r="X2460" s="2"/>
      <c r="Y2460" s="101"/>
      <c r="Z2460" s="100"/>
    </row>
    <row r="2461" spans="24:26">
      <c r="X2461" s="2"/>
      <c r="Y2461" s="101"/>
      <c r="Z2461" s="100"/>
    </row>
    <row r="2462" spans="24:26">
      <c r="X2462" s="2"/>
      <c r="Y2462" s="101"/>
      <c r="Z2462" s="100"/>
    </row>
    <row r="2463" spans="24:26">
      <c r="X2463" s="2"/>
      <c r="Y2463" s="101"/>
      <c r="Z2463" s="100"/>
    </row>
    <row r="2464" spans="24:26">
      <c r="X2464" s="2"/>
      <c r="Y2464" s="101"/>
      <c r="Z2464" s="100"/>
    </row>
    <row r="2465" spans="24:26">
      <c r="X2465" s="2"/>
      <c r="Y2465" s="101"/>
      <c r="Z2465" s="100"/>
    </row>
    <row r="2466" spans="24:26">
      <c r="X2466" s="2"/>
      <c r="Y2466" s="101"/>
      <c r="Z2466" s="100"/>
    </row>
    <row r="2467" spans="24:26">
      <c r="X2467" s="2"/>
      <c r="Y2467" s="101"/>
      <c r="Z2467" s="100"/>
    </row>
    <row r="2468" spans="24:26">
      <c r="X2468" s="2"/>
      <c r="Y2468" s="101"/>
      <c r="Z2468" s="100"/>
    </row>
    <row r="2469" spans="24:26">
      <c r="X2469" s="2"/>
      <c r="Y2469" s="101"/>
      <c r="Z2469" s="100"/>
    </row>
    <row r="2470" spans="24:26">
      <c r="X2470" s="2"/>
      <c r="Y2470" s="101"/>
      <c r="Z2470" s="100"/>
    </row>
    <row r="2471" spans="24:26">
      <c r="X2471" s="2"/>
      <c r="Y2471" s="101"/>
      <c r="Z2471" s="100"/>
    </row>
    <row r="2472" spans="24:26">
      <c r="X2472" s="2"/>
      <c r="Y2472" s="101"/>
      <c r="Z2472" s="100"/>
    </row>
    <row r="2473" spans="24:26">
      <c r="X2473" s="2"/>
      <c r="Y2473" s="101"/>
      <c r="Z2473" s="100"/>
    </row>
    <row r="2474" spans="24:26">
      <c r="X2474" s="2"/>
      <c r="Y2474" s="101"/>
      <c r="Z2474" s="100"/>
    </row>
    <row r="2475" spans="24:26">
      <c r="X2475" s="2"/>
      <c r="Y2475" s="101"/>
      <c r="Z2475" s="100"/>
    </row>
    <row r="2476" spans="24:26">
      <c r="X2476" s="2"/>
      <c r="Y2476" s="101"/>
      <c r="Z2476" s="100"/>
    </row>
    <row r="2477" spans="24:26">
      <c r="X2477" s="2"/>
      <c r="Y2477" s="101"/>
      <c r="Z2477" s="100"/>
    </row>
    <row r="2478" spans="24:26">
      <c r="X2478" s="2"/>
      <c r="Y2478" s="101"/>
      <c r="Z2478" s="100"/>
    </row>
    <row r="2479" spans="24:26">
      <c r="X2479" s="2"/>
      <c r="Y2479" s="101"/>
      <c r="Z2479" s="100"/>
    </row>
    <row r="2480" spans="24:26">
      <c r="X2480" s="2"/>
      <c r="Y2480" s="101"/>
      <c r="Z2480" s="100"/>
    </row>
    <row r="2481" spans="24:26">
      <c r="X2481" s="2"/>
      <c r="Y2481" s="101"/>
      <c r="Z2481" s="100"/>
    </row>
    <row r="2482" spans="24:26">
      <c r="X2482" s="2"/>
      <c r="Y2482" s="101"/>
      <c r="Z2482" s="100"/>
    </row>
    <row r="2483" spans="24:26">
      <c r="X2483" s="2"/>
      <c r="Y2483" s="101"/>
      <c r="Z2483" s="100"/>
    </row>
    <row r="2484" spans="24:26">
      <c r="X2484" s="2"/>
      <c r="Y2484" s="101"/>
      <c r="Z2484" s="100"/>
    </row>
    <row r="2485" spans="24:26">
      <c r="X2485" s="2"/>
      <c r="Y2485" s="101"/>
      <c r="Z2485" s="100"/>
    </row>
    <row r="2486" spans="24:26">
      <c r="X2486" s="2"/>
      <c r="Y2486" s="101"/>
      <c r="Z2486" s="100"/>
    </row>
    <row r="2487" spans="24:26">
      <c r="X2487" s="2"/>
      <c r="Y2487" s="101"/>
      <c r="Z2487" s="100"/>
    </row>
    <row r="2488" spans="24:26">
      <c r="X2488" s="2"/>
      <c r="Y2488" s="101"/>
      <c r="Z2488" s="100"/>
    </row>
    <row r="2489" spans="24:26">
      <c r="X2489" s="2"/>
      <c r="Y2489" s="101"/>
      <c r="Z2489" s="100"/>
    </row>
    <row r="2490" spans="24:26">
      <c r="X2490" s="2"/>
      <c r="Y2490" s="101"/>
      <c r="Z2490" s="100"/>
    </row>
    <row r="2491" spans="24:26">
      <c r="X2491" s="2"/>
      <c r="Y2491" s="101"/>
      <c r="Z2491" s="100"/>
    </row>
    <row r="2492" spans="24:26">
      <c r="X2492" s="2"/>
      <c r="Y2492" s="101"/>
      <c r="Z2492" s="100"/>
    </row>
    <row r="2493" spans="24:26">
      <c r="X2493" s="2"/>
      <c r="Y2493" s="101"/>
      <c r="Z2493" s="100"/>
    </row>
    <row r="2494" spans="24:26">
      <c r="X2494" s="2"/>
      <c r="Y2494" s="101"/>
      <c r="Z2494" s="100"/>
    </row>
    <row r="2495" spans="24:26">
      <c r="X2495" s="2"/>
      <c r="Y2495" s="101"/>
      <c r="Z2495" s="100"/>
    </row>
    <row r="2496" spans="24:26">
      <c r="X2496" s="2"/>
      <c r="Y2496" s="101"/>
      <c r="Z2496" s="100"/>
    </row>
    <row r="2497" spans="24:26">
      <c r="X2497" s="2"/>
      <c r="Y2497" s="101"/>
      <c r="Z2497" s="100"/>
    </row>
    <row r="2498" spans="24:26">
      <c r="X2498" s="2"/>
      <c r="Y2498" s="101"/>
      <c r="Z2498" s="100"/>
    </row>
    <row r="2499" spans="24:26">
      <c r="X2499" s="2"/>
      <c r="Y2499" s="101"/>
      <c r="Z2499" s="100"/>
    </row>
    <row r="2500" spans="24:26">
      <c r="X2500" s="2"/>
      <c r="Y2500" s="101"/>
      <c r="Z2500" s="100"/>
    </row>
    <row r="2501" spans="24:26">
      <c r="X2501" s="2"/>
      <c r="Y2501" s="101"/>
      <c r="Z2501" s="100"/>
    </row>
    <row r="2502" spans="24:26">
      <c r="X2502" s="2"/>
      <c r="Y2502" s="101"/>
      <c r="Z2502" s="100"/>
    </row>
    <row r="2503" spans="24:26">
      <c r="X2503" s="2"/>
      <c r="Y2503" s="101"/>
      <c r="Z2503" s="100"/>
    </row>
    <row r="2504" spans="24:26">
      <c r="X2504" s="2"/>
      <c r="Y2504" s="101"/>
      <c r="Z2504" s="100"/>
    </row>
    <row r="2505" spans="24:26">
      <c r="X2505" s="2"/>
      <c r="Y2505" s="101"/>
      <c r="Z2505" s="100"/>
    </row>
    <row r="2506" spans="24:26">
      <c r="X2506" s="2"/>
      <c r="Y2506" s="101"/>
      <c r="Z2506" s="100"/>
    </row>
    <row r="2507" spans="24:26">
      <c r="X2507" s="2"/>
      <c r="Y2507" s="101"/>
      <c r="Z2507" s="100"/>
    </row>
    <row r="2508" spans="24:26">
      <c r="X2508" s="2"/>
      <c r="Y2508" s="101"/>
      <c r="Z2508" s="100"/>
    </row>
    <row r="2509" spans="24:26">
      <c r="X2509" s="2"/>
      <c r="Y2509" s="101"/>
      <c r="Z2509" s="100"/>
    </row>
    <row r="2510" spans="24:26">
      <c r="X2510" s="2"/>
      <c r="Y2510" s="101"/>
      <c r="Z2510" s="100"/>
    </row>
    <row r="2511" spans="24:26">
      <c r="X2511" s="2"/>
      <c r="Y2511" s="101"/>
      <c r="Z2511" s="100"/>
    </row>
    <row r="2512" spans="24:26">
      <c r="X2512" s="2"/>
      <c r="Y2512" s="101"/>
      <c r="Z2512" s="100"/>
    </row>
    <row r="2513" spans="24:26">
      <c r="X2513" s="2"/>
      <c r="Y2513" s="101"/>
      <c r="Z2513" s="100"/>
    </row>
    <row r="2514" spans="24:26">
      <c r="X2514" s="2"/>
      <c r="Y2514" s="101"/>
      <c r="Z2514" s="100"/>
    </row>
    <row r="2515" spans="24:26">
      <c r="X2515" s="2"/>
      <c r="Y2515" s="101"/>
      <c r="Z2515" s="100"/>
    </row>
    <row r="2516" spans="24:26">
      <c r="X2516" s="2"/>
      <c r="Y2516" s="101"/>
      <c r="Z2516" s="100"/>
    </row>
    <row r="2517" spans="24:26">
      <c r="X2517" s="2"/>
      <c r="Y2517" s="101"/>
      <c r="Z2517" s="100"/>
    </row>
    <row r="2518" spans="24:26">
      <c r="X2518" s="2"/>
      <c r="Y2518" s="101"/>
      <c r="Z2518" s="100"/>
    </row>
    <row r="2519" spans="24:26">
      <c r="X2519" s="2"/>
      <c r="Y2519" s="101"/>
      <c r="Z2519" s="100"/>
    </row>
    <row r="2520" spans="24:26">
      <c r="X2520" s="2"/>
      <c r="Y2520" s="101"/>
      <c r="Z2520" s="100"/>
    </row>
    <row r="2521" spans="24:26">
      <c r="X2521" s="2"/>
      <c r="Y2521" s="101"/>
      <c r="Z2521" s="100"/>
    </row>
    <row r="2522" spans="24:26">
      <c r="X2522" s="2"/>
      <c r="Y2522" s="101"/>
      <c r="Z2522" s="100"/>
    </row>
    <row r="2523" spans="24:26">
      <c r="X2523" s="2"/>
      <c r="Y2523" s="101"/>
      <c r="Z2523" s="100"/>
    </row>
    <row r="2524" spans="24:26">
      <c r="X2524" s="2"/>
      <c r="Y2524" s="101"/>
      <c r="Z2524" s="100"/>
    </row>
    <row r="2525" spans="24:26">
      <c r="X2525" s="2"/>
      <c r="Y2525" s="101"/>
      <c r="Z2525" s="100"/>
    </row>
    <row r="2526" spans="24:26">
      <c r="X2526" s="2"/>
      <c r="Y2526" s="101"/>
      <c r="Z2526" s="100"/>
    </row>
    <row r="2527" spans="24:26">
      <c r="X2527" s="2"/>
      <c r="Y2527" s="101"/>
      <c r="Z2527" s="100"/>
    </row>
    <row r="2528" spans="24:26">
      <c r="X2528" s="2"/>
      <c r="Y2528" s="101"/>
      <c r="Z2528" s="100"/>
    </row>
    <row r="2529" spans="24:26">
      <c r="X2529" s="2"/>
      <c r="Y2529" s="101"/>
      <c r="Z2529" s="100"/>
    </row>
    <row r="2530" spans="24:26">
      <c r="X2530" s="2"/>
      <c r="Y2530" s="101"/>
      <c r="Z2530" s="100"/>
    </row>
    <row r="2531" spans="24:26">
      <c r="X2531" s="2"/>
      <c r="Y2531" s="101"/>
      <c r="Z2531" s="100"/>
    </row>
    <row r="2532" spans="24:26">
      <c r="X2532" s="2"/>
      <c r="Y2532" s="101"/>
      <c r="Z2532" s="100"/>
    </row>
    <row r="2533" spans="24:26">
      <c r="X2533" s="2"/>
      <c r="Y2533" s="101"/>
      <c r="Z2533" s="100"/>
    </row>
    <row r="2534" spans="24:26">
      <c r="X2534" s="2"/>
      <c r="Y2534" s="101"/>
      <c r="Z2534" s="100"/>
    </row>
    <row r="2535" spans="24:26">
      <c r="X2535" s="2"/>
      <c r="Y2535" s="101"/>
      <c r="Z2535" s="100"/>
    </row>
    <row r="2536" spans="24:26">
      <c r="X2536" s="2"/>
      <c r="Y2536" s="101"/>
      <c r="Z2536" s="100"/>
    </row>
    <row r="2537" spans="24:26">
      <c r="X2537" s="2"/>
      <c r="Y2537" s="101"/>
      <c r="Z2537" s="100"/>
    </row>
    <row r="2538" spans="24:26">
      <c r="X2538" s="2"/>
      <c r="Y2538" s="101"/>
      <c r="Z2538" s="100"/>
    </row>
    <row r="2539" spans="24:26">
      <c r="X2539" s="2"/>
      <c r="Y2539" s="101"/>
      <c r="Z2539" s="100"/>
    </row>
    <row r="2540" spans="24:26">
      <c r="X2540" s="2"/>
      <c r="Y2540" s="101"/>
      <c r="Z2540" s="100"/>
    </row>
    <row r="2541" spans="24:26">
      <c r="X2541" s="2"/>
      <c r="Y2541" s="101"/>
      <c r="Z2541" s="100"/>
    </row>
    <row r="2542" spans="24:26">
      <c r="X2542" s="2"/>
      <c r="Y2542" s="101"/>
      <c r="Z2542" s="100"/>
    </row>
    <row r="2543" spans="24:26">
      <c r="X2543" s="2"/>
      <c r="Y2543" s="101"/>
      <c r="Z2543" s="100"/>
    </row>
    <row r="2544" spans="24:26">
      <c r="X2544" s="2"/>
      <c r="Y2544" s="101"/>
      <c r="Z2544" s="100"/>
    </row>
    <row r="2545" spans="24:26">
      <c r="X2545" s="2"/>
      <c r="Y2545" s="101"/>
      <c r="Z2545" s="100"/>
    </row>
    <row r="2546" spans="24:26">
      <c r="X2546" s="2"/>
      <c r="Y2546" s="101"/>
      <c r="Z2546" s="100"/>
    </row>
    <row r="2547" spans="24:26">
      <c r="X2547" s="2"/>
      <c r="Y2547" s="101"/>
      <c r="Z2547" s="100"/>
    </row>
    <row r="2548" spans="24:26">
      <c r="X2548" s="2"/>
      <c r="Y2548" s="101"/>
      <c r="Z2548" s="100"/>
    </row>
    <row r="2549" spans="24:26">
      <c r="X2549" s="2"/>
      <c r="Y2549" s="101"/>
      <c r="Z2549" s="100"/>
    </row>
    <row r="2550" spans="24:26">
      <c r="X2550" s="2"/>
      <c r="Y2550" s="101"/>
      <c r="Z2550" s="100"/>
    </row>
    <row r="2551" spans="24:26">
      <c r="X2551" s="2"/>
      <c r="Y2551" s="101"/>
      <c r="Z2551" s="100"/>
    </row>
    <row r="2552" spans="24:26">
      <c r="X2552" s="2"/>
      <c r="Y2552" s="101"/>
      <c r="Z2552" s="100"/>
    </row>
    <row r="2553" spans="24:26">
      <c r="X2553" s="2"/>
      <c r="Y2553" s="101"/>
      <c r="Z2553" s="100"/>
    </row>
    <row r="2554" spans="24:26">
      <c r="X2554" s="2"/>
      <c r="Y2554" s="101"/>
      <c r="Z2554" s="100"/>
    </row>
    <row r="2555" spans="24:26">
      <c r="X2555" s="2"/>
      <c r="Y2555" s="101"/>
      <c r="Z2555" s="100"/>
    </row>
    <row r="2556" spans="24:26">
      <c r="X2556" s="2"/>
      <c r="Y2556" s="101"/>
      <c r="Z2556" s="100"/>
    </row>
    <row r="2557" spans="24:26">
      <c r="X2557" s="2"/>
      <c r="Y2557" s="101"/>
      <c r="Z2557" s="100"/>
    </row>
    <row r="2558" spans="24:26">
      <c r="X2558" s="2"/>
      <c r="Y2558" s="101"/>
      <c r="Z2558" s="100"/>
    </row>
    <row r="2559" spans="24:26">
      <c r="X2559" s="2"/>
      <c r="Y2559" s="101"/>
      <c r="Z2559" s="100"/>
    </row>
    <row r="2560" spans="24:26">
      <c r="X2560" s="2"/>
      <c r="Y2560" s="101"/>
      <c r="Z2560" s="100"/>
    </row>
    <row r="2561" spans="24:26">
      <c r="X2561" s="2"/>
      <c r="Y2561" s="101"/>
      <c r="Z2561" s="100"/>
    </row>
    <row r="2562" spans="24:26">
      <c r="X2562" s="2"/>
      <c r="Y2562" s="101"/>
      <c r="Z2562" s="100"/>
    </row>
    <row r="2563" spans="24:26">
      <c r="X2563" s="2"/>
      <c r="Y2563" s="101"/>
      <c r="Z2563" s="100"/>
    </row>
    <row r="2564" spans="24:26">
      <c r="X2564" s="2"/>
      <c r="Y2564" s="101"/>
      <c r="Z2564" s="100"/>
    </row>
    <row r="2565" spans="24:26">
      <c r="X2565" s="2"/>
      <c r="Y2565" s="101"/>
      <c r="Z2565" s="100"/>
    </row>
    <row r="2566" spans="24:26">
      <c r="X2566" s="2"/>
      <c r="Y2566" s="101"/>
      <c r="Z2566" s="100"/>
    </row>
    <row r="2567" spans="24:26">
      <c r="X2567" s="2"/>
      <c r="Y2567" s="101"/>
      <c r="Z2567" s="100"/>
    </row>
    <row r="2568" spans="24:26">
      <c r="X2568" s="2"/>
      <c r="Y2568" s="101"/>
      <c r="Z2568" s="100"/>
    </row>
    <row r="2569" spans="24:26">
      <c r="X2569" s="2"/>
      <c r="Y2569" s="101"/>
      <c r="Z2569" s="100"/>
    </row>
    <row r="2570" spans="24:26">
      <c r="X2570" s="2"/>
      <c r="Y2570" s="101"/>
      <c r="Z2570" s="100"/>
    </row>
    <row r="2571" spans="24:26">
      <c r="X2571" s="2"/>
      <c r="Y2571" s="101"/>
      <c r="Z2571" s="100"/>
    </row>
    <row r="2572" spans="24:26">
      <c r="X2572" s="2"/>
      <c r="Y2572" s="101"/>
      <c r="Z2572" s="100"/>
    </row>
    <row r="2573" spans="24:26">
      <c r="X2573" s="2"/>
      <c r="Y2573" s="101"/>
      <c r="Z2573" s="100"/>
    </row>
    <row r="2574" spans="24:26">
      <c r="X2574" s="2"/>
      <c r="Y2574" s="101"/>
      <c r="Z2574" s="100"/>
    </row>
    <row r="2575" spans="24:26">
      <c r="X2575" s="2"/>
      <c r="Y2575" s="101"/>
      <c r="Z2575" s="100"/>
    </row>
    <row r="2576" spans="24:26">
      <c r="X2576" s="2"/>
      <c r="Y2576" s="101"/>
      <c r="Z2576" s="100"/>
    </row>
    <row r="2577" spans="24:26">
      <c r="X2577" s="2"/>
      <c r="Y2577" s="101"/>
      <c r="Z2577" s="100"/>
    </row>
    <row r="2578" spans="24:26">
      <c r="X2578" s="2"/>
      <c r="Y2578" s="101"/>
      <c r="Z2578" s="100"/>
    </row>
    <row r="2579" spans="24:26">
      <c r="X2579" s="2"/>
      <c r="Y2579" s="101"/>
      <c r="Z2579" s="100"/>
    </row>
    <row r="2580" spans="24:26">
      <c r="X2580" s="2"/>
      <c r="Y2580" s="101"/>
      <c r="Z2580" s="100"/>
    </row>
    <row r="2581" spans="24:26">
      <c r="X2581" s="2"/>
      <c r="Y2581" s="101"/>
      <c r="Z2581" s="100"/>
    </row>
    <row r="2582" spans="24:26">
      <c r="X2582" s="2"/>
      <c r="Y2582" s="101"/>
      <c r="Z2582" s="100"/>
    </row>
    <row r="2583" spans="24:26">
      <c r="X2583" s="2"/>
      <c r="Y2583" s="101"/>
      <c r="Z2583" s="100"/>
    </row>
    <row r="2584" spans="24:26">
      <c r="X2584" s="2"/>
      <c r="Y2584" s="101"/>
      <c r="Z2584" s="100"/>
    </row>
    <row r="2585" spans="24:26">
      <c r="X2585" s="2"/>
      <c r="Y2585" s="101"/>
      <c r="Z2585" s="100"/>
    </row>
    <row r="2586" spans="24:26">
      <c r="X2586" s="2"/>
      <c r="Y2586" s="101"/>
      <c r="Z2586" s="100"/>
    </row>
    <row r="2587" spans="24:26">
      <c r="X2587" s="2"/>
      <c r="Y2587" s="101"/>
      <c r="Z2587" s="100"/>
    </row>
    <row r="2588" spans="24:26">
      <c r="X2588" s="2"/>
      <c r="Y2588" s="101"/>
      <c r="Z2588" s="100"/>
    </row>
    <row r="2589" spans="24:26">
      <c r="X2589" s="2"/>
      <c r="Y2589" s="101"/>
      <c r="Z2589" s="100"/>
    </row>
    <row r="2590" spans="24:26">
      <c r="X2590" s="2"/>
      <c r="Y2590" s="101"/>
      <c r="Z2590" s="100"/>
    </row>
    <row r="2591" spans="24:26">
      <c r="X2591" s="2"/>
      <c r="Y2591" s="101"/>
      <c r="Z2591" s="100"/>
    </row>
    <row r="2592" spans="24:26">
      <c r="X2592" s="2"/>
      <c r="Y2592" s="101"/>
      <c r="Z2592" s="100"/>
    </row>
    <row r="2593" spans="24:26">
      <c r="X2593" s="2"/>
      <c r="Y2593" s="101"/>
      <c r="Z2593" s="100"/>
    </row>
    <row r="2594" spans="24:26">
      <c r="X2594" s="2"/>
      <c r="Y2594" s="101"/>
      <c r="Z2594" s="100"/>
    </row>
    <row r="2595" spans="24:26">
      <c r="X2595" s="2"/>
      <c r="Y2595" s="101"/>
      <c r="Z2595" s="100"/>
    </row>
    <row r="2596" spans="24:26">
      <c r="X2596" s="2"/>
      <c r="Y2596" s="101"/>
      <c r="Z2596" s="100"/>
    </row>
    <row r="2597" spans="24:26">
      <c r="X2597" s="2"/>
      <c r="Y2597" s="101"/>
      <c r="Z2597" s="100"/>
    </row>
    <row r="2598" spans="24:26">
      <c r="X2598" s="2"/>
      <c r="Y2598" s="101"/>
      <c r="Z2598" s="100"/>
    </row>
    <row r="2599" spans="24:26">
      <c r="X2599" s="2"/>
      <c r="Y2599" s="101"/>
      <c r="Z2599" s="100"/>
    </row>
    <row r="2600" spans="24:26">
      <c r="X2600" s="2"/>
      <c r="Y2600" s="101"/>
      <c r="Z2600" s="100"/>
    </row>
    <row r="2601" spans="24:26">
      <c r="X2601" s="2"/>
      <c r="Y2601" s="101"/>
      <c r="Z2601" s="100"/>
    </row>
    <row r="2602" spans="24:26">
      <c r="X2602" s="2"/>
      <c r="Y2602" s="101"/>
      <c r="Z2602" s="100"/>
    </row>
    <row r="2603" spans="24:26">
      <c r="X2603" s="2"/>
      <c r="Y2603" s="101"/>
      <c r="Z2603" s="100"/>
    </row>
    <row r="2604" spans="24:26">
      <c r="X2604" s="2"/>
      <c r="Y2604" s="101"/>
      <c r="Z2604" s="100"/>
    </row>
    <row r="2605" spans="24:26">
      <c r="X2605" s="2"/>
      <c r="Y2605" s="101"/>
      <c r="Z2605" s="100"/>
    </row>
    <row r="2606" spans="24:26">
      <c r="X2606" s="2"/>
      <c r="Y2606" s="101"/>
      <c r="Z2606" s="100"/>
    </row>
    <row r="2607" spans="24:26">
      <c r="X2607" s="2"/>
      <c r="Y2607" s="101"/>
      <c r="Z2607" s="100"/>
    </row>
    <row r="2608" spans="24:26">
      <c r="X2608" s="2"/>
      <c r="Y2608" s="101"/>
      <c r="Z2608" s="100"/>
    </row>
    <row r="2609" spans="24:26">
      <c r="X2609" s="2"/>
      <c r="Y2609" s="101"/>
      <c r="Z2609" s="100"/>
    </row>
    <row r="2610" spans="24:26">
      <c r="X2610" s="2"/>
      <c r="Y2610" s="101"/>
      <c r="Z2610" s="100"/>
    </row>
    <row r="2611" spans="24:26">
      <c r="X2611" s="2"/>
      <c r="Y2611" s="101"/>
      <c r="Z2611" s="100"/>
    </row>
    <row r="2612" spans="24:26">
      <c r="X2612" s="2"/>
      <c r="Y2612" s="101"/>
      <c r="Z2612" s="100"/>
    </row>
    <row r="2613" spans="24:26">
      <c r="X2613" s="2"/>
      <c r="Y2613" s="101"/>
      <c r="Z2613" s="100"/>
    </row>
    <row r="2614" spans="24:26">
      <c r="X2614" s="2"/>
      <c r="Y2614" s="101"/>
      <c r="Z2614" s="100"/>
    </row>
    <row r="2615" spans="24:26">
      <c r="X2615" s="2"/>
      <c r="Y2615" s="101"/>
      <c r="Z2615" s="100"/>
    </row>
    <row r="2616" spans="24:26">
      <c r="X2616" s="2"/>
      <c r="Y2616" s="101"/>
      <c r="Z2616" s="100"/>
    </row>
    <row r="2617" spans="24:26">
      <c r="X2617" s="2"/>
      <c r="Y2617" s="101"/>
      <c r="Z2617" s="100"/>
    </row>
    <row r="2618" spans="24:26">
      <c r="X2618" s="2"/>
      <c r="Y2618" s="101"/>
      <c r="Z2618" s="100"/>
    </row>
    <row r="2619" spans="24:26">
      <c r="X2619" s="2"/>
      <c r="Y2619" s="101"/>
      <c r="Z2619" s="100"/>
    </row>
    <row r="2620" spans="24:26">
      <c r="X2620" s="2"/>
      <c r="Y2620" s="101"/>
      <c r="Z2620" s="100"/>
    </row>
    <row r="2621" spans="24:26">
      <c r="X2621" s="2"/>
      <c r="Y2621" s="101"/>
      <c r="Z2621" s="100"/>
    </row>
    <row r="2622" spans="24:26">
      <c r="X2622" s="2"/>
      <c r="Y2622" s="101"/>
      <c r="Z2622" s="100"/>
    </row>
    <row r="2623" spans="24:26">
      <c r="X2623" s="2"/>
      <c r="Y2623" s="101"/>
      <c r="Z2623" s="100"/>
    </row>
    <row r="2624" spans="24:26">
      <c r="X2624" s="2"/>
      <c r="Y2624" s="101"/>
      <c r="Z2624" s="100"/>
    </row>
    <row r="2625" spans="24:26">
      <c r="X2625" s="2"/>
      <c r="Y2625" s="101"/>
      <c r="Z2625" s="100"/>
    </row>
    <row r="2626" spans="24:26">
      <c r="X2626" s="2"/>
      <c r="Y2626" s="101"/>
      <c r="Z2626" s="100"/>
    </row>
    <row r="2627" spans="24:26">
      <c r="X2627" s="2"/>
      <c r="Y2627" s="101"/>
      <c r="Z2627" s="100"/>
    </row>
    <row r="2628" spans="24:26">
      <c r="X2628" s="2"/>
      <c r="Y2628" s="101"/>
      <c r="Z2628" s="100"/>
    </row>
    <row r="2629" spans="24:26">
      <c r="X2629" s="2"/>
      <c r="Y2629" s="101"/>
      <c r="Z2629" s="100"/>
    </row>
    <row r="2630" spans="24:26">
      <c r="X2630" s="2"/>
      <c r="Y2630" s="101"/>
      <c r="Z2630" s="100"/>
    </row>
    <row r="2631" spans="24:26">
      <c r="X2631" s="2"/>
      <c r="Y2631" s="101"/>
      <c r="Z2631" s="100"/>
    </row>
    <row r="2632" spans="24:26">
      <c r="X2632" s="2"/>
      <c r="Y2632" s="101"/>
      <c r="Z2632" s="100"/>
    </row>
    <row r="2633" spans="24:26">
      <c r="X2633" s="2"/>
      <c r="Y2633" s="101"/>
      <c r="Z2633" s="100"/>
    </row>
    <row r="2634" spans="24:26">
      <c r="X2634" s="2"/>
      <c r="Y2634" s="101"/>
      <c r="Z2634" s="100"/>
    </row>
    <row r="2635" spans="24:26">
      <c r="X2635" s="2"/>
      <c r="Y2635" s="101"/>
      <c r="Z2635" s="100"/>
    </row>
    <row r="2636" spans="24:26">
      <c r="X2636" s="2"/>
      <c r="Y2636" s="101"/>
      <c r="Z2636" s="100"/>
    </row>
    <row r="2637" spans="24:26">
      <c r="X2637" s="2"/>
      <c r="Y2637" s="101"/>
      <c r="Z2637" s="100"/>
    </row>
    <row r="2638" spans="24:26">
      <c r="X2638" s="2"/>
      <c r="Y2638" s="101"/>
      <c r="Z2638" s="100"/>
    </row>
    <row r="2639" spans="24:26">
      <c r="X2639" s="2"/>
      <c r="Y2639" s="101"/>
      <c r="Z2639" s="100"/>
    </row>
    <row r="2640" spans="24:26">
      <c r="X2640" s="2"/>
      <c r="Y2640" s="101"/>
      <c r="Z2640" s="100"/>
    </row>
    <row r="2641" spans="24:26">
      <c r="X2641" s="2"/>
      <c r="Y2641" s="101"/>
      <c r="Z2641" s="100"/>
    </row>
    <row r="2642" spans="24:26">
      <c r="X2642" s="2"/>
      <c r="Y2642" s="101"/>
      <c r="Z2642" s="100"/>
    </row>
    <row r="2643" spans="24:26">
      <c r="X2643" s="2"/>
      <c r="Y2643" s="101"/>
      <c r="Z2643" s="100"/>
    </row>
    <row r="2644" spans="24:26">
      <c r="X2644" s="2"/>
      <c r="Y2644" s="101"/>
      <c r="Z2644" s="100"/>
    </row>
    <row r="2645" spans="24:26">
      <c r="X2645" s="2"/>
      <c r="Y2645" s="101"/>
      <c r="Z2645" s="100"/>
    </row>
    <row r="2646" spans="24:26">
      <c r="X2646" s="2"/>
      <c r="Y2646" s="101"/>
      <c r="Z2646" s="100"/>
    </row>
    <row r="2647" spans="24:26">
      <c r="X2647" s="2"/>
      <c r="Y2647" s="101"/>
      <c r="Z2647" s="100"/>
    </row>
    <row r="2648" spans="24:26">
      <c r="X2648" s="2"/>
      <c r="Y2648" s="101"/>
      <c r="Z2648" s="100"/>
    </row>
    <row r="2649" spans="24:26">
      <c r="X2649" s="2"/>
      <c r="Y2649" s="101"/>
      <c r="Z2649" s="100"/>
    </row>
    <row r="2650" spans="24:26">
      <c r="X2650" s="2"/>
      <c r="Y2650" s="101"/>
      <c r="Z2650" s="100"/>
    </row>
    <row r="2651" spans="24:26">
      <c r="X2651" s="2"/>
      <c r="Y2651" s="101"/>
      <c r="Z2651" s="100"/>
    </row>
    <row r="2652" spans="24:26">
      <c r="X2652" s="2"/>
      <c r="Y2652" s="101"/>
      <c r="Z2652" s="100"/>
    </row>
    <row r="2653" spans="24:26">
      <c r="X2653" s="2"/>
      <c r="Y2653" s="101"/>
      <c r="Z2653" s="100"/>
    </row>
    <row r="2654" spans="24:26">
      <c r="X2654" s="2"/>
      <c r="Y2654" s="101"/>
      <c r="Z2654" s="100"/>
    </row>
    <row r="2655" spans="24:26">
      <c r="X2655" s="2"/>
      <c r="Y2655" s="101"/>
      <c r="Z2655" s="100"/>
    </row>
    <row r="2656" spans="24:26">
      <c r="X2656" s="2"/>
      <c r="Y2656" s="101"/>
      <c r="Z2656" s="100"/>
    </row>
    <row r="2657" spans="24:26">
      <c r="X2657" s="2"/>
      <c r="Y2657" s="101"/>
      <c r="Z2657" s="100"/>
    </row>
    <row r="2658" spans="24:26">
      <c r="X2658" s="2"/>
      <c r="Y2658" s="101"/>
      <c r="Z2658" s="100"/>
    </row>
    <row r="2659" spans="24:26">
      <c r="X2659" s="2"/>
      <c r="Y2659" s="101"/>
      <c r="Z2659" s="100"/>
    </row>
    <row r="2660" spans="24:26">
      <c r="X2660" s="2"/>
      <c r="Y2660" s="101"/>
      <c r="Z2660" s="100"/>
    </row>
    <row r="2661" spans="24:26">
      <c r="X2661" s="2"/>
      <c r="Y2661" s="101"/>
      <c r="Z2661" s="100"/>
    </row>
    <row r="2662" spans="24:26">
      <c r="X2662" s="2"/>
      <c r="Y2662" s="101"/>
      <c r="Z2662" s="100"/>
    </row>
    <row r="2663" spans="24:26">
      <c r="X2663" s="2"/>
      <c r="Y2663" s="101"/>
      <c r="Z2663" s="100"/>
    </row>
    <row r="2664" spans="24:26">
      <c r="X2664" s="2"/>
      <c r="Y2664" s="101"/>
      <c r="Z2664" s="100"/>
    </row>
    <row r="2665" spans="24:26">
      <c r="X2665" s="2"/>
      <c r="Y2665" s="101"/>
      <c r="Z2665" s="100"/>
    </row>
    <row r="2666" spans="24:26">
      <c r="X2666" s="2"/>
      <c r="Y2666" s="101"/>
      <c r="Z2666" s="100"/>
    </row>
    <row r="2667" spans="24:26">
      <c r="X2667" s="2"/>
      <c r="Y2667" s="101"/>
      <c r="Z2667" s="100"/>
    </row>
    <row r="2668" spans="24:26">
      <c r="X2668" s="2"/>
      <c r="Y2668" s="101"/>
      <c r="Z2668" s="100"/>
    </row>
    <row r="2669" spans="24:26">
      <c r="X2669" s="2"/>
      <c r="Y2669" s="101"/>
      <c r="Z2669" s="100"/>
    </row>
    <row r="2670" spans="24:26">
      <c r="X2670" s="2"/>
      <c r="Y2670" s="101"/>
      <c r="Z2670" s="100"/>
    </row>
    <row r="2671" spans="24:26">
      <c r="X2671" s="2"/>
      <c r="Y2671" s="101"/>
      <c r="Z2671" s="100"/>
    </row>
    <row r="2672" spans="24:26">
      <c r="X2672" s="2"/>
      <c r="Y2672" s="101"/>
      <c r="Z2672" s="100"/>
    </row>
    <row r="2673" spans="24:26">
      <c r="X2673" s="2"/>
      <c r="Y2673" s="101"/>
      <c r="Z2673" s="100"/>
    </row>
    <row r="2674" spans="24:26">
      <c r="X2674" s="2"/>
      <c r="Y2674" s="101"/>
      <c r="Z2674" s="100"/>
    </row>
    <row r="2675" spans="24:26">
      <c r="X2675" s="2"/>
      <c r="Y2675" s="101"/>
      <c r="Z2675" s="100"/>
    </row>
    <row r="2676" spans="24:26">
      <c r="X2676" s="2"/>
      <c r="Y2676" s="101"/>
      <c r="Z2676" s="100"/>
    </row>
    <row r="2677" spans="24:26">
      <c r="X2677" s="2"/>
      <c r="Y2677" s="101"/>
      <c r="Z2677" s="100"/>
    </row>
    <row r="2678" spans="24:26">
      <c r="X2678" s="2"/>
      <c r="Y2678" s="101"/>
      <c r="Z2678" s="100"/>
    </row>
    <row r="2679" spans="24:26">
      <c r="X2679" s="2"/>
      <c r="Y2679" s="101"/>
      <c r="Z2679" s="100"/>
    </row>
    <row r="2680" spans="24:26">
      <c r="X2680" s="2"/>
      <c r="Y2680" s="101"/>
      <c r="Z2680" s="100"/>
    </row>
    <row r="2681" spans="24:26">
      <c r="X2681" s="2"/>
      <c r="Y2681" s="101"/>
      <c r="Z2681" s="100"/>
    </row>
    <row r="2682" spans="24:26">
      <c r="X2682" s="2"/>
      <c r="Y2682" s="101"/>
      <c r="Z2682" s="100"/>
    </row>
    <row r="2683" spans="24:26">
      <c r="X2683" s="2"/>
      <c r="Y2683" s="101"/>
      <c r="Z2683" s="100"/>
    </row>
    <row r="2684" spans="24:26">
      <c r="X2684" s="2"/>
      <c r="Y2684" s="101"/>
      <c r="Z2684" s="100"/>
    </row>
    <row r="2685" spans="24:26">
      <c r="X2685" s="2"/>
      <c r="Y2685" s="101"/>
      <c r="Z2685" s="100"/>
    </row>
    <row r="2686" spans="24:26">
      <c r="X2686" s="2"/>
      <c r="Y2686" s="101"/>
      <c r="Z2686" s="100"/>
    </row>
    <row r="2687" spans="24:26">
      <c r="X2687" s="2"/>
      <c r="Y2687" s="101"/>
      <c r="Z2687" s="100"/>
    </row>
    <row r="2688" spans="24:26">
      <c r="X2688" s="2"/>
      <c r="Y2688" s="101"/>
      <c r="Z2688" s="100"/>
    </row>
    <row r="2689" spans="24:26">
      <c r="X2689" s="2"/>
      <c r="Y2689" s="101"/>
      <c r="Z2689" s="100"/>
    </row>
    <row r="2690" spans="24:26">
      <c r="X2690" s="2"/>
      <c r="Y2690" s="101"/>
      <c r="Z2690" s="100"/>
    </row>
    <row r="2691" spans="24:26">
      <c r="X2691" s="2"/>
      <c r="Y2691" s="101"/>
      <c r="Z2691" s="100"/>
    </row>
    <row r="2692" spans="24:26">
      <c r="X2692" s="2"/>
      <c r="Y2692" s="101"/>
      <c r="Z2692" s="100"/>
    </row>
    <row r="2693" spans="24:26">
      <c r="X2693" s="2"/>
      <c r="Y2693" s="101"/>
      <c r="Z2693" s="100"/>
    </row>
    <row r="2694" spans="24:26">
      <c r="X2694" s="2"/>
      <c r="Y2694" s="101"/>
      <c r="Z2694" s="100"/>
    </row>
    <row r="2695" spans="24:26">
      <c r="X2695" s="2"/>
      <c r="Y2695" s="101"/>
      <c r="Z2695" s="100"/>
    </row>
    <row r="2696" spans="24:26">
      <c r="X2696" s="2"/>
      <c r="Y2696" s="101"/>
      <c r="Z2696" s="100"/>
    </row>
    <row r="2697" spans="24:26">
      <c r="X2697" s="2"/>
      <c r="Y2697" s="101"/>
      <c r="Z2697" s="100"/>
    </row>
    <row r="2698" spans="24:26">
      <c r="X2698" s="2"/>
      <c r="Y2698" s="101"/>
      <c r="Z2698" s="100"/>
    </row>
    <row r="2699" spans="24:26">
      <c r="X2699" s="2"/>
      <c r="Y2699" s="101"/>
      <c r="Z2699" s="100"/>
    </row>
    <row r="2700" spans="24:26">
      <c r="X2700" s="2"/>
      <c r="Y2700" s="101"/>
      <c r="Z2700" s="100"/>
    </row>
    <row r="2701" spans="24:26">
      <c r="X2701" s="2"/>
      <c r="Y2701" s="101"/>
      <c r="Z2701" s="100"/>
    </row>
    <row r="2702" spans="24:26">
      <c r="X2702" s="2"/>
      <c r="Y2702" s="101"/>
      <c r="Z2702" s="100"/>
    </row>
    <row r="2703" spans="24:26">
      <c r="X2703" s="2"/>
      <c r="Y2703" s="101"/>
      <c r="Z2703" s="100"/>
    </row>
    <row r="2704" spans="24:26">
      <c r="X2704" s="2"/>
      <c r="Y2704" s="101"/>
      <c r="Z2704" s="100"/>
    </row>
    <row r="2705" spans="24:26">
      <c r="X2705" s="2"/>
      <c r="Y2705" s="101"/>
      <c r="Z2705" s="100"/>
    </row>
    <row r="2706" spans="24:26">
      <c r="X2706" s="2"/>
      <c r="Y2706" s="101"/>
      <c r="Z2706" s="100"/>
    </row>
    <row r="2707" spans="24:26">
      <c r="X2707" s="2"/>
      <c r="Y2707" s="101"/>
      <c r="Z2707" s="100"/>
    </row>
    <row r="2708" spans="24:26">
      <c r="X2708" s="2"/>
      <c r="Y2708" s="101"/>
      <c r="Z2708" s="100"/>
    </row>
    <row r="2709" spans="24:26">
      <c r="X2709" s="2"/>
      <c r="Y2709" s="101"/>
      <c r="Z2709" s="100"/>
    </row>
    <row r="2710" spans="24:26">
      <c r="X2710" s="2"/>
      <c r="Y2710" s="101"/>
      <c r="Z2710" s="100"/>
    </row>
    <row r="2711" spans="24:26">
      <c r="X2711" s="2"/>
      <c r="Y2711" s="101"/>
      <c r="Z2711" s="100"/>
    </row>
    <row r="2712" spans="24:26">
      <c r="X2712" s="2"/>
      <c r="Y2712" s="101"/>
      <c r="Z2712" s="100"/>
    </row>
    <row r="2713" spans="24:26">
      <c r="X2713" s="2"/>
      <c r="Y2713" s="101"/>
      <c r="Z2713" s="100"/>
    </row>
    <row r="2714" spans="24:26">
      <c r="X2714" s="2"/>
      <c r="Y2714" s="101"/>
      <c r="Z2714" s="100"/>
    </row>
    <row r="2715" spans="24:26">
      <c r="X2715" s="2"/>
      <c r="Y2715" s="101"/>
      <c r="Z2715" s="100"/>
    </row>
    <row r="2716" spans="24:26">
      <c r="X2716" s="2"/>
      <c r="Y2716" s="101"/>
      <c r="Z2716" s="100"/>
    </row>
    <row r="2717" spans="24:26">
      <c r="X2717" s="2"/>
      <c r="Y2717" s="101"/>
      <c r="Z2717" s="100"/>
    </row>
    <row r="2718" spans="24:26">
      <c r="X2718" s="2"/>
      <c r="Y2718" s="101"/>
      <c r="Z2718" s="100"/>
    </row>
    <row r="2719" spans="24:26">
      <c r="X2719" s="2"/>
      <c r="Y2719" s="101"/>
      <c r="Z2719" s="100"/>
    </row>
    <row r="2720" spans="24:26">
      <c r="X2720" s="2"/>
      <c r="Y2720" s="101"/>
      <c r="Z2720" s="100"/>
    </row>
    <row r="2721" spans="24:26">
      <c r="X2721" s="2"/>
      <c r="Y2721" s="101"/>
      <c r="Z2721" s="100"/>
    </row>
    <row r="2722" spans="24:26">
      <c r="X2722" s="2"/>
      <c r="Y2722" s="101"/>
      <c r="Z2722" s="100"/>
    </row>
    <row r="2723" spans="24:26">
      <c r="X2723" s="2"/>
      <c r="Y2723" s="101"/>
      <c r="Z2723" s="100"/>
    </row>
    <row r="2724" spans="24:26">
      <c r="X2724" s="2"/>
      <c r="Y2724" s="101"/>
      <c r="Z2724" s="100"/>
    </row>
    <row r="2725" spans="24:26">
      <c r="X2725" s="2"/>
      <c r="Y2725" s="101"/>
      <c r="Z2725" s="100"/>
    </row>
    <row r="2726" spans="24:26">
      <c r="X2726" s="2"/>
      <c r="Y2726" s="101"/>
      <c r="Z2726" s="100"/>
    </row>
    <row r="2727" spans="24:26">
      <c r="X2727" s="2"/>
      <c r="Y2727" s="101"/>
      <c r="Z2727" s="100"/>
    </row>
    <row r="2728" spans="24:26">
      <c r="X2728" s="2"/>
      <c r="Y2728" s="101"/>
      <c r="Z2728" s="100"/>
    </row>
    <row r="2729" spans="24:26">
      <c r="X2729" s="2"/>
      <c r="Y2729" s="101"/>
      <c r="Z2729" s="100"/>
    </row>
    <row r="2730" spans="24:26">
      <c r="X2730" s="2"/>
      <c r="Y2730" s="101"/>
      <c r="Z2730" s="100"/>
    </row>
    <row r="2731" spans="24:26">
      <c r="X2731" s="2"/>
      <c r="Y2731" s="101"/>
      <c r="Z2731" s="100"/>
    </row>
    <row r="2732" spans="24:26">
      <c r="X2732" s="2"/>
      <c r="Y2732" s="101"/>
      <c r="Z2732" s="100"/>
    </row>
    <row r="2733" spans="24:26">
      <c r="X2733" s="2"/>
      <c r="Y2733" s="101"/>
      <c r="Z2733" s="100"/>
    </row>
    <row r="2734" spans="24:26">
      <c r="X2734" s="2"/>
      <c r="Y2734" s="101"/>
      <c r="Z2734" s="100"/>
    </row>
    <row r="2735" spans="24:26">
      <c r="X2735" s="2"/>
      <c r="Y2735" s="101"/>
      <c r="Z2735" s="100"/>
    </row>
    <row r="2736" spans="24:26">
      <c r="X2736" s="2"/>
      <c r="Y2736" s="101"/>
      <c r="Z2736" s="100"/>
    </row>
    <row r="2737" spans="24:26">
      <c r="X2737" s="2"/>
      <c r="Y2737" s="101"/>
      <c r="Z2737" s="100"/>
    </row>
    <row r="2738" spans="24:26">
      <c r="X2738" s="2"/>
      <c r="Y2738" s="101"/>
      <c r="Z2738" s="100"/>
    </row>
    <row r="2739" spans="24:26">
      <c r="X2739" s="2"/>
      <c r="Y2739" s="101"/>
      <c r="Z2739" s="100"/>
    </row>
    <row r="2740" spans="24:26">
      <c r="X2740" s="2"/>
      <c r="Y2740" s="101"/>
      <c r="Z2740" s="100"/>
    </row>
    <row r="2741" spans="24:26">
      <c r="X2741" s="2"/>
      <c r="Y2741" s="101"/>
      <c r="Z2741" s="100"/>
    </row>
    <row r="2742" spans="24:26">
      <c r="X2742" s="2"/>
      <c r="Y2742" s="101"/>
      <c r="Z2742" s="100"/>
    </row>
    <row r="2743" spans="24:26">
      <c r="X2743" s="2"/>
      <c r="Y2743" s="101"/>
      <c r="Z2743" s="100"/>
    </row>
    <row r="2744" spans="24:26">
      <c r="X2744" s="2"/>
      <c r="Y2744" s="101"/>
      <c r="Z2744" s="100"/>
    </row>
    <row r="2745" spans="24:26">
      <c r="X2745" s="2"/>
      <c r="Y2745" s="101"/>
      <c r="Z2745" s="100"/>
    </row>
    <row r="2746" spans="24:26">
      <c r="X2746" s="2"/>
      <c r="Y2746" s="101"/>
      <c r="Z2746" s="100"/>
    </row>
    <row r="2747" spans="24:26">
      <c r="X2747" s="2"/>
      <c r="Y2747" s="101"/>
      <c r="Z2747" s="100"/>
    </row>
    <row r="2748" spans="24:26">
      <c r="X2748" s="2"/>
      <c r="Y2748" s="101"/>
      <c r="Z2748" s="100"/>
    </row>
    <row r="2749" spans="24:26">
      <c r="X2749" s="2"/>
      <c r="Y2749" s="101"/>
      <c r="Z2749" s="100"/>
    </row>
    <row r="2750" spans="24:26">
      <c r="X2750" s="2"/>
      <c r="Y2750" s="101"/>
      <c r="Z2750" s="100"/>
    </row>
    <row r="2751" spans="24:26">
      <c r="X2751" s="2"/>
      <c r="Y2751" s="101"/>
      <c r="Z2751" s="100"/>
    </row>
    <row r="2752" spans="24:26">
      <c r="X2752" s="2"/>
      <c r="Y2752" s="101"/>
      <c r="Z2752" s="100"/>
    </row>
    <row r="2753" spans="24:26">
      <c r="X2753" s="2"/>
      <c r="Y2753" s="101"/>
      <c r="Z2753" s="100"/>
    </row>
    <row r="2754" spans="24:26">
      <c r="X2754" s="2"/>
      <c r="Y2754" s="101"/>
      <c r="Z2754" s="100"/>
    </row>
    <row r="2755" spans="24:26">
      <c r="X2755" s="2"/>
      <c r="Y2755" s="101"/>
      <c r="Z2755" s="100"/>
    </row>
    <row r="2756" spans="24:26">
      <c r="X2756" s="2"/>
      <c r="Y2756" s="101"/>
      <c r="Z2756" s="100"/>
    </row>
    <row r="2757" spans="24:26">
      <c r="X2757" s="2"/>
      <c r="Y2757" s="101"/>
      <c r="Z2757" s="100"/>
    </row>
    <row r="2758" spans="24:26">
      <c r="X2758" s="2"/>
      <c r="Y2758" s="101"/>
      <c r="Z2758" s="100"/>
    </row>
    <row r="2759" spans="24:26">
      <c r="X2759" s="2"/>
      <c r="Y2759" s="101"/>
      <c r="Z2759" s="100"/>
    </row>
    <row r="2760" spans="24:26">
      <c r="X2760" s="2"/>
      <c r="Y2760" s="101"/>
      <c r="Z2760" s="100"/>
    </row>
    <row r="2761" spans="24:26">
      <c r="X2761" s="2"/>
      <c r="Y2761" s="101"/>
      <c r="Z2761" s="100"/>
    </row>
    <row r="2762" spans="24:26">
      <c r="X2762" s="2"/>
      <c r="Y2762" s="101"/>
      <c r="Z2762" s="100"/>
    </row>
    <row r="2763" spans="24:26">
      <c r="X2763" s="2"/>
      <c r="Y2763" s="101"/>
      <c r="Z2763" s="100"/>
    </row>
    <row r="2764" spans="24:26">
      <c r="X2764" s="2"/>
      <c r="Y2764" s="101"/>
      <c r="Z2764" s="100"/>
    </row>
    <row r="2765" spans="24:26">
      <c r="X2765" s="2"/>
      <c r="Y2765" s="101"/>
      <c r="Z2765" s="100"/>
    </row>
    <row r="2766" spans="24:26">
      <c r="X2766" s="2"/>
      <c r="Y2766" s="101"/>
      <c r="Z2766" s="100"/>
    </row>
    <row r="2767" spans="24:26">
      <c r="X2767" s="2"/>
      <c r="Y2767" s="101"/>
      <c r="Z2767" s="100"/>
    </row>
    <row r="2768" spans="24:26">
      <c r="X2768" s="2"/>
      <c r="Y2768" s="101"/>
      <c r="Z2768" s="100"/>
    </row>
    <row r="2769" spans="24:26">
      <c r="X2769" s="2"/>
      <c r="Y2769" s="101"/>
      <c r="Z2769" s="100"/>
    </row>
    <row r="2770" spans="24:26">
      <c r="X2770" s="2"/>
      <c r="Y2770" s="101"/>
      <c r="Z2770" s="100"/>
    </row>
    <row r="2771" spans="24:26">
      <c r="X2771" s="2"/>
      <c r="Y2771" s="101"/>
      <c r="Z2771" s="100"/>
    </row>
    <row r="2772" spans="24:26">
      <c r="X2772" s="2"/>
      <c r="Y2772" s="101"/>
      <c r="Z2772" s="100"/>
    </row>
    <row r="2773" spans="24:26">
      <c r="X2773" s="2"/>
      <c r="Y2773" s="101"/>
      <c r="Z2773" s="100"/>
    </row>
    <row r="2774" spans="24:26">
      <c r="X2774" s="2"/>
      <c r="Y2774" s="101"/>
      <c r="Z2774" s="100"/>
    </row>
    <row r="2775" spans="24:26">
      <c r="X2775" s="2"/>
      <c r="Y2775" s="101"/>
      <c r="Z2775" s="100"/>
    </row>
    <row r="2776" spans="24:26">
      <c r="X2776" s="2"/>
      <c r="Y2776" s="101"/>
      <c r="Z2776" s="100"/>
    </row>
    <row r="2777" spans="24:26">
      <c r="X2777" s="2"/>
      <c r="Y2777" s="101"/>
      <c r="Z2777" s="100"/>
    </row>
    <row r="2778" spans="24:26">
      <c r="X2778" s="2"/>
      <c r="Y2778" s="101"/>
      <c r="Z2778" s="100"/>
    </row>
    <row r="2779" spans="24:26">
      <c r="X2779" s="2"/>
      <c r="Y2779" s="101"/>
      <c r="Z2779" s="100"/>
    </row>
    <row r="2780" spans="24:26">
      <c r="X2780" s="2"/>
      <c r="Y2780" s="101"/>
      <c r="Z2780" s="100"/>
    </row>
    <row r="2781" spans="24:26">
      <c r="X2781" s="2"/>
      <c r="Y2781" s="101"/>
      <c r="Z2781" s="100"/>
    </row>
    <row r="2782" spans="24:26">
      <c r="X2782" s="2"/>
      <c r="Y2782" s="101"/>
      <c r="Z2782" s="100"/>
    </row>
    <row r="2783" spans="24:26">
      <c r="X2783" s="2"/>
      <c r="Y2783" s="101"/>
      <c r="Z2783" s="100"/>
    </row>
    <row r="2784" spans="24:26">
      <c r="X2784" s="2"/>
      <c r="Y2784" s="101"/>
      <c r="Z2784" s="100"/>
    </row>
    <row r="2785" spans="24:26">
      <c r="X2785" s="2"/>
      <c r="Y2785" s="101"/>
      <c r="Z2785" s="100"/>
    </row>
    <row r="2786" spans="24:26">
      <c r="X2786" s="2"/>
      <c r="Y2786" s="101"/>
      <c r="Z2786" s="100"/>
    </row>
    <row r="2787" spans="24:26">
      <c r="X2787" s="2"/>
      <c r="Y2787" s="101"/>
      <c r="Z2787" s="100"/>
    </row>
    <row r="2788" spans="24:26">
      <c r="X2788" s="2"/>
      <c r="Y2788" s="101"/>
      <c r="Z2788" s="100"/>
    </row>
    <row r="2789" spans="24:26">
      <c r="X2789" s="2"/>
      <c r="Y2789" s="101"/>
      <c r="Z2789" s="100"/>
    </row>
    <row r="2790" spans="24:26">
      <c r="X2790" s="2"/>
      <c r="Y2790" s="101"/>
      <c r="Z2790" s="100"/>
    </row>
    <row r="2791" spans="24:26">
      <c r="X2791" s="2"/>
      <c r="Y2791" s="101"/>
      <c r="Z2791" s="100"/>
    </row>
    <row r="2792" spans="24:26">
      <c r="X2792" s="2"/>
      <c r="Y2792" s="101"/>
      <c r="Z2792" s="100"/>
    </row>
    <row r="2793" spans="24:26">
      <c r="X2793" s="2"/>
      <c r="Y2793" s="101"/>
      <c r="Z2793" s="100"/>
    </row>
    <row r="2794" spans="24:26">
      <c r="X2794" s="2"/>
      <c r="Y2794" s="101"/>
      <c r="Z2794" s="100"/>
    </row>
    <row r="2795" spans="24:26">
      <c r="X2795" s="2"/>
      <c r="Y2795" s="101"/>
      <c r="Z2795" s="100"/>
    </row>
    <row r="2796" spans="24:26">
      <c r="X2796" s="2"/>
      <c r="Y2796" s="101"/>
      <c r="Z2796" s="100"/>
    </row>
    <row r="2797" spans="24:26">
      <c r="X2797" s="2"/>
      <c r="Y2797" s="101"/>
      <c r="Z2797" s="100"/>
    </row>
    <row r="2798" spans="24:26">
      <c r="X2798" s="2"/>
      <c r="Y2798" s="101"/>
      <c r="Z2798" s="100"/>
    </row>
    <row r="2799" spans="24:26">
      <c r="X2799" s="2"/>
      <c r="Y2799" s="101"/>
      <c r="Z2799" s="100"/>
    </row>
    <row r="2800" spans="24:26">
      <c r="X2800" s="2"/>
      <c r="Y2800" s="101"/>
      <c r="Z2800" s="100"/>
    </row>
    <row r="2801" spans="24:26">
      <c r="X2801" s="2"/>
      <c r="Y2801" s="101"/>
      <c r="Z2801" s="100"/>
    </row>
    <row r="2802" spans="24:26">
      <c r="X2802" s="2"/>
      <c r="Y2802" s="101"/>
      <c r="Z2802" s="100"/>
    </row>
    <row r="2803" spans="24:26">
      <c r="X2803" s="2"/>
      <c r="Y2803" s="101"/>
      <c r="Z2803" s="100"/>
    </row>
    <row r="2804" spans="24:26">
      <c r="X2804" s="2"/>
      <c r="Y2804" s="101"/>
      <c r="Z2804" s="100"/>
    </row>
    <row r="2805" spans="24:26">
      <c r="X2805" s="2"/>
      <c r="Y2805" s="101"/>
      <c r="Z2805" s="100"/>
    </row>
    <row r="2806" spans="24:26">
      <c r="X2806" s="2"/>
      <c r="Y2806" s="101"/>
      <c r="Z2806" s="100"/>
    </row>
    <row r="2807" spans="24:26">
      <c r="X2807" s="2"/>
      <c r="Y2807" s="101"/>
      <c r="Z2807" s="100"/>
    </row>
    <row r="2808" spans="24:26">
      <c r="X2808" s="2"/>
      <c r="Y2808" s="101"/>
      <c r="Z2808" s="100"/>
    </row>
    <row r="2809" spans="24:26">
      <c r="X2809" s="2"/>
      <c r="Y2809" s="101"/>
      <c r="Z2809" s="100"/>
    </row>
    <row r="2810" spans="24:26">
      <c r="X2810" s="2"/>
      <c r="Y2810" s="101"/>
      <c r="Z2810" s="100"/>
    </row>
    <row r="2811" spans="24:26">
      <c r="X2811" s="2"/>
      <c r="Y2811" s="101"/>
      <c r="Z2811" s="100"/>
    </row>
    <row r="2812" spans="24:26">
      <c r="X2812" s="2"/>
      <c r="Y2812" s="101"/>
      <c r="Z2812" s="100"/>
    </row>
    <row r="2813" spans="24:26">
      <c r="X2813" s="2"/>
      <c r="Y2813" s="101"/>
      <c r="Z2813" s="100"/>
    </row>
    <row r="2814" spans="24:26">
      <c r="X2814" s="2"/>
      <c r="Y2814" s="101"/>
      <c r="Z2814" s="100"/>
    </row>
    <row r="2815" spans="24:26">
      <c r="X2815" s="2"/>
      <c r="Y2815" s="101"/>
      <c r="Z2815" s="100"/>
    </row>
    <row r="2816" spans="24:26">
      <c r="X2816" s="2"/>
      <c r="Y2816" s="101"/>
      <c r="Z2816" s="100"/>
    </row>
    <row r="2817" spans="24:26">
      <c r="X2817" s="2"/>
      <c r="Y2817" s="101"/>
      <c r="Z2817" s="100"/>
    </row>
    <row r="2818" spans="24:26">
      <c r="X2818" s="2"/>
      <c r="Y2818" s="101"/>
      <c r="Z2818" s="100"/>
    </row>
    <row r="2819" spans="24:26">
      <c r="X2819" s="2"/>
      <c r="Y2819" s="101"/>
      <c r="Z2819" s="100"/>
    </row>
    <row r="2820" spans="24:26">
      <c r="X2820" s="2"/>
      <c r="Y2820" s="101"/>
      <c r="Z2820" s="100"/>
    </row>
    <row r="2821" spans="24:26">
      <c r="X2821" s="2"/>
      <c r="Y2821" s="101"/>
      <c r="Z2821" s="100"/>
    </row>
    <row r="2822" spans="24:26">
      <c r="X2822" s="2"/>
      <c r="Y2822" s="101"/>
      <c r="Z2822" s="100"/>
    </row>
    <row r="2823" spans="24:26">
      <c r="X2823" s="2"/>
      <c r="Y2823" s="101"/>
      <c r="Z2823" s="100"/>
    </row>
    <row r="2824" spans="24:26">
      <c r="X2824" s="2"/>
      <c r="Y2824" s="101"/>
      <c r="Z2824" s="100"/>
    </row>
    <row r="2825" spans="24:26">
      <c r="X2825" s="2"/>
      <c r="Y2825" s="101"/>
      <c r="Z2825" s="100"/>
    </row>
    <row r="2826" spans="24:26">
      <c r="X2826" s="2"/>
      <c r="Y2826" s="101"/>
      <c r="Z2826" s="100"/>
    </row>
    <row r="2827" spans="24:26">
      <c r="X2827" s="2"/>
      <c r="Y2827" s="101"/>
      <c r="Z2827" s="100"/>
    </row>
    <row r="2828" spans="24:26">
      <c r="X2828" s="2"/>
      <c r="Y2828" s="101"/>
      <c r="Z2828" s="100"/>
    </row>
    <row r="2829" spans="24:26">
      <c r="X2829" s="2"/>
      <c r="Y2829" s="101"/>
      <c r="Z2829" s="100"/>
    </row>
    <row r="2830" spans="24:26">
      <c r="X2830" s="2"/>
      <c r="Y2830" s="101"/>
      <c r="Z2830" s="100"/>
    </row>
    <row r="2831" spans="24:26">
      <c r="X2831" s="2"/>
      <c r="Y2831" s="101"/>
      <c r="Z2831" s="100"/>
    </row>
    <row r="2832" spans="24:26">
      <c r="X2832" s="2"/>
      <c r="Y2832" s="101"/>
      <c r="Z2832" s="100"/>
    </row>
    <row r="2833" spans="24:26">
      <c r="X2833" s="2"/>
      <c r="Y2833" s="101"/>
      <c r="Z2833" s="100"/>
    </row>
    <row r="2834" spans="24:26">
      <c r="X2834" s="2"/>
      <c r="Y2834" s="101"/>
      <c r="Z2834" s="100"/>
    </row>
    <row r="2835" spans="24:26">
      <c r="X2835" s="2"/>
      <c r="Y2835" s="101"/>
      <c r="Z2835" s="100"/>
    </row>
    <row r="2836" spans="24:26">
      <c r="X2836" s="2"/>
      <c r="Y2836" s="101"/>
      <c r="Z2836" s="100"/>
    </row>
    <row r="2837" spans="24:26">
      <c r="X2837" s="2"/>
      <c r="Y2837" s="101"/>
      <c r="Z2837" s="100"/>
    </row>
    <row r="2838" spans="24:26">
      <c r="X2838" s="2"/>
      <c r="Y2838" s="101"/>
      <c r="Z2838" s="100"/>
    </row>
    <row r="2839" spans="24:26">
      <c r="X2839" s="2"/>
      <c r="Y2839" s="101"/>
      <c r="Z2839" s="100"/>
    </row>
    <row r="2840" spans="24:26">
      <c r="X2840" s="2"/>
      <c r="Y2840" s="101"/>
      <c r="Z2840" s="100"/>
    </row>
    <row r="2841" spans="24:26">
      <c r="X2841" s="2"/>
      <c r="Y2841" s="101"/>
      <c r="Z2841" s="100"/>
    </row>
    <row r="2842" spans="24:26">
      <c r="X2842" s="2"/>
      <c r="Y2842" s="101"/>
      <c r="Z2842" s="100"/>
    </row>
    <row r="2843" spans="24:26">
      <c r="X2843" s="2"/>
      <c r="Y2843" s="101"/>
      <c r="Z2843" s="100"/>
    </row>
    <row r="2844" spans="24:26">
      <c r="X2844" s="2"/>
      <c r="Y2844" s="101"/>
      <c r="Z2844" s="100"/>
    </row>
    <row r="2845" spans="24:26">
      <c r="X2845" s="2"/>
      <c r="Y2845" s="101"/>
      <c r="Z2845" s="100"/>
    </row>
    <row r="2846" spans="24:26">
      <c r="X2846" s="2"/>
      <c r="Y2846" s="101"/>
      <c r="Z2846" s="100"/>
    </row>
    <row r="2847" spans="24:26">
      <c r="X2847" s="2"/>
      <c r="Y2847" s="101"/>
      <c r="Z2847" s="100"/>
    </row>
    <row r="2848" spans="24:26">
      <c r="X2848" s="2"/>
      <c r="Y2848" s="101"/>
      <c r="Z2848" s="100"/>
    </row>
    <row r="2849" spans="24:26">
      <c r="X2849" s="2"/>
      <c r="Y2849" s="101"/>
      <c r="Z2849" s="100"/>
    </row>
    <row r="2850" spans="24:26">
      <c r="X2850" s="2"/>
      <c r="Y2850" s="101"/>
      <c r="Z2850" s="100"/>
    </row>
    <row r="2851" spans="24:26">
      <c r="X2851" s="2"/>
      <c r="Y2851" s="101"/>
      <c r="Z2851" s="100"/>
    </row>
    <row r="2852" spans="24:26">
      <c r="X2852" s="2"/>
      <c r="Y2852" s="101"/>
      <c r="Z2852" s="100"/>
    </row>
    <row r="2853" spans="24:26">
      <c r="X2853" s="2"/>
      <c r="Y2853" s="101"/>
      <c r="Z2853" s="100"/>
    </row>
    <row r="2854" spans="24:26">
      <c r="X2854" s="2"/>
      <c r="Y2854" s="101"/>
      <c r="Z2854" s="100"/>
    </row>
    <row r="2855" spans="24:26">
      <c r="X2855" s="2"/>
      <c r="Y2855" s="101"/>
      <c r="Z2855" s="100"/>
    </row>
    <row r="2856" spans="24:26">
      <c r="X2856" s="2"/>
      <c r="Y2856" s="101"/>
      <c r="Z2856" s="100"/>
    </row>
    <row r="2857" spans="24:26">
      <c r="X2857" s="2"/>
      <c r="Y2857" s="101"/>
      <c r="Z2857" s="100"/>
    </row>
    <row r="2858" spans="24:26">
      <c r="X2858" s="2"/>
      <c r="Y2858" s="101"/>
      <c r="Z2858" s="100"/>
    </row>
    <row r="2859" spans="24:26">
      <c r="X2859" s="2"/>
      <c r="Y2859" s="101"/>
      <c r="Z2859" s="100"/>
    </row>
    <row r="2860" spans="24:26">
      <c r="X2860" s="2"/>
      <c r="Y2860" s="101"/>
      <c r="Z2860" s="100"/>
    </row>
    <row r="2861" spans="24:26">
      <c r="X2861" s="2"/>
      <c r="Y2861" s="101"/>
      <c r="Z2861" s="100"/>
    </row>
    <row r="2862" spans="24:26">
      <c r="X2862" s="2"/>
      <c r="Y2862" s="101"/>
      <c r="Z2862" s="100"/>
    </row>
    <row r="2863" spans="24:26">
      <c r="X2863" s="2"/>
      <c r="Y2863" s="101"/>
      <c r="Z2863" s="100"/>
    </row>
    <row r="2864" spans="24:26">
      <c r="X2864" s="2"/>
      <c r="Y2864" s="101"/>
      <c r="Z2864" s="100"/>
    </row>
    <row r="2865" spans="24:26">
      <c r="X2865" s="2"/>
      <c r="Y2865" s="101"/>
      <c r="Z2865" s="100"/>
    </row>
    <row r="2866" spans="24:26">
      <c r="X2866" s="2"/>
      <c r="Y2866" s="101"/>
      <c r="Z2866" s="100"/>
    </row>
    <row r="2867" spans="24:26">
      <c r="X2867" s="2"/>
      <c r="Y2867" s="101"/>
      <c r="Z2867" s="100"/>
    </row>
    <row r="2868" spans="24:26">
      <c r="X2868" s="2"/>
      <c r="Y2868" s="101"/>
      <c r="Z2868" s="100"/>
    </row>
    <row r="2869" spans="24:26">
      <c r="X2869" s="2"/>
      <c r="Y2869" s="101"/>
      <c r="Z2869" s="100"/>
    </row>
    <row r="2870" spans="24:26">
      <c r="X2870" s="2"/>
      <c r="Y2870" s="101"/>
      <c r="Z2870" s="100"/>
    </row>
    <row r="2871" spans="24:26">
      <c r="X2871" s="2"/>
      <c r="Y2871" s="101"/>
      <c r="Z2871" s="100"/>
    </row>
    <row r="2872" spans="24:26">
      <c r="X2872" s="2"/>
      <c r="Y2872" s="101"/>
      <c r="Z2872" s="100"/>
    </row>
    <row r="2873" spans="24:26">
      <c r="X2873" s="2"/>
      <c r="Y2873" s="101"/>
      <c r="Z2873" s="100"/>
    </row>
    <row r="2874" spans="24:26">
      <c r="X2874" s="2"/>
      <c r="Y2874" s="101"/>
      <c r="Z2874" s="100"/>
    </row>
    <row r="2875" spans="24:26">
      <c r="X2875" s="2"/>
      <c r="Y2875" s="101"/>
      <c r="Z2875" s="100"/>
    </row>
    <row r="2876" spans="24:26">
      <c r="X2876" s="2"/>
      <c r="Y2876" s="101"/>
      <c r="Z2876" s="100"/>
    </row>
    <row r="2877" spans="24:26">
      <c r="X2877" s="2"/>
      <c r="Y2877" s="101"/>
      <c r="Z2877" s="100"/>
    </row>
    <row r="2878" spans="24:26">
      <c r="X2878" s="2"/>
      <c r="Y2878" s="101"/>
      <c r="Z2878" s="100"/>
    </row>
    <row r="2879" spans="24:26">
      <c r="X2879" s="2"/>
      <c r="Y2879" s="101"/>
      <c r="Z2879" s="100"/>
    </row>
    <row r="2880" spans="24:26">
      <c r="X2880" s="2"/>
      <c r="Y2880" s="101"/>
      <c r="Z2880" s="100"/>
    </row>
    <row r="2881" spans="24:26">
      <c r="X2881" s="2"/>
      <c r="Y2881" s="101"/>
      <c r="Z2881" s="100"/>
    </row>
    <row r="2882" spans="24:26">
      <c r="X2882" s="2"/>
      <c r="Y2882" s="101"/>
      <c r="Z2882" s="100"/>
    </row>
    <row r="2883" spans="24:26">
      <c r="X2883" s="2"/>
      <c r="Y2883" s="101"/>
      <c r="Z2883" s="100"/>
    </row>
    <row r="2884" spans="24:26">
      <c r="X2884" s="2"/>
      <c r="Y2884" s="101"/>
      <c r="Z2884" s="100"/>
    </row>
    <row r="2885" spans="24:26">
      <c r="X2885" s="2"/>
      <c r="Y2885" s="101"/>
      <c r="Z2885" s="100"/>
    </row>
    <row r="2886" spans="24:26">
      <c r="X2886" s="2"/>
      <c r="Y2886" s="101"/>
      <c r="Z2886" s="100"/>
    </row>
    <row r="2887" spans="24:26">
      <c r="X2887" s="2"/>
      <c r="Y2887" s="101"/>
      <c r="Z2887" s="100"/>
    </row>
    <row r="2888" spans="24:26">
      <c r="X2888" s="2"/>
      <c r="Y2888" s="101"/>
      <c r="Z2888" s="100"/>
    </row>
    <row r="2889" spans="24:26">
      <c r="X2889" s="2"/>
      <c r="Y2889" s="101"/>
      <c r="Z2889" s="100"/>
    </row>
    <row r="2890" spans="24:26">
      <c r="X2890" s="2"/>
      <c r="Y2890" s="101"/>
      <c r="Z2890" s="100"/>
    </row>
    <row r="2891" spans="24:26">
      <c r="X2891" s="2"/>
      <c r="Y2891" s="101"/>
      <c r="Z2891" s="100"/>
    </row>
    <row r="2892" spans="24:26">
      <c r="X2892" s="2"/>
      <c r="Y2892" s="101"/>
      <c r="Z2892" s="100"/>
    </row>
    <row r="2893" spans="24:26">
      <c r="X2893" s="2"/>
      <c r="Y2893" s="101"/>
      <c r="Z2893" s="100"/>
    </row>
    <row r="2894" spans="24:26">
      <c r="X2894" s="2"/>
      <c r="Y2894" s="101"/>
      <c r="Z2894" s="100"/>
    </row>
    <row r="2895" spans="24:26">
      <c r="X2895" s="2"/>
      <c r="Y2895" s="101"/>
      <c r="Z2895" s="100"/>
    </row>
    <row r="2896" spans="24:26">
      <c r="X2896" s="2"/>
      <c r="Y2896" s="101"/>
      <c r="Z2896" s="100"/>
    </row>
    <row r="2897" spans="24:26">
      <c r="X2897" s="2"/>
      <c r="Y2897" s="101"/>
      <c r="Z2897" s="100"/>
    </row>
    <row r="2898" spans="24:26">
      <c r="X2898" s="2"/>
      <c r="Y2898" s="101"/>
      <c r="Z2898" s="100"/>
    </row>
    <row r="2899" spans="24:26">
      <c r="X2899" s="2"/>
      <c r="Y2899" s="101"/>
      <c r="Z2899" s="100"/>
    </row>
    <row r="2900" spans="24:26">
      <c r="X2900" s="2"/>
      <c r="Y2900" s="101"/>
      <c r="Z2900" s="100"/>
    </row>
    <row r="2901" spans="24:26">
      <c r="X2901" s="2"/>
      <c r="Y2901" s="101"/>
      <c r="Z2901" s="100"/>
    </row>
    <row r="2902" spans="24:26">
      <c r="X2902" s="2"/>
      <c r="Y2902" s="101"/>
      <c r="Z2902" s="100"/>
    </row>
    <row r="2903" spans="24:26">
      <c r="X2903" s="2"/>
      <c r="Y2903" s="101"/>
      <c r="Z2903" s="100"/>
    </row>
    <row r="2904" spans="24:26">
      <c r="X2904" s="2"/>
      <c r="Y2904" s="101"/>
      <c r="Z2904" s="100"/>
    </row>
    <row r="2905" spans="24:26">
      <c r="X2905" s="2"/>
      <c r="Y2905" s="101"/>
      <c r="Z2905" s="100"/>
    </row>
    <row r="2906" spans="24:26">
      <c r="X2906" s="2"/>
      <c r="Y2906" s="101"/>
      <c r="Z2906" s="100"/>
    </row>
    <row r="2907" spans="24:26">
      <c r="X2907" s="2"/>
      <c r="Y2907" s="101"/>
      <c r="Z2907" s="100"/>
    </row>
    <row r="2908" spans="24:26">
      <c r="X2908" s="2"/>
      <c r="Y2908" s="101"/>
      <c r="Z2908" s="100"/>
    </row>
    <row r="2909" spans="24:26">
      <c r="X2909" s="2"/>
      <c r="Y2909" s="101"/>
      <c r="Z2909" s="100"/>
    </row>
    <row r="2910" spans="24:26">
      <c r="X2910" s="2"/>
      <c r="Y2910" s="101"/>
      <c r="Z2910" s="100"/>
    </row>
    <row r="2911" spans="24:26">
      <c r="X2911" s="2"/>
      <c r="Y2911" s="101"/>
      <c r="Z2911" s="100"/>
    </row>
    <row r="2912" spans="24:26">
      <c r="X2912" s="2"/>
      <c r="Y2912" s="101"/>
      <c r="Z2912" s="100"/>
    </row>
    <row r="2913" spans="24:26">
      <c r="X2913" s="2"/>
      <c r="Y2913" s="101"/>
      <c r="Z2913" s="100"/>
    </row>
    <row r="2914" spans="24:26">
      <c r="X2914" s="2"/>
      <c r="Y2914" s="101"/>
      <c r="Z2914" s="100"/>
    </row>
    <row r="2915" spans="24:26">
      <c r="X2915" s="2"/>
      <c r="Y2915" s="101"/>
      <c r="Z2915" s="100"/>
    </row>
    <row r="2916" spans="24:26">
      <c r="X2916" s="2"/>
      <c r="Y2916" s="101"/>
      <c r="Z2916" s="100"/>
    </row>
    <row r="2917" spans="24:26">
      <c r="X2917" s="2"/>
      <c r="Y2917" s="101"/>
      <c r="Z2917" s="100"/>
    </row>
    <row r="2918" spans="24:26">
      <c r="X2918" s="2"/>
      <c r="Y2918" s="101"/>
      <c r="Z2918" s="100"/>
    </row>
    <row r="2919" spans="24:26">
      <c r="X2919" s="2"/>
      <c r="Y2919" s="101"/>
      <c r="Z2919" s="100"/>
    </row>
    <row r="2920" spans="24:26">
      <c r="X2920" s="2"/>
      <c r="Y2920" s="101"/>
      <c r="Z2920" s="100"/>
    </row>
    <row r="2921" spans="24:26">
      <c r="X2921" s="2"/>
      <c r="Y2921" s="101"/>
      <c r="Z2921" s="100"/>
    </row>
    <row r="2922" spans="24:26">
      <c r="X2922" s="2"/>
      <c r="Y2922" s="101"/>
      <c r="Z2922" s="100"/>
    </row>
    <row r="2923" spans="24:26">
      <c r="X2923" s="2"/>
      <c r="Y2923" s="101"/>
      <c r="Z2923" s="100"/>
    </row>
    <row r="2924" spans="24:26">
      <c r="X2924" s="2"/>
      <c r="Y2924" s="101"/>
      <c r="Z2924" s="100"/>
    </row>
    <row r="2925" spans="24:26">
      <c r="X2925" s="2"/>
      <c r="Y2925" s="101"/>
      <c r="Z2925" s="100"/>
    </row>
    <row r="2926" spans="24:26">
      <c r="X2926" s="2"/>
      <c r="Y2926" s="101"/>
      <c r="Z2926" s="100"/>
    </row>
    <row r="2927" spans="24:26">
      <c r="X2927" s="2"/>
      <c r="Y2927" s="101"/>
      <c r="Z2927" s="100"/>
    </row>
    <row r="2928" spans="24:26">
      <c r="X2928" s="2"/>
      <c r="Y2928" s="101"/>
      <c r="Z2928" s="100"/>
    </row>
    <row r="2929" spans="24:26">
      <c r="X2929" s="2"/>
      <c r="Y2929" s="101"/>
      <c r="Z2929" s="100"/>
    </row>
    <row r="2930" spans="24:26">
      <c r="X2930" s="2"/>
      <c r="Y2930" s="101"/>
      <c r="Z2930" s="100"/>
    </row>
    <row r="2931" spans="24:26">
      <c r="X2931" s="2"/>
      <c r="Y2931" s="101"/>
      <c r="Z2931" s="100"/>
    </row>
    <row r="2932" spans="24:26">
      <c r="X2932" s="2"/>
      <c r="Y2932" s="101"/>
      <c r="Z2932" s="100"/>
    </row>
    <row r="2933" spans="24:26">
      <c r="X2933" s="2"/>
      <c r="Y2933" s="101"/>
      <c r="Z2933" s="100"/>
    </row>
    <row r="2934" spans="24:26">
      <c r="X2934" s="2"/>
      <c r="Y2934" s="101"/>
      <c r="Z2934" s="100"/>
    </row>
    <row r="2935" spans="24:26">
      <c r="X2935" s="2"/>
      <c r="Y2935" s="101"/>
      <c r="Z2935" s="100"/>
    </row>
    <row r="2936" spans="24:26">
      <c r="X2936" s="2"/>
      <c r="Y2936" s="101"/>
      <c r="Z2936" s="100"/>
    </row>
    <row r="2937" spans="24:26">
      <c r="X2937" s="2"/>
      <c r="Y2937" s="101"/>
      <c r="Z2937" s="100"/>
    </row>
    <row r="2938" spans="24:26">
      <c r="X2938" s="2"/>
      <c r="Y2938" s="101"/>
      <c r="Z2938" s="100"/>
    </row>
    <row r="2939" spans="24:26">
      <c r="X2939" s="2"/>
      <c r="Y2939" s="101"/>
      <c r="Z2939" s="100"/>
    </row>
    <row r="2940" spans="24:26">
      <c r="X2940" s="2"/>
      <c r="Y2940" s="101"/>
      <c r="Z2940" s="100"/>
    </row>
    <row r="2941" spans="24:26">
      <c r="X2941" s="2"/>
      <c r="Y2941" s="101"/>
      <c r="Z2941" s="100"/>
    </row>
    <row r="2942" spans="24:26">
      <c r="X2942" s="2"/>
      <c r="Y2942" s="101"/>
      <c r="Z2942" s="100"/>
    </row>
    <row r="2943" spans="24:26">
      <c r="X2943" s="2"/>
      <c r="Y2943" s="101"/>
      <c r="Z2943" s="100"/>
    </row>
    <row r="2944" spans="24:26">
      <c r="X2944" s="2"/>
      <c r="Y2944" s="101"/>
      <c r="Z2944" s="100"/>
    </row>
    <row r="2945" spans="24:26">
      <c r="X2945" s="2"/>
      <c r="Y2945" s="101"/>
      <c r="Z2945" s="100"/>
    </row>
    <row r="2946" spans="24:26">
      <c r="X2946" s="2"/>
      <c r="Y2946" s="101"/>
      <c r="Z2946" s="100"/>
    </row>
    <row r="2947" spans="24:26">
      <c r="X2947" s="2"/>
      <c r="Y2947" s="101"/>
      <c r="Z2947" s="100"/>
    </row>
    <row r="2948" spans="24:26">
      <c r="X2948" s="2"/>
      <c r="Y2948" s="101"/>
      <c r="Z2948" s="100"/>
    </row>
    <row r="2949" spans="24:26">
      <c r="X2949" s="2"/>
      <c r="Y2949" s="101"/>
      <c r="Z2949" s="100"/>
    </row>
    <row r="2950" spans="24:26">
      <c r="X2950" s="2"/>
      <c r="Y2950" s="101"/>
      <c r="Z2950" s="100"/>
    </row>
    <row r="2951" spans="24:26">
      <c r="X2951" s="2"/>
      <c r="Y2951" s="101"/>
      <c r="Z2951" s="100"/>
    </row>
    <row r="2952" spans="24:26">
      <c r="X2952" s="2"/>
      <c r="Y2952" s="101"/>
      <c r="Z2952" s="100"/>
    </row>
    <row r="2953" spans="24:26">
      <c r="X2953" s="2"/>
      <c r="Y2953" s="101"/>
      <c r="Z2953" s="100"/>
    </row>
    <row r="2954" spans="24:26">
      <c r="X2954" s="2"/>
      <c r="Y2954" s="101"/>
      <c r="Z2954" s="100"/>
    </row>
    <row r="2955" spans="24:26">
      <c r="X2955" s="2"/>
      <c r="Y2955" s="101"/>
      <c r="Z2955" s="100"/>
    </row>
    <row r="2956" spans="24:26">
      <c r="X2956" s="2"/>
      <c r="Y2956" s="101"/>
      <c r="Z2956" s="100"/>
    </row>
    <row r="2957" spans="24:26">
      <c r="X2957" s="2"/>
      <c r="Y2957" s="101"/>
      <c r="Z2957" s="100"/>
    </row>
    <row r="2958" spans="24:26">
      <c r="X2958" s="2"/>
      <c r="Y2958" s="101"/>
      <c r="Z2958" s="100"/>
    </row>
    <row r="2959" spans="24:26">
      <c r="X2959" s="2"/>
      <c r="Y2959" s="101"/>
      <c r="Z2959" s="100"/>
    </row>
    <row r="2960" spans="24:26">
      <c r="X2960" s="2"/>
      <c r="Y2960" s="101"/>
      <c r="Z2960" s="100"/>
    </row>
    <row r="2961" spans="24:26">
      <c r="X2961" s="2"/>
      <c r="Y2961" s="101"/>
      <c r="Z2961" s="100"/>
    </row>
    <row r="2962" spans="24:26">
      <c r="X2962" s="2"/>
      <c r="Y2962" s="101"/>
      <c r="Z2962" s="100"/>
    </row>
    <row r="2963" spans="24:26">
      <c r="X2963" s="2"/>
      <c r="Y2963" s="101"/>
      <c r="Z2963" s="100"/>
    </row>
    <row r="2964" spans="24:26">
      <c r="X2964" s="2"/>
      <c r="Y2964" s="101"/>
      <c r="Z2964" s="100"/>
    </row>
    <row r="2965" spans="24:26">
      <c r="X2965" s="2"/>
      <c r="Y2965" s="101"/>
      <c r="Z2965" s="100"/>
    </row>
    <row r="2966" spans="24:26">
      <c r="X2966" s="2"/>
      <c r="Y2966" s="101"/>
      <c r="Z2966" s="100"/>
    </row>
    <row r="2967" spans="24:26">
      <c r="X2967" s="2"/>
      <c r="Y2967" s="101"/>
      <c r="Z2967" s="100"/>
    </row>
    <row r="2968" spans="24:26">
      <c r="X2968" s="2"/>
      <c r="Y2968" s="101"/>
      <c r="Z2968" s="100"/>
    </row>
    <row r="2969" spans="24:26">
      <c r="X2969" s="2"/>
      <c r="Y2969" s="101"/>
      <c r="Z2969" s="100"/>
    </row>
    <row r="2970" spans="24:26">
      <c r="X2970" s="2"/>
      <c r="Y2970" s="101"/>
      <c r="Z2970" s="100"/>
    </row>
    <row r="2971" spans="24:26">
      <c r="X2971" s="2"/>
      <c r="Y2971" s="101"/>
      <c r="Z2971" s="100"/>
    </row>
    <row r="2972" spans="24:26">
      <c r="X2972" s="2"/>
      <c r="Y2972" s="101"/>
      <c r="Z2972" s="100"/>
    </row>
    <row r="2973" spans="24:26">
      <c r="X2973" s="2"/>
      <c r="Y2973" s="101"/>
      <c r="Z2973" s="100"/>
    </row>
    <row r="2974" spans="24:26">
      <c r="X2974" s="2"/>
      <c r="Y2974" s="101"/>
      <c r="Z2974" s="100"/>
    </row>
    <row r="2975" spans="24:26">
      <c r="X2975" s="2"/>
      <c r="Y2975" s="101"/>
      <c r="Z2975" s="100"/>
    </row>
    <row r="2976" spans="24:26">
      <c r="X2976" s="2"/>
      <c r="Y2976" s="101"/>
      <c r="Z2976" s="100"/>
    </row>
    <row r="2977" spans="24:26">
      <c r="X2977" s="2"/>
      <c r="Y2977" s="101"/>
      <c r="Z2977" s="100"/>
    </row>
    <row r="2978" spans="24:26">
      <c r="X2978" s="2"/>
      <c r="Y2978" s="101"/>
      <c r="Z2978" s="100"/>
    </row>
    <row r="2979" spans="24:26">
      <c r="X2979" s="2"/>
      <c r="Y2979" s="101"/>
      <c r="Z2979" s="100"/>
    </row>
    <row r="2980" spans="24:26">
      <c r="X2980" s="2"/>
      <c r="Y2980" s="101"/>
      <c r="Z2980" s="100"/>
    </row>
    <row r="2981" spans="24:26">
      <c r="X2981" s="2"/>
      <c r="Y2981" s="101"/>
      <c r="Z2981" s="100"/>
    </row>
    <row r="2982" spans="24:26">
      <c r="X2982" s="2"/>
      <c r="Y2982" s="101"/>
      <c r="Z2982" s="100"/>
    </row>
    <row r="2983" spans="24:26">
      <c r="X2983" s="2"/>
      <c r="Y2983" s="101"/>
      <c r="Z2983" s="100"/>
    </row>
    <row r="2984" spans="24:26">
      <c r="X2984" s="2"/>
      <c r="Y2984" s="101"/>
      <c r="Z2984" s="100"/>
    </row>
    <row r="2985" spans="24:26">
      <c r="X2985" s="2"/>
      <c r="Y2985" s="101"/>
      <c r="Z2985" s="100"/>
    </row>
    <row r="2986" spans="24:26">
      <c r="X2986" s="2"/>
      <c r="Y2986" s="101"/>
      <c r="Z2986" s="100"/>
    </row>
    <row r="2987" spans="24:26">
      <c r="X2987" s="2"/>
      <c r="Y2987" s="101"/>
      <c r="Z2987" s="100"/>
    </row>
    <row r="2988" spans="24:26">
      <c r="X2988" s="2"/>
      <c r="Y2988" s="101"/>
      <c r="Z2988" s="100"/>
    </row>
    <row r="2989" spans="24:26">
      <c r="X2989" s="2"/>
      <c r="Y2989" s="101"/>
      <c r="Z2989" s="100"/>
    </row>
    <row r="2990" spans="24:26">
      <c r="X2990" s="2"/>
      <c r="Y2990" s="101"/>
      <c r="Z2990" s="100"/>
    </row>
    <row r="2991" spans="24:26">
      <c r="X2991" s="2"/>
      <c r="Y2991" s="101"/>
      <c r="Z2991" s="100"/>
    </row>
    <row r="2992" spans="24:26">
      <c r="X2992" s="2"/>
      <c r="Y2992" s="101"/>
      <c r="Z2992" s="100"/>
    </row>
    <row r="2993" spans="24:26">
      <c r="X2993" s="2"/>
      <c r="Y2993" s="101"/>
      <c r="Z2993" s="100"/>
    </row>
    <row r="2994" spans="24:26">
      <c r="X2994" s="2"/>
      <c r="Y2994" s="101"/>
      <c r="Z2994" s="100"/>
    </row>
    <row r="2995" spans="24:26">
      <c r="X2995" s="2"/>
      <c r="Y2995" s="101"/>
      <c r="Z2995" s="100"/>
    </row>
    <row r="2996" spans="24:26">
      <c r="X2996" s="2"/>
      <c r="Y2996" s="101"/>
      <c r="Z2996" s="100"/>
    </row>
    <row r="2997" spans="24:26">
      <c r="X2997" s="2"/>
      <c r="Y2997" s="101"/>
      <c r="Z2997" s="100"/>
    </row>
    <row r="2998" spans="24:26">
      <c r="X2998" s="2"/>
      <c r="Y2998" s="101"/>
      <c r="Z2998" s="100"/>
    </row>
    <row r="2999" spans="24:26">
      <c r="X2999" s="2"/>
      <c r="Y2999" s="101"/>
      <c r="Z2999" s="100"/>
    </row>
    <row r="3000" spans="24:26">
      <c r="X3000" s="2"/>
      <c r="Y3000" s="101"/>
      <c r="Z3000" s="100"/>
    </row>
    <row r="3001" spans="24:26">
      <c r="X3001" s="2"/>
      <c r="Y3001" s="101"/>
      <c r="Z3001" s="100"/>
    </row>
    <row r="3002" spans="24:26">
      <c r="X3002" s="2"/>
      <c r="Y3002" s="101"/>
      <c r="Z3002" s="100"/>
    </row>
    <row r="3003" spans="24:26">
      <c r="X3003" s="2"/>
      <c r="Y3003" s="101"/>
      <c r="Z3003" s="100"/>
    </row>
    <row r="3004" spans="24:26">
      <c r="X3004" s="2"/>
      <c r="Y3004" s="101"/>
      <c r="Z3004" s="100"/>
    </row>
    <row r="3005" spans="24:26">
      <c r="X3005" s="2"/>
      <c r="Y3005" s="101"/>
      <c r="Z3005" s="100"/>
    </row>
    <row r="3006" spans="24:26">
      <c r="X3006" s="2"/>
      <c r="Y3006" s="101"/>
      <c r="Z3006" s="100"/>
    </row>
    <row r="3007" spans="24:26">
      <c r="X3007" s="2"/>
      <c r="Y3007" s="101"/>
      <c r="Z3007" s="100"/>
    </row>
    <row r="3008" spans="24:26">
      <c r="X3008" s="2"/>
      <c r="Y3008" s="101"/>
      <c r="Z3008" s="100"/>
    </row>
    <row r="3009" spans="24:26">
      <c r="X3009" s="2"/>
      <c r="Y3009" s="101"/>
      <c r="Z3009" s="100"/>
    </row>
    <row r="3010" spans="24:26">
      <c r="X3010" s="2"/>
      <c r="Y3010" s="101"/>
      <c r="Z3010" s="100"/>
    </row>
    <row r="3011" spans="24:26">
      <c r="X3011" s="2"/>
      <c r="Y3011" s="101"/>
      <c r="Z3011" s="100"/>
    </row>
    <row r="3012" spans="24:26">
      <c r="X3012" s="2"/>
      <c r="Y3012" s="101"/>
      <c r="Z3012" s="100"/>
    </row>
    <row r="3013" spans="24:26">
      <c r="X3013" s="2"/>
      <c r="Y3013" s="101"/>
      <c r="Z3013" s="100"/>
    </row>
    <row r="3014" spans="24:26">
      <c r="X3014" s="2"/>
      <c r="Y3014" s="101"/>
      <c r="Z3014" s="100"/>
    </row>
    <row r="3015" spans="24:26">
      <c r="X3015" s="2"/>
      <c r="Y3015" s="101"/>
      <c r="Z3015" s="100"/>
    </row>
    <row r="3016" spans="24:26">
      <c r="X3016" s="2"/>
      <c r="Y3016" s="101"/>
      <c r="Z3016" s="100"/>
    </row>
    <row r="3017" spans="24:26">
      <c r="X3017" s="2"/>
      <c r="Y3017" s="101"/>
      <c r="Z3017" s="100"/>
    </row>
    <row r="3018" spans="24:26">
      <c r="X3018" s="2"/>
      <c r="Y3018" s="101"/>
      <c r="Z3018" s="100"/>
    </row>
    <row r="3019" spans="24:26">
      <c r="X3019" s="2"/>
      <c r="Y3019" s="101"/>
      <c r="Z3019" s="100"/>
    </row>
    <row r="3020" spans="24:26">
      <c r="X3020" s="2"/>
      <c r="Y3020" s="101"/>
      <c r="Z3020" s="100"/>
    </row>
    <row r="3021" spans="24:26">
      <c r="X3021" s="2"/>
      <c r="Y3021" s="101"/>
      <c r="Z3021" s="100"/>
    </row>
    <row r="3022" spans="24:26">
      <c r="X3022" s="2"/>
      <c r="Y3022" s="101"/>
      <c r="Z3022" s="100"/>
    </row>
    <row r="3023" spans="24:26">
      <c r="X3023" s="2"/>
      <c r="Y3023" s="101"/>
      <c r="Z3023" s="100"/>
    </row>
    <row r="3024" spans="24:26">
      <c r="X3024" s="2"/>
      <c r="Y3024" s="101"/>
      <c r="Z3024" s="100"/>
    </row>
    <row r="3025" spans="24:26">
      <c r="X3025" s="2"/>
      <c r="Y3025" s="101"/>
      <c r="Z3025" s="100"/>
    </row>
    <row r="3026" spans="24:26">
      <c r="X3026" s="2"/>
      <c r="Y3026" s="101"/>
      <c r="Z3026" s="100"/>
    </row>
    <row r="3027" spans="24:26">
      <c r="X3027" s="2"/>
      <c r="Y3027" s="101"/>
      <c r="Z3027" s="100"/>
    </row>
    <row r="3028" spans="24:26">
      <c r="X3028" s="2"/>
      <c r="Y3028" s="101"/>
      <c r="Z3028" s="100"/>
    </row>
    <row r="3029" spans="24:26">
      <c r="X3029" s="2"/>
      <c r="Y3029" s="101"/>
      <c r="Z3029" s="100"/>
    </row>
    <row r="3030" spans="24:26">
      <c r="X3030" s="2"/>
      <c r="Y3030" s="101"/>
      <c r="Z3030" s="100"/>
    </row>
    <row r="3031" spans="24:26">
      <c r="X3031" s="2"/>
      <c r="Y3031" s="101"/>
      <c r="Z3031" s="100"/>
    </row>
    <row r="3032" spans="24:26">
      <c r="X3032" s="2"/>
      <c r="Y3032" s="101"/>
      <c r="Z3032" s="100"/>
    </row>
    <row r="3033" spans="24:26">
      <c r="X3033" s="2"/>
      <c r="Y3033" s="101"/>
      <c r="Z3033" s="100"/>
    </row>
    <row r="3034" spans="24:26">
      <c r="X3034" s="2"/>
      <c r="Y3034" s="101"/>
      <c r="Z3034" s="100"/>
    </row>
    <row r="3035" spans="24:26">
      <c r="X3035" s="2"/>
      <c r="Y3035" s="101"/>
      <c r="Z3035" s="100"/>
    </row>
    <row r="3036" spans="24:26">
      <c r="X3036" s="2"/>
      <c r="Y3036" s="101"/>
      <c r="Z3036" s="100"/>
    </row>
    <row r="3037" spans="24:26">
      <c r="X3037" s="2"/>
      <c r="Y3037" s="101"/>
      <c r="Z3037" s="100"/>
    </row>
    <row r="3038" spans="24:26">
      <c r="X3038" s="2"/>
      <c r="Y3038" s="101"/>
      <c r="Z3038" s="100"/>
    </row>
    <row r="3039" spans="24:26">
      <c r="X3039" s="2"/>
      <c r="Y3039" s="101"/>
      <c r="Z3039" s="100"/>
    </row>
    <row r="3040" spans="24:26">
      <c r="X3040" s="2"/>
      <c r="Y3040" s="101"/>
      <c r="Z3040" s="100"/>
    </row>
    <row r="3041" spans="24:26">
      <c r="X3041" s="2"/>
      <c r="Y3041" s="101"/>
      <c r="Z3041" s="100"/>
    </row>
    <row r="3042" spans="24:26">
      <c r="X3042" s="2"/>
      <c r="Y3042" s="101"/>
      <c r="Z3042" s="100"/>
    </row>
    <row r="3043" spans="24:26">
      <c r="X3043" s="2"/>
      <c r="Y3043" s="101"/>
      <c r="Z3043" s="100"/>
    </row>
    <row r="3044" spans="24:26">
      <c r="X3044" s="2"/>
      <c r="Y3044" s="101"/>
      <c r="Z3044" s="100"/>
    </row>
    <row r="3045" spans="24:26">
      <c r="X3045" s="2"/>
      <c r="Y3045" s="101"/>
      <c r="Z3045" s="100"/>
    </row>
    <row r="3046" spans="24:26">
      <c r="X3046" s="2"/>
      <c r="Y3046" s="101"/>
      <c r="Z3046" s="100"/>
    </row>
    <row r="3047" spans="24:26">
      <c r="X3047" s="2"/>
      <c r="Y3047" s="101"/>
      <c r="Z3047" s="100"/>
    </row>
    <row r="3048" spans="24:26">
      <c r="X3048" s="2"/>
      <c r="Y3048" s="101"/>
      <c r="Z3048" s="100"/>
    </row>
    <row r="3049" spans="24:26">
      <c r="X3049" s="2"/>
      <c r="Y3049" s="101"/>
      <c r="Z3049" s="100"/>
    </row>
    <row r="3050" spans="24:26">
      <c r="X3050" s="2"/>
      <c r="Y3050" s="101"/>
      <c r="Z3050" s="100"/>
    </row>
    <row r="3051" spans="24:26">
      <c r="X3051" s="2"/>
      <c r="Y3051" s="101"/>
      <c r="Z3051" s="100"/>
    </row>
    <row r="3052" spans="24:26">
      <c r="X3052" s="2"/>
      <c r="Y3052" s="101"/>
      <c r="Z3052" s="100"/>
    </row>
    <row r="3053" spans="24:26">
      <c r="X3053" s="2"/>
      <c r="Y3053" s="101"/>
      <c r="Z3053" s="100"/>
    </row>
    <row r="3054" spans="24:26">
      <c r="X3054" s="2"/>
      <c r="Y3054" s="101"/>
      <c r="Z3054" s="100"/>
    </row>
    <row r="3055" spans="24:26">
      <c r="X3055" s="2"/>
      <c r="Y3055" s="101"/>
      <c r="Z3055" s="100"/>
    </row>
    <row r="3056" spans="24:26">
      <c r="X3056" s="2"/>
      <c r="Y3056" s="101"/>
      <c r="Z3056" s="100"/>
    </row>
    <row r="3057" spans="24:26">
      <c r="X3057" s="2"/>
      <c r="Y3057" s="101"/>
      <c r="Z3057" s="100"/>
    </row>
    <row r="3058" spans="24:26">
      <c r="X3058" s="2"/>
      <c r="Y3058" s="101"/>
      <c r="Z3058" s="100"/>
    </row>
    <row r="3059" spans="24:26">
      <c r="X3059" s="2"/>
      <c r="Y3059" s="101"/>
      <c r="Z3059" s="100"/>
    </row>
    <row r="3060" spans="24:26">
      <c r="X3060" s="2"/>
      <c r="Y3060" s="101"/>
      <c r="Z3060" s="100"/>
    </row>
    <row r="3061" spans="24:26">
      <c r="X3061" s="2"/>
      <c r="Y3061" s="101"/>
      <c r="Z3061" s="100"/>
    </row>
    <row r="3062" spans="24:26">
      <c r="X3062" s="2"/>
      <c r="Y3062" s="101"/>
      <c r="Z3062" s="100"/>
    </row>
    <row r="3063" spans="24:26">
      <c r="X3063" s="2"/>
      <c r="Y3063" s="101"/>
      <c r="Z3063" s="100"/>
    </row>
    <row r="3064" spans="24:26">
      <c r="X3064" s="2"/>
      <c r="Y3064" s="101"/>
      <c r="Z3064" s="100"/>
    </row>
    <row r="3065" spans="24:26">
      <c r="X3065" s="2"/>
      <c r="Y3065" s="101"/>
      <c r="Z3065" s="100"/>
    </row>
    <row r="3066" spans="24:26">
      <c r="X3066" s="2"/>
      <c r="Y3066" s="101"/>
      <c r="Z3066" s="100"/>
    </row>
    <row r="3067" spans="24:26">
      <c r="X3067" s="2"/>
      <c r="Y3067" s="101"/>
      <c r="Z3067" s="100"/>
    </row>
    <row r="3068" spans="24:26">
      <c r="X3068" s="2"/>
      <c r="Y3068" s="101"/>
      <c r="Z3068" s="100"/>
    </row>
    <row r="3069" spans="24:26">
      <c r="X3069" s="2"/>
      <c r="Y3069" s="101"/>
      <c r="Z3069" s="100"/>
    </row>
    <row r="3070" spans="24:26">
      <c r="X3070" s="2"/>
      <c r="Y3070" s="101"/>
      <c r="Z3070" s="100"/>
    </row>
    <row r="3071" spans="24:26">
      <c r="X3071" s="2"/>
      <c r="Y3071" s="101"/>
      <c r="Z3071" s="100"/>
    </row>
    <row r="3072" spans="24:26">
      <c r="X3072" s="2"/>
      <c r="Y3072" s="101"/>
      <c r="Z3072" s="100"/>
    </row>
    <row r="3073" spans="24:26">
      <c r="X3073" s="2"/>
      <c r="Y3073" s="101"/>
      <c r="Z3073" s="100"/>
    </row>
    <row r="3074" spans="24:26">
      <c r="X3074" s="2"/>
      <c r="Y3074" s="101"/>
      <c r="Z3074" s="100"/>
    </row>
    <row r="3075" spans="24:26">
      <c r="X3075" s="2"/>
      <c r="Y3075" s="101"/>
      <c r="Z3075" s="100"/>
    </row>
    <row r="3076" spans="24:26">
      <c r="X3076" s="2"/>
      <c r="Y3076" s="101"/>
      <c r="Z3076" s="100"/>
    </row>
    <row r="3077" spans="24:26">
      <c r="X3077" s="2"/>
      <c r="Y3077" s="101"/>
      <c r="Z3077" s="100"/>
    </row>
    <row r="3078" spans="24:26">
      <c r="X3078" s="2"/>
      <c r="Y3078" s="101"/>
      <c r="Z3078" s="100"/>
    </row>
    <row r="3079" spans="24:26">
      <c r="X3079" s="2"/>
      <c r="Y3079" s="101"/>
      <c r="Z3079" s="100"/>
    </row>
    <row r="3080" spans="24:26">
      <c r="X3080" s="2"/>
      <c r="Y3080" s="101"/>
      <c r="Z3080" s="100"/>
    </row>
    <row r="3081" spans="24:26">
      <c r="X3081" s="2"/>
      <c r="Y3081" s="101"/>
      <c r="Z3081" s="100"/>
    </row>
    <row r="3082" spans="24:26">
      <c r="X3082" s="2"/>
      <c r="Y3082" s="101"/>
      <c r="Z3082" s="100"/>
    </row>
    <row r="3083" spans="24:26">
      <c r="X3083" s="2"/>
      <c r="Y3083" s="101"/>
      <c r="Z3083" s="100"/>
    </row>
    <row r="3084" spans="24:26">
      <c r="X3084" s="2"/>
      <c r="Y3084" s="101"/>
      <c r="Z3084" s="100"/>
    </row>
    <row r="3085" spans="24:26">
      <c r="X3085" s="2"/>
      <c r="Y3085" s="101"/>
      <c r="Z3085" s="100"/>
    </row>
    <row r="3086" spans="24:26">
      <c r="X3086" s="2"/>
      <c r="Y3086" s="101"/>
      <c r="Z3086" s="100"/>
    </row>
    <row r="3087" spans="24:26">
      <c r="X3087" s="2"/>
      <c r="Y3087" s="101"/>
      <c r="Z3087" s="100"/>
    </row>
    <row r="3088" spans="24:26">
      <c r="X3088" s="2"/>
      <c r="Y3088" s="101"/>
      <c r="Z3088" s="100"/>
    </row>
    <row r="3089" spans="24:26">
      <c r="X3089" s="2"/>
      <c r="Y3089" s="101"/>
      <c r="Z3089" s="100"/>
    </row>
    <row r="3090" spans="24:26">
      <c r="X3090" s="2"/>
      <c r="Y3090" s="101"/>
      <c r="Z3090" s="100"/>
    </row>
    <row r="3091" spans="24:26">
      <c r="X3091" s="2"/>
      <c r="Y3091" s="101"/>
      <c r="Z3091" s="100"/>
    </row>
    <row r="3092" spans="24:26">
      <c r="X3092" s="2"/>
      <c r="Y3092" s="101"/>
      <c r="Z3092" s="100"/>
    </row>
    <row r="3093" spans="24:26">
      <c r="X3093" s="2"/>
      <c r="Y3093" s="101"/>
      <c r="Z3093" s="100"/>
    </row>
    <row r="3094" spans="24:26">
      <c r="X3094" s="2"/>
      <c r="Y3094" s="101"/>
      <c r="Z3094" s="100"/>
    </row>
    <row r="3095" spans="24:26">
      <c r="X3095" s="2"/>
      <c r="Y3095" s="101"/>
      <c r="Z3095" s="100"/>
    </row>
    <row r="3096" spans="24:26">
      <c r="X3096" s="2"/>
      <c r="Y3096" s="101"/>
      <c r="Z3096" s="100"/>
    </row>
    <row r="3097" spans="24:26">
      <c r="X3097" s="2"/>
      <c r="Y3097" s="101"/>
      <c r="Z3097" s="100"/>
    </row>
    <row r="3098" spans="24:26">
      <c r="X3098" s="2"/>
      <c r="Y3098" s="101"/>
      <c r="Z3098" s="100"/>
    </row>
    <row r="3099" spans="24:26">
      <c r="X3099" s="2"/>
      <c r="Y3099" s="101"/>
      <c r="Z3099" s="100"/>
    </row>
    <row r="3100" spans="24:26">
      <c r="X3100" s="2"/>
      <c r="Y3100" s="101"/>
      <c r="Z3100" s="100"/>
    </row>
    <row r="3101" spans="24:26">
      <c r="X3101" s="2"/>
      <c r="Y3101" s="101"/>
      <c r="Z3101" s="100"/>
    </row>
    <row r="3102" spans="24:26">
      <c r="X3102" s="2"/>
      <c r="Y3102" s="101"/>
      <c r="Z3102" s="100"/>
    </row>
    <row r="3103" spans="24:26">
      <c r="X3103" s="2"/>
      <c r="Y3103" s="101"/>
      <c r="Z3103" s="100"/>
    </row>
    <row r="3104" spans="24:26">
      <c r="X3104" s="2"/>
      <c r="Y3104" s="101"/>
      <c r="Z3104" s="100"/>
    </row>
    <row r="3105" spans="24:26">
      <c r="X3105" s="2"/>
      <c r="Y3105" s="101"/>
      <c r="Z3105" s="100"/>
    </row>
    <row r="3106" spans="24:26">
      <c r="X3106" s="2"/>
      <c r="Y3106" s="101"/>
      <c r="Z3106" s="100"/>
    </row>
    <row r="3107" spans="24:26">
      <c r="X3107" s="2"/>
      <c r="Y3107" s="101"/>
      <c r="Z3107" s="100"/>
    </row>
    <row r="3108" spans="24:26">
      <c r="X3108" s="2"/>
      <c r="Y3108" s="101"/>
      <c r="Z3108" s="100"/>
    </row>
    <row r="3109" spans="24:26">
      <c r="X3109" s="2"/>
      <c r="Y3109" s="101"/>
      <c r="Z3109" s="100"/>
    </row>
    <row r="3110" spans="24:26">
      <c r="X3110" s="2"/>
      <c r="Y3110" s="101"/>
      <c r="Z3110" s="100"/>
    </row>
    <row r="3111" spans="24:26">
      <c r="X3111" s="2"/>
      <c r="Y3111" s="101"/>
      <c r="Z3111" s="100"/>
    </row>
    <row r="3112" spans="24:26">
      <c r="X3112" s="2"/>
      <c r="Y3112" s="101"/>
      <c r="Z3112" s="100"/>
    </row>
    <row r="3113" spans="24:26">
      <c r="X3113" s="2"/>
      <c r="Y3113" s="101"/>
      <c r="Z3113" s="100"/>
    </row>
    <row r="3114" spans="24:26">
      <c r="X3114" s="2"/>
      <c r="Y3114" s="101"/>
      <c r="Z3114" s="100"/>
    </row>
    <row r="3115" spans="24:26">
      <c r="X3115" s="2"/>
      <c r="Y3115" s="101"/>
      <c r="Z3115" s="100"/>
    </row>
    <row r="3116" spans="24:26">
      <c r="X3116" s="2"/>
      <c r="Y3116" s="101"/>
      <c r="Z3116" s="100"/>
    </row>
    <row r="3117" spans="24:26">
      <c r="X3117" s="2"/>
      <c r="Y3117" s="101"/>
      <c r="Z3117" s="100"/>
    </row>
    <row r="3118" spans="24:26">
      <c r="X3118" s="2"/>
      <c r="Y3118" s="101"/>
      <c r="Z3118" s="100"/>
    </row>
    <row r="3119" spans="24:26">
      <c r="X3119" s="2"/>
      <c r="Y3119" s="101"/>
      <c r="Z3119" s="100"/>
    </row>
    <row r="3120" spans="24:26">
      <c r="X3120" s="2"/>
      <c r="Y3120" s="101"/>
      <c r="Z3120" s="100"/>
    </row>
    <row r="3121" spans="24:26">
      <c r="X3121" s="2"/>
      <c r="Y3121" s="101"/>
      <c r="Z3121" s="100"/>
    </row>
    <row r="3122" spans="24:26">
      <c r="X3122" s="2"/>
      <c r="Y3122" s="101"/>
      <c r="Z3122" s="100"/>
    </row>
    <row r="3123" spans="24:26">
      <c r="X3123" s="2"/>
      <c r="Y3123" s="101"/>
      <c r="Z3123" s="100"/>
    </row>
    <row r="3124" spans="24:26">
      <c r="X3124" s="2"/>
      <c r="Y3124" s="101"/>
      <c r="Z3124" s="100"/>
    </row>
    <row r="3125" spans="24:26">
      <c r="X3125" s="2"/>
      <c r="Y3125" s="101"/>
      <c r="Z3125" s="100"/>
    </row>
    <row r="3126" spans="24:26">
      <c r="X3126" s="2"/>
      <c r="Y3126" s="101"/>
      <c r="Z3126" s="100"/>
    </row>
    <row r="3127" spans="24:26">
      <c r="X3127" s="2"/>
      <c r="Y3127" s="101"/>
      <c r="Z3127" s="100"/>
    </row>
    <row r="3128" spans="24:26">
      <c r="X3128" s="2"/>
      <c r="Y3128" s="101"/>
      <c r="Z3128" s="100"/>
    </row>
    <row r="3129" spans="24:26">
      <c r="X3129" s="2"/>
      <c r="Y3129" s="101"/>
      <c r="Z3129" s="100"/>
    </row>
    <row r="3130" spans="24:26">
      <c r="X3130" s="2"/>
      <c r="Y3130" s="101"/>
      <c r="Z3130" s="100"/>
    </row>
    <row r="3131" spans="24:26">
      <c r="X3131" s="2"/>
      <c r="Y3131" s="101"/>
      <c r="Z3131" s="100"/>
    </row>
    <row r="3132" spans="24:26">
      <c r="X3132" s="2"/>
      <c r="Y3132" s="101"/>
      <c r="Z3132" s="100"/>
    </row>
    <row r="3133" spans="24:26">
      <c r="X3133" s="2"/>
      <c r="Y3133" s="101"/>
      <c r="Z3133" s="100"/>
    </row>
    <row r="3134" spans="24:26">
      <c r="X3134" s="2"/>
      <c r="Y3134" s="101"/>
      <c r="Z3134" s="100"/>
    </row>
    <row r="3135" spans="24:26">
      <c r="X3135" s="2"/>
      <c r="Y3135" s="101"/>
      <c r="Z3135" s="100"/>
    </row>
    <row r="3136" spans="24:26">
      <c r="X3136" s="2"/>
      <c r="Y3136" s="101"/>
      <c r="Z3136" s="100"/>
    </row>
    <row r="3137" spans="24:26">
      <c r="X3137" s="2"/>
      <c r="Y3137" s="101"/>
      <c r="Z3137" s="100"/>
    </row>
    <row r="3138" spans="24:26">
      <c r="X3138" s="2"/>
      <c r="Y3138" s="101"/>
      <c r="Z3138" s="100"/>
    </row>
    <row r="3139" spans="24:26">
      <c r="X3139" s="2"/>
      <c r="Y3139" s="101"/>
      <c r="Z3139" s="100"/>
    </row>
    <row r="3140" spans="24:26">
      <c r="X3140" s="2"/>
      <c r="Y3140" s="101"/>
      <c r="Z3140" s="100"/>
    </row>
    <row r="3141" spans="24:26">
      <c r="X3141" s="2"/>
      <c r="Y3141" s="101"/>
      <c r="Z3141" s="100"/>
    </row>
    <row r="3142" spans="24:26">
      <c r="X3142" s="2"/>
      <c r="Y3142" s="101"/>
      <c r="Z3142" s="100"/>
    </row>
    <row r="3143" spans="24:26">
      <c r="X3143" s="2"/>
      <c r="Y3143" s="101"/>
      <c r="Z3143" s="100"/>
    </row>
    <row r="3144" spans="24:26">
      <c r="X3144" s="2"/>
      <c r="Y3144" s="101"/>
      <c r="Z3144" s="100"/>
    </row>
    <row r="3145" spans="24:26">
      <c r="X3145" s="2"/>
      <c r="Y3145" s="101"/>
      <c r="Z3145" s="100"/>
    </row>
    <row r="3146" spans="24:26">
      <c r="X3146" s="2"/>
      <c r="Y3146" s="101"/>
      <c r="Z3146" s="100"/>
    </row>
    <row r="3147" spans="24:26">
      <c r="X3147" s="2"/>
      <c r="Y3147" s="101"/>
      <c r="Z3147" s="100"/>
    </row>
    <row r="3148" spans="24:26">
      <c r="X3148" s="2"/>
      <c r="Y3148" s="101"/>
      <c r="Z3148" s="100"/>
    </row>
    <row r="3149" spans="24:26">
      <c r="X3149" s="2"/>
      <c r="Y3149" s="101"/>
      <c r="Z3149" s="100"/>
    </row>
    <row r="3150" spans="24:26">
      <c r="X3150" s="2"/>
      <c r="Y3150" s="101"/>
      <c r="Z3150" s="100"/>
    </row>
    <row r="3151" spans="24:26">
      <c r="X3151" s="2"/>
      <c r="Y3151" s="101"/>
      <c r="Z3151" s="100"/>
    </row>
    <row r="3152" spans="24:26">
      <c r="X3152" s="2"/>
      <c r="Y3152" s="101"/>
      <c r="Z3152" s="100"/>
    </row>
    <row r="3153" spans="24:26">
      <c r="X3153" s="2"/>
      <c r="Y3153" s="101"/>
      <c r="Z3153" s="100"/>
    </row>
    <row r="3154" spans="24:26">
      <c r="X3154" s="2"/>
      <c r="Y3154" s="101"/>
      <c r="Z3154" s="100"/>
    </row>
    <row r="3155" spans="24:26">
      <c r="X3155" s="2"/>
      <c r="Y3155" s="101"/>
      <c r="Z3155" s="100"/>
    </row>
    <row r="3156" spans="24:26">
      <c r="X3156" s="2"/>
      <c r="Y3156" s="101"/>
      <c r="Z3156" s="100"/>
    </row>
    <row r="3157" spans="24:26">
      <c r="X3157" s="2"/>
      <c r="Y3157" s="101"/>
      <c r="Z3157" s="100"/>
    </row>
    <row r="3158" spans="24:26">
      <c r="X3158" s="2"/>
      <c r="Y3158" s="101"/>
      <c r="Z3158" s="100"/>
    </row>
    <row r="3159" spans="24:26">
      <c r="X3159" s="2"/>
      <c r="Y3159" s="101"/>
      <c r="Z3159" s="100"/>
    </row>
    <row r="3160" spans="24:26">
      <c r="X3160" s="2"/>
      <c r="Y3160" s="101"/>
      <c r="Z3160" s="100"/>
    </row>
    <row r="3161" spans="24:26">
      <c r="X3161" s="2"/>
      <c r="Y3161" s="101"/>
      <c r="Z3161" s="100"/>
    </row>
    <row r="3162" spans="24:26">
      <c r="X3162" s="2"/>
      <c r="Y3162" s="101"/>
      <c r="Z3162" s="100"/>
    </row>
    <row r="3163" spans="24:26">
      <c r="X3163" s="2"/>
      <c r="Y3163" s="101"/>
      <c r="Z3163" s="100"/>
    </row>
    <row r="3164" spans="24:26">
      <c r="X3164" s="2"/>
      <c r="Y3164" s="101"/>
      <c r="Z3164" s="100"/>
    </row>
    <row r="3165" spans="24:26">
      <c r="X3165" s="2"/>
      <c r="Y3165" s="101"/>
      <c r="Z3165" s="100"/>
    </row>
    <row r="3166" spans="24:26">
      <c r="X3166" s="2"/>
      <c r="Y3166" s="101"/>
      <c r="Z3166" s="100"/>
    </row>
    <row r="3167" spans="24:26">
      <c r="X3167" s="2"/>
      <c r="Y3167" s="101"/>
      <c r="Z3167" s="100"/>
    </row>
    <row r="3168" spans="24:26">
      <c r="X3168" s="2"/>
      <c r="Y3168" s="101"/>
      <c r="Z3168" s="100"/>
    </row>
    <row r="3169" spans="24:26">
      <c r="X3169" s="2"/>
      <c r="Y3169" s="101"/>
      <c r="Z3169" s="100"/>
    </row>
    <row r="3170" spans="24:26">
      <c r="X3170" s="2"/>
      <c r="Y3170" s="101"/>
      <c r="Z3170" s="100"/>
    </row>
    <row r="3171" spans="24:26">
      <c r="X3171" s="2"/>
      <c r="Y3171" s="101"/>
      <c r="Z3171" s="100"/>
    </row>
    <row r="3172" spans="24:26">
      <c r="X3172" s="2"/>
      <c r="Y3172" s="101"/>
      <c r="Z3172" s="100"/>
    </row>
    <row r="3173" spans="24:26">
      <c r="X3173" s="2"/>
      <c r="Y3173" s="101"/>
      <c r="Z3173" s="100"/>
    </row>
    <row r="3174" spans="24:26">
      <c r="X3174" s="2"/>
      <c r="Y3174" s="101"/>
      <c r="Z3174" s="100"/>
    </row>
    <row r="3175" spans="24:26">
      <c r="X3175" s="2"/>
      <c r="Y3175" s="101"/>
      <c r="Z3175" s="100"/>
    </row>
    <row r="3176" spans="24:26">
      <c r="X3176" s="2"/>
      <c r="Y3176" s="101"/>
      <c r="Z3176" s="100"/>
    </row>
    <row r="3177" spans="24:26">
      <c r="X3177" s="2"/>
      <c r="Y3177" s="101"/>
      <c r="Z3177" s="100"/>
    </row>
    <row r="3178" spans="24:26">
      <c r="X3178" s="2"/>
      <c r="Y3178" s="101"/>
      <c r="Z3178" s="100"/>
    </row>
    <row r="3179" spans="24:26">
      <c r="X3179" s="2"/>
      <c r="Y3179" s="101"/>
      <c r="Z3179" s="100"/>
    </row>
    <row r="3180" spans="24:26">
      <c r="X3180" s="2"/>
      <c r="Y3180" s="101"/>
      <c r="Z3180" s="100"/>
    </row>
    <row r="3181" spans="24:26">
      <c r="X3181" s="2"/>
      <c r="Y3181" s="101"/>
      <c r="Z3181" s="100"/>
    </row>
    <row r="3182" spans="24:26">
      <c r="X3182" s="2"/>
      <c r="Y3182" s="101"/>
      <c r="Z3182" s="100"/>
    </row>
    <row r="3183" spans="24:26">
      <c r="X3183" s="2"/>
      <c r="Y3183" s="101"/>
      <c r="Z3183" s="100"/>
    </row>
    <row r="3184" spans="24:26">
      <c r="X3184" s="2"/>
      <c r="Y3184" s="101"/>
      <c r="Z3184" s="100"/>
    </row>
    <row r="3185" spans="24:26">
      <c r="X3185" s="2"/>
      <c r="Y3185" s="101"/>
      <c r="Z3185" s="100"/>
    </row>
    <row r="3186" spans="24:26">
      <c r="X3186" s="2"/>
      <c r="Y3186" s="101"/>
      <c r="Z3186" s="100"/>
    </row>
    <row r="3187" spans="24:26">
      <c r="X3187" s="2"/>
      <c r="Y3187" s="101"/>
      <c r="Z3187" s="100"/>
    </row>
    <row r="3188" spans="24:26">
      <c r="X3188" s="2"/>
      <c r="Y3188" s="101"/>
      <c r="Z3188" s="100"/>
    </row>
    <row r="3189" spans="24:26">
      <c r="X3189" s="2"/>
      <c r="Y3189" s="101"/>
      <c r="Z3189" s="100"/>
    </row>
    <row r="3190" spans="24:26">
      <c r="X3190" s="2"/>
      <c r="Y3190" s="101"/>
      <c r="Z3190" s="100"/>
    </row>
    <row r="3191" spans="24:26">
      <c r="X3191" s="2"/>
      <c r="Y3191" s="101"/>
      <c r="Z3191" s="100"/>
    </row>
    <row r="3192" spans="24:26">
      <c r="X3192" s="2"/>
      <c r="Y3192" s="101"/>
      <c r="Z3192" s="100"/>
    </row>
    <row r="3193" spans="24:26">
      <c r="X3193" s="2"/>
      <c r="Y3193" s="101"/>
      <c r="Z3193" s="100"/>
    </row>
    <row r="3194" spans="24:26">
      <c r="X3194" s="2"/>
      <c r="Y3194" s="101"/>
      <c r="Z3194" s="100"/>
    </row>
    <row r="3195" spans="24:26">
      <c r="X3195" s="2"/>
      <c r="Y3195" s="101"/>
      <c r="Z3195" s="100"/>
    </row>
    <row r="3196" spans="24:26">
      <c r="X3196" s="2"/>
      <c r="Y3196" s="101"/>
      <c r="Z3196" s="100"/>
    </row>
    <row r="3197" spans="24:26">
      <c r="X3197" s="2"/>
      <c r="Y3197" s="101"/>
      <c r="Z3197" s="100"/>
    </row>
    <row r="3198" spans="24:26">
      <c r="X3198" s="2"/>
      <c r="Y3198" s="101"/>
      <c r="Z3198" s="100"/>
    </row>
    <row r="3199" spans="24:26">
      <c r="X3199" s="2"/>
      <c r="Y3199" s="101"/>
      <c r="Z3199" s="100"/>
    </row>
    <row r="3200" spans="24:26">
      <c r="X3200" s="2"/>
      <c r="Y3200" s="101"/>
      <c r="Z3200" s="100"/>
    </row>
    <row r="3201" spans="24:26">
      <c r="X3201" s="2"/>
      <c r="Y3201" s="101"/>
      <c r="Z3201" s="100"/>
    </row>
    <row r="3202" spans="24:26">
      <c r="X3202" s="2"/>
      <c r="Y3202" s="101"/>
      <c r="Z3202" s="100"/>
    </row>
    <row r="3203" spans="24:26">
      <c r="X3203" s="2"/>
      <c r="Y3203" s="101"/>
      <c r="Z3203" s="100"/>
    </row>
    <row r="3204" spans="24:26">
      <c r="X3204" s="2"/>
      <c r="Y3204" s="101"/>
      <c r="Z3204" s="100"/>
    </row>
    <row r="3205" spans="24:26">
      <c r="X3205" s="2"/>
      <c r="Y3205" s="101"/>
      <c r="Z3205" s="100"/>
    </row>
    <row r="3206" spans="24:26">
      <c r="X3206" s="2"/>
      <c r="Y3206" s="101"/>
      <c r="Z3206" s="100"/>
    </row>
    <row r="3207" spans="24:26">
      <c r="X3207" s="2"/>
      <c r="Y3207" s="101"/>
      <c r="Z3207" s="100"/>
    </row>
    <row r="3208" spans="24:26">
      <c r="X3208" s="2"/>
      <c r="Y3208" s="101"/>
      <c r="Z3208" s="100"/>
    </row>
    <row r="3209" spans="24:26">
      <c r="X3209" s="2"/>
      <c r="Y3209" s="101"/>
      <c r="Z3209" s="100"/>
    </row>
    <row r="3210" spans="24:26">
      <c r="X3210" s="2"/>
      <c r="Y3210" s="101"/>
      <c r="Z3210" s="100"/>
    </row>
    <row r="3211" spans="24:26">
      <c r="X3211" s="2"/>
      <c r="Y3211" s="101"/>
      <c r="Z3211" s="100"/>
    </row>
    <row r="3212" spans="24:26">
      <c r="X3212" s="2"/>
      <c r="Y3212" s="101"/>
      <c r="Z3212" s="100"/>
    </row>
    <row r="3213" spans="24:26">
      <c r="X3213" s="2"/>
      <c r="Y3213" s="101"/>
      <c r="Z3213" s="100"/>
    </row>
    <row r="3214" spans="24:26">
      <c r="X3214" s="2"/>
      <c r="Y3214" s="101"/>
      <c r="Z3214" s="100"/>
    </row>
    <row r="3215" spans="24:26">
      <c r="X3215" s="2"/>
      <c r="Y3215" s="101"/>
      <c r="Z3215" s="100"/>
    </row>
    <row r="3216" spans="24:26">
      <c r="X3216" s="2"/>
      <c r="Y3216" s="101"/>
      <c r="Z3216" s="100"/>
    </row>
    <row r="3217" spans="24:26">
      <c r="X3217" s="2"/>
      <c r="Y3217" s="101"/>
      <c r="Z3217" s="100"/>
    </row>
    <row r="3218" spans="24:26">
      <c r="X3218" s="2"/>
      <c r="Y3218" s="101"/>
      <c r="Z3218" s="100"/>
    </row>
    <row r="3219" spans="24:26">
      <c r="X3219" s="2"/>
      <c r="Y3219" s="101"/>
      <c r="Z3219" s="100"/>
    </row>
    <row r="3220" spans="24:26">
      <c r="X3220" s="2"/>
      <c r="Y3220" s="101"/>
      <c r="Z3220" s="100"/>
    </row>
    <row r="3221" spans="24:26">
      <c r="X3221" s="2"/>
      <c r="Y3221" s="101"/>
      <c r="Z3221" s="100"/>
    </row>
    <row r="3222" spans="24:26">
      <c r="X3222" s="2"/>
      <c r="Y3222" s="101"/>
      <c r="Z3222" s="100"/>
    </row>
    <row r="3223" spans="24:26">
      <c r="X3223" s="2"/>
      <c r="Y3223" s="101"/>
      <c r="Z3223" s="100"/>
    </row>
    <row r="3224" spans="24:26">
      <c r="X3224" s="2"/>
      <c r="Y3224" s="101"/>
      <c r="Z3224" s="100"/>
    </row>
    <row r="3225" spans="24:26">
      <c r="X3225" s="2"/>
      <c r="Y3225" s="101"/>
      <c r="Z3225" s="100"/>
    </row>
    <row r="3226" spans="24:26">
      <c r="X3226" s="2"/>
      <c r="Y3226" s="101"/>
      <c r="Z3226" s="100"/>
    </row>
    <row r="3227" spans="24:26">
      <c r="X3227" s="2"/>
      <c r="Y3227" s="101"/>
      <c r="Z3227" s="100"/>
    </row>
    <row r="3228" spans="24:26">
      <c r="X3228" s="2"/>
      <c r="Y3228" s="101"/>
      <c r="Z3228" s="100"/>
    </row>
    <row r="3229" spans="24:26">
      <c r="X3229" s="2"/>
      <c r="Y3229" s="101"/>
      <c r="Z3229" s="100"/>
    </row>
    <row r="3230" spans="24:26">
      <c r="X3230" s="2"/>
      <c r="Y3230" s="101"/>
      <c r="Z3230" s="100"/>
    </row>
    <row r="3231" spans="24:26">
      <c r="X3231" s="2"/>
      <c r="Y3231" s="101"/>
      <c r="Z3231" s="100"/>
    </row>
    <row r="3232" spans="24:26">
      <c r="X3232" s="2"/>
      <c r="Y3232" s="101"/>
      <c r="Z3232" s="100"/>
    </row>
    <row r="3233" spans="24:26">
      <c r="X3233" s="2"/>
      <c r="Y3233" s="101"/>
      <c r="Z3233" s="100"/>
    </row>
    <row r="3234" spans="24:26">
      <c r="X3234" s="2"/>
      <c r="Y3234" s="101"/>
      <c r="Z3234" s="100"/>
    </row>
    <row r="3235" spans="24:26">
      <c r="X3235" s="2"/>
      <c r="Y3235" s="101"/>
      <c r="Z3235" s="100"/>
    </row>
    <row r="3236" spans="24:26">
      <c r="X3236" s="2"/>
      <c r="Y3236" s="101"/>
      <c r="Z3236" s="100"/>
    </row>
    <row r="3237" spans="24:26">
      <c r="X3237" s="2"/>
      <c r="Y3237" s="101"/>
      <c r="Z3237" s="100"/>
    </row>
    <row r="3238" spans="24:26">
      <c r="X3238" s="2"/>
      <c r="Y3238" s="101"/>
      <c r="Z3238" s="100"/>
    </row>
    <row r="3239" spans="24:26">
      <c r="X3239" s="2"/>
      <c r="Y3239" s="101"/>
      <c r="Z3239" s="100"/>
    </row>
    <row r="3240" spans="24:26">
      <c r="X3240" s="2"/>
      <c r="Y3240" s="101"/>
      <c r="Z3240" s="100"/>
    </row>
    <row r="3241" spans="24:26">
      <c r="X3241" s="2"/>
      <c r="Y3241" s="101"/>
      <c r="Z3241" s="100"/>
    </row>
    <row r="3242" spans="24:26">
      <c r="X3242" s="2"/>
      <c r="Y3242" s="101"/>
      <c r="Z3242" s="100"/>
    </row>
    <row r="3243" spans="24:26">
      <c r="X3243" s="2"/>
      <c r="Y3243" s="101"/>
      <c r="Z3243" s="100"/>
    </row>
    <row r="3244" spans="24:26">
      <c r="X3244" s="2"/>
      <c r="Y3244" s="101"/>
      <c r="Z3244" s="100"/>
    </row>
    <row r="3245" spans="24:26">
      <c r="X3245" s="2"/>
      <c r="Y3245" s="101"/>
      <c r="Z3245" s="100"/>
    </row>
    <row r="3246" spans="24:26">
      <c r="X3246" s="2"/>
      <c r="Y3246" s="101"/>
      <c r="Z3246" s="100"/>
    </row>
    <row r="3247" spans="24:26">
      <c r="X3247" s="2"/>
      <c r="Y3247" s="101"/>
      <c r="Z3247" s="100"/>
    </row>
    <row r="3248" spans="24:26">
      <c r="X3248" s="2"/>
      <c r="Y3248" s="101"/>
      <c r="Z3248" s="100"/>
    </row>
    <row r="3249" spans="24:26">
      <c r="X3249" s="2"/>
      <c r="Y3249" s="101"/>
      <c r="Z3249" s="100"/>
    </row>
    <row r="3250" spans="24:26">
      <c r="X3250" s="2"/>
      <c r="Y3250" s="101"/>
      <c r="Z3250" s="100"/>
    </row>
    <row r="3251" spans="24:26">
      <c r="X3251" s="2"/>
      <c r="Y3251" s="101"/>
      <c r="Z3251" s="100"/>
    </row>
    <row r="3252" spans="24:26">
      <c r="X3252" s="2"/>
      <c r="Y3252" s="101"/>
      <c r="Z3252" s="100"/>
    </row>
    <row r="3253" spans="24:26">
      <c r="X3253" s="2"/>
      <c r="Y3253" s="101"/>
      <c r="Z3253" s="100"/>
    </row>
    <row r="3254" spans="24:26">
      <c r="X3254" s="2"/>
      <c r="Y3254" s="101"/>
      <c r="Z3254" s="100"/>
    </row>
    <row r="3255" spans="24:26">
      <c r="X3255" s="2"/>
      <c r="Y3255" s="101"/>
      <c r="Z3255" s="100"/>
    </row>
    <row r="3256" spans="24:26">
      <c r="X3256" s="2"/>
      <c r="Y3256" s="101"/>
      <c r="Z3256" s="100"/>
    </row>
    <row r="3257" spans="24:26">
      <c r="X3257" s="2"/>
      <c r="Y3257" s="101"/>
      <c r="Z3257" s="100"/>
    </row>
    <row r="3258" spans="24:26">
      <c r="X3258" s="2"/>
      <c r="Y3258" s="101"/>
      <c r="Z3258" s="100"/>
    </row>
    <row r="3259" spans="24:26">
      <c r="X3259" s="2"/>
      <c r="Y3259" s="101"/>
      <c r="Z3259" s="100"/>
    </row>
    <row r="3260" spans="24:26">
      <c r="X3260" s="2"/>
      <c r="Y3260" s="101"/>
      <c r="Z3260" s="100"/>
    </row>
    <row r="3261" spans="24:26">
      <c r="X3261" s="2"/>
      <c r="Y3261" s="101"/>
      <c r="Z3261" s="100"/>
    </row>
    <row r="3262" spans="24:26">
      <c r="X3262" s="2"/>
      <c r="Y3262" s="101"/>
      <c r="Z3262" s="100"/>
    </row>
    <row r="3263" spans="24:26">
      <c r="X3263" s="2"/>
      <c r="Y3263" s="101"/>
      <c r="Z3263" s="100"/>
    </row>
    <row r="3264" spans="24:26">
      <c r="X3264" s="2"/>
      <c r="Y3264" s="101"/>
      <c r="Z3264" s="100"/>
    </row>
    <row r="3265" spans="24:26">
      <c r="X3265" s="2"/>
      <c r="Y3265" s="101"/>
      <c r="Z3265" s="100"/>
    </row>
    <row r="3266" spans="24:26">
      <c r="X3266" s="2"/>
      <c r="Y3266" s="101"/>
      <c r="Z3266" s="100"/>
    </row>
    <row r="3267" spans="24:26">
      <c r="X3267" s="2"/>
      <c r="Y3267" s="101"/>
      <c r="Z3267" s="100"/>
    </row>
    <row r="3268" spans="24:26">
      <c r="X3268" s="2"/>
      <c r="Y3268" s="101"/>
      <c r="Z3268" s="100"/>
    </row>
    <row r="3269" spans="24:26">
      <c r="X3269" s="2"/>
      <c r="Y3269" s="101"/>
      <c r="Z3269" s="100"/>
    </row>
    <row r="3270" spans="24:26">
      <c r="X3270" s="2"/>
      <c r="Y3270" s="101"/>
      <c r="Z3270" s="100"/>
    </row>
    <row r="3271" spans="24:26">
      <c r="X3271" s="2"/>
      <c r="Y3271" s="101"/>
      <c r="Z3271" s="100"/>
    </row>
    <row r="3272" spans="24:26">
      <c r="X3272" s="2"/>
      <c r="Y3272" s="101"/>
      <c r="Z3272" s="100"/>
    </row>
    <row r="3273" spans="24:26">
      <c r="X3273" s="2"/>
      <c r="Y3273" s="101"/>
      <c r="Z3273" s="100"/>
    </row>
    <row r="3274" spans="24:26">
      <c r="X3274" s="2"/>
      <c r="Y3274" s="101"/>
      <c r="Z3274" s="100"/>
    </row>
    <row r="3275" spans="24:26">
      <c r="X3275" s="2"/>
      <c r="Y3275" s="101"/>
      <c r="Z3275" s="100"/>
    </row>
    <row r="3276" spans="24:26">
      <c r="X3276" s="2"/>
      <c r="Y3276" s="101"/>
      <c r="Z3276" s="100"/>
    </row>
    <row r="3277" spans="24:26">
      <c r="X3277" s="2"/>
      <c r="Y3277" s="101"/>
      <c r="Z3277" s="100"/>
    </row>
    <row r="3278" spans="24:26">
      <c r="X3278" s="2"/>
      <c r="Y3278" s="101"/>
      <c r="Z3278" s="100"/>
    </row>
    <row r="3279" spans="24:26">
      <c r="X3279" s="2"/>
      <c r="Y3279" s="101"/>
      <c r="Z3279" s="100"/>
    </row>
    <row r="3280" spans="24:26">
      <c r="X3280" s="2"/>
      <c r="Y3280" s="101"/>
      <c r="Z3280" s="100"/>
    </row>
    <row r="3281" spans="24:26">
      <c r="X3281" s="2"/>
      <c r="Y3281" s="101"/>
      <c r="Z3281" s="100"/>
    </row>
    <row r="3282" spans="24:26">
      <c r="X3282" s="2"/>
      <c r="Y3282" s="101"/>
      <c r="Z3282" s="100"/>
    </row>
    <row r="3283" spans="24:26">
      <c r="X3283" s="2"/>
      <c r="Y3283" s="101"/>
      <c r="Z3283" s="100"/>
    </row>
    <row r="3284" spans="24:26">
      <c r="X3284" s="2"/>
      <c r="Y3284" s="101"/>
      <c r="Z3284" s="100"/>
    </row>
    <row r="3285" spans="24:26">
      <c r="X3285" s="2"/>
      <c r="Y3285" s="101"/>
      <c r="Z3285" s="100"/>
    </row>
    <row r="3286" spans="24:26">
      <c r="X3286" s="2"/>
      <c r="Y3286" s="101"/>
      <c r="Z3286" s="100"/>
    </row>
    <row r="3287" spans="24:26">
      <c r="X3287" s="2"/>
      <c r="Y3287" s="101"/>
      <c r="Z3287" s="100"/>
    </row>
    <row r="3288" spans="24:26">
      <c r="X3288" s="2"/>
      <c r="Y3288" s="101"/>
      <c r="Z3288" s="100"/>
    </row>
    <row r="3289" spans="24:26">
      <c r="X3289" s="2"/>
      <c r="Y3289" s="101"/>
      <c r="Z3289" s="100"/>
    </row>
    <row r="3290" spans="24:26">
      <c r="X3290" s="2"/>
      <c r="Y3290" s="101"/>
      <c r="Z3290" s="100"/>
    </row>
    <row r="3291" spans="24:26">
      <c r="X3291" s="2"/>
      <c r="Y3291" s="101"/>
      <c r="Z3291" s="100"/>
    </row>
    <row r="3292" spans="24:26">
      <c r="X3292" s="2"/>
      <c r="Y3292" s="101"/>
      <c r="Z3292" s="100"/>
    </row>
    <row r="3293" spans="24:26">
      <c r="X3293" s="2"/>
      <c r="Y3293" s="101"/>
      <c r="Z3293" s="100"/>
    </row>
    <row r="3294" spans="24:26">
      <c r="X3294" s="2"/>
      <c r="Y3294" s="101"/>
      <c r="Z3294" s="100"/>
    </row>
    <row r="3295" spans="24:26">
      <c r="X3295" s="2"/>
      <c r="Y3295" s="101"/>
      <c r="Z3295" s="100"/>
    </row>
    <row r="3296" spans="24:26">
      <c r="X3296" s="2"/>
      <c r="Y3296" s="101"/>
      <c r="Z3296" s="100"/>
    </row>
    <row r="3297" spans="24:26">
      <c r="X3297" s="2"/>
      <c r="Y3297" s="101"/>
      <c r="Z3297" s="100"/>
    </row>
    <row r="3298" spans="24:26">
      <c r="X3298" s="2"/>
      <c r="Y3298" s="101"/>
      <c r="Z3298" s="100"/>
    </row>
    <row r="3299" spans="24:26">
      <c r="X3299" s="2"/>
      <c r="Y3299" s="101"/>
      <c r="Z3299" s="100"/>
    </row>
    <row r="3300" spans="24:26">
      <c r="X3300" s="2"/>
      <c r="Y3300" s="101"/>
      <c r="Z3300" s="100"/>
    </row>
    <row r="3301" spans="24:26">
      <c r="X3301" s="2"/>
      <c r="Y3301" s="101"/>
      <c r="Z3301" s="100"/>
    </row>
    <row r="3302" spans="24:26">
      <c r="X3302" s="2"/>
      <c r="Y3302" s="101"/>
      <c r="Z3302" s="100"/>
    </row>
    <row r="3303" spans="24:26">
      <c r="X3303" s="2"/>
      <c r="Y3303" s="101"/>
      <c r="Z3303" s="100"/>
    </row>
    <row r="3304" spans="24:26">
      <c r="X3304" s="2"/>
      <c r="Y3304" s="101"/>
      <c r="Z3304" s="100"/>
    </row>
    <row r="3305" spans="24:26">
      <c r="X3305" s="2"/>
      <c r="Y3305" s="101"/>
      <c r="Z3305" s="100"/>
    </row>
    <row r="3306" spans="24:26">
      <c r="X3306" s="2"/>
      <c r="Y3306" s="101"/>
      <c r="Z3306" s="100"/>
    </row>
    <row r="3307" spans="24:26">
      <c r="X3307" s="2"/>
      <c r="Y3307" s="101"/>
      <c r="Z3307" s="100"/>
    </row>
    <row r="3308" spans="24:26">
      <c r="X3308" s="2"/>
      <c r="Y3308" s="101"/>
      <c r="Z3308" s="100"/>
    </row>
    <row r="3309" spans="24:26">
      <c r="X3309" s="2"/>
      <c r="Y3309" s="101"/>
      <c r="Z3309" s="100"/>
    </row>
    <row r="3310" spans="24:26">
      <c r="X3310" s="2"/>
      <c r="Y3310" s="101"/>
      <c r="Z3310" s="100"/>
    </row>
    <row r="3311" spans="24:26">
      <c r="X3311" s="2"/>
      <c r="Y3311" s="101"/>
      <c r="Z3311" s="100"/>
    </row>
    <row r="3312" spans="24:26">
      <c r="X3312" s="2"/>
      <c r="Y3312" s="101"/>
      <c r="Z3312" s="100"/>
    </row>
    <row r="3313" spans="24:26">
      <c r="X3313" s="2"/>
      <c r="Y3313" s="101"/>
      <c r="Z3313" s="100"/>
    </row>
    <row r="3314" spans="24:26">
      <c r="X3314" s="2"/>
      <c r="Y3314" s="101"/>
      <c r="Z3314" s="100"/>
    </row>
    <row r="3315" spans="24:26">
      <c r="X3315" s="2"/>
      <c r="Y3315" s="101"/>
      <c r="Z3315" s="100"/>
    </row>
    <row r="3316" spans="24:26">
      <c r="X3316" s="2"/>
      <c r="Y3316" s="101"/>
      <c r="Z3316" s="100"/>
    </row>
    <row r="3317" spans="24:26">
      <c r="X3317" s="2"/>
      <c r="Y3317" s="101"/>
      <c r="Z3317" s="100"/>
    </row>
    <row r="3318" spans="24:26">
      <c r="X3318" s="2"/>
      <c r="Y3318" s="101"/>
      <c r="Z3318" s="100"/>
    </row>
    <row r="3319" spans="24:26">
      <c r="X3319" s="2"/>
      <c r="Y3319" s="101"/>
      <c r="Z3319" s="100"/>
    </row>
    <row r="3320" spans="24:26">
      <c r="X3320" s="2"/>
      <c r="Y3320" s="101"/>
      <c r="Z3320" s="100"/>
    </row>
    <row r="3321" spans="24:26">
      <c r="X3321" s="2"/>
      <c r="Y3321" s="101"/>
      <c r="Z3321" s="100"/>
    </row>
    <row r="3322" spans="24:26">
      <c r="X3322" s="2"/>
      <c r="Y3322" s="101"/>
      <c r="Z3322" s="100"/>
    </row>
    <row r="3323" spans="24:26">
      <c r="X3323" s="2"/>
      <c r="Y3323" s="101"/>
      <c r="Z3323" s="100"/>
    </row>
    <row r="3324" spans="24:26">
      <c r="X3324" s="2"/>
      <c r="Y3324" s="101"/>
      <c r="Z3324" s="100"/>
    </row>
    <row r="3325" spans="24:26">
      <c r="X3325" s="2"/>
      <c r="Y3325" s="101"/>
      <c r="Z3325" s="100"/>
    </row>
    <row r="3326" spans="24:26">
      <c r="X3326" s="2"/>
      <c r="Y3326" s="101"/>
      <c r="Z3326" s="100"/>
    </row>
    <row r="3327" spans="24:26">
      <c r="X3327" s="2"/>
      <c r="Y3327" s="101"/>
      <c r="Z3327" s="100"/>
    </row>
    <row r="3328" spans="24:26">
      <c r="X3328" s="2"/>
      <c r="Y3328" s="101"/>
      <c r="Z3328" s="100"/>
    </row>
    <row r="3329" spans="24:26">
      <c r="X3329" s="2"/>
      <c r="Y3329" s="101"/>
      <c r="Z3329" s="100"/>
    </row>
    <row r="3330" spans="24:26">
      <c r="X3330" s="2"/>
      <c r="Y3330" s="101"/>
      <c r="Z3330" s="100"/>
    </row>
    <row r="3331" spans="24:26">
      <c r="X3331" s="2"/>
      <c r="Y3331" s="101"/>
      <c r="Z3331" s="100"/>
    </row>
    <row r="3332" spans="24:26">
      <c r="X3332" s="2"/>
      <c r="Y3332" s="101"/>
      <c r="Z3332" s="100"/>
    </row>
    <row r="3333" spans="24:26">
      <c r="X3333" s="2"/>
      <c r="Y3333" s="101"/>
      <c r="Z3333" s="100"/>
    </row>
    <row r="3334" spans="24:26">
      <c r="X3334" s="2"/>
      <c r="Y3334" s="101"/>
      <c r="Z3334" s="100"/>
    </row>
    <row r="3335" spans="24:26">
      <c r="X3335" s="2"/>
      <c r="Y3335" s="101"/>
      <c r="Z3335" s="100"/>
    </row>
    <row r="3336" spans="24:26">
      <c r="X3336" s="2"/>
      <c r="Y3336" s="101"/>
      <c r="Z3336" s="100"/>
    </row>
    <row r="3337" spans="24:26">
      <c r="X3337" s="2"/>
      <c r="Y3337" s="101"/>
      <c r="Z3337" s="100"/>
    </row>
    <row r="3338" spans="24:26">
      <c r="X3338" s="2"/>
      <c r="Y3338" s="101"/>
      <c r="Z3338" s="100"/>
    </row>
    <row r="3339" spans="24:26">
      <c r="X3339" s="2"/>
      <c r="Y3339" s="101"/>
      <c r="Z3339" s="100"/>
    </row>
    <row r="3340" spans="24:26">
      <c r="X3340" s="2"/>
      <c r="Y3340" s="101"/>
      <c r="Z3340" s="100"/>
    </row>
    <row r="3341" spans="24:26">
      <c r="X3341" s="2"/>
      <c r="Y3341" s="101"/>
      <c r="Z3341" s="100"/>
    </row>
    <row r="3342" spans="24:26">
      <c r="X3342" s="2"/>
      <c r="Y3342" s="101"/>
      <c r="Z3342" s="100"/>
    </row>
    <row r="3343" spans="24:26">
      <c r="X3343" s="2"/>
      <c r="Y3343" s="101"/>
      <c r="Z3343" s="100"/>
    </row>
    <row r="3344" spans="24:26">
      <c r="X3344" s="2"/>
      <c r="Y3344" s="101"/>
      <c r="Z3344" s="100"/>
    </row>
    <row r="3345" spans="24:26">
      <c r="X3345" s="2"/>
      <c r="Y3345" s="101"/>
      <c r="Z3345" s="100"/>
    </row>
    <row r="3346" spans="24:26">
      <c r="X3346" s="2"/>
      <c r="Y3346" s="101"/>
      <c r="Z3346" s="100"/>
    </row>
    <row r="3347" spans="24:26">
      <c r="X3347" s="2"/>
      <c r="Y3347" s="101"/>
      <c r="Z3347" s="100"/>
    </row>
    <row r="3348" spans="24:26">
      <c r="X3348" s="2"/>
      <c r="Y3348" s="101"/>
      <c r="Z3348" s="100"/>
    </row>
    <row r="3349" spans="24:26">
      <c r="X3349" s="2"/>
      <c r="Y3349" s="101"/>
      <c r="Z3349" s="100"/>
    </row>
    <row r="3350" spans="24:26">
      <c r="X3350" s="2"/>
      <c r="Y3350" s="101"/>
      <c r="Z3350" s="100"/>
    </row>
    <row r="3351" spans="24:26">
      <c r="X3351" s="2"/>
      <c r="Y3351" s="101"/>
      <c r="Z3351" s="100"/>
    </row>
    <row r="3352" spans="24:26">
      <c r="X3352" s="2"/>
      <c r="Y3352" s="101"/>
      <c r="Z3352" s="100"/>
    </row>
    <row r="3353" spans="24:26">
      <c r="X3353" s="2"/>
      <c r="Y3353" s="101"/>
      <c r="Z3353" s="100"/>
    </row>
    <row r="3354" spans="24:26">
      <c r="X3354" s="2"/>
      <c r="Y3354" s="101"/>
      <c r="Z3354" s="100"/>
    </row>
    <row r="3355" spans="24:26">
      <c r="X3355" s="2"/>
      <c r="Y3355" s="101"/>
      <c r="Z3355" s="100"/>
    </row>
    <row r="3356" spans="24:26">
      <c r="X3356" s="2"/>
      <c r="Y3356" s="101"/>
      <c r="Z3356" s="100"/>
    </row>
    <row r="3357" spans="24:26">
      <c r="X3357" s="2"/>
      <c r="Y3357" s="101"/>
      <c r="Z3357" s="100"/>
    </row>
    <row r="3358" spans="24:26">
      <c r="X3358" s="2"/>
      <c r="Y3358" s="101"/>
      <c r="Z3358" s="100"/>
    </row>
    <row r="3359" spans="24:26">
      <c r="X3359" s="2"/>
      <c r="Y3359" s="101"/>
      <c r="Z3359" s="100"/>
    </row>
    <row r="3360" spans="24:26">
      <c r="X3360" s="2"/>
      <c r="Y3360" s="101"/>
      <c r="Z3360" s="100"/>
    </row>
    <row r="3361" spans="24:26">
      <c r="X3361" s="2"/>
      <c r="Y3361" s="101"/>
      <c r="Z3361" s="100"/>
    </row>
    <row r="3362" spans="24:26">
      <c r="X3362" s="2"/>
      <c r="Y3362" s="101"/>
      <c r="Z3362" s="100"/>
    </row>
    <row r="3363" spans="24:26">
      <c r="X3363" s="2"/>
      <c r="Y3363" s="101"/>
      <c r="Z3363" s="100"/>
    </row>
    <row r="3364" spans="24:26">
      <c r="X3364" s="2"/>
      <c r="Y3364" s="101"/>
      <c r="Z3364" s="100"/>
    </row>
    <row r="3365" spans="24:26">
      <c r="X3365" s="2"/>
      <c r="Y3365" s="101"/>
      <c r="Z3365" s="100"/>
    </row>
    <row r="3366" spans="24:26">
      <c r="X3366" s="2"/>
      <c r="Y3366" s="101"/>
      <c r="Z3366" s="100"/>
    </row>
    <row r="3367" spans="24:26">
      <c r="X3367" s="2"/>
      <c r="Y3367" s="101"/>
      <c r="Z3367" s="100"/>
    </row>
    <row r="3368" spans="24:26">
      <c r="X3368" s="2"/>
      <c r="Y3368" s="101"/>
      <c r="Z3368" s="100"/>
    </row>
    <row r="3369" spans="24:26">
      <c r="X3369" s="2"/>
      <c r="Y3369" s="101"/>
      <c r="Z3369" s="100"/>
    </row>
    <row r="3370" spans="24:26">
      <c r="X3370" s="2"/>
      <c r="Y3370" s="101"/>
      <c r="Z3370" s="100"/>
    </row>
    <row r="3371" spans="24:26">
      <c r="X3371" s="2"/>
      <c r="Y3371" s="101"/>
      <c r="Z3371" s="100"/>
    </row>
    <row r="3372" spans="24:26">
      <c r="X3372" s="2"/>
      <c r="Y3372" s="101"/>
      <c r="Z3372" s="100"/>
    </row>
    <row r="3373" spans="24:26">
      <c r="X3373" s="2"/>
      <c r="Y3373" s="101"/>
      <c r="Z3373" s="100"/>
    </row>
    <row r="3374" spans="24:26">
      <c r="X3374" s="2"/>
      <c r="Y3374" s="101"/>
      <c r="Z3374" s="100"/>
    </row>
    <row r="3375" spans="24:26">
      <c r="X3375" s="2"/>
      <c r="Y3375" s="101"/>
      <c r="Z3375" s="100"/>
    </row>
    <row r="3376" spans="24:26">
      <c r="X3376" s="2"/>
      <c r="Y3376" s="101"/>
      <c r="Z3376" s="100"/>
    </row>
    <row r="3377" spans="24:26">
      <c r="X3377" s="2"/>
      <c r="Y3377" s="101"/>
      <c r="Z3377" s="100"/>
    </row>
    <row r="3378" spans="24:26">
      <c r="X3378" s="2"/>
      <c r="Y3378" s="101"/>
      <c r="Z3378" s="100"/>
    </row>
    <row r="3379" spans="24:26">
      <c r="X3379" s="2"/>
      <c r="Y3379" s="101"/>
      <c r="Z3379" s="100"/>
    </row>
    <row r="3380" spans="24:26">
      <c r="X3380" s="2"/>
      <c r="Y3380" s="101"/>
      <c r="Z3380" s="100"/>
    </row>
    <row r="3381" spans="24:26">
      <c r="X3381" s="2"/>
      <c r="Y3381" s="101"/>
      <c r="Z3381" s="100"/>
    </row>
    <row r="3382" spans="24:26">
      <c r="X3382" s="2"/>
      <c r="Y3382" s="101"/>
      <c r="Z3382" s="100"/>
    </row>
    <row r="3383" spans="24:26">
      <c r="X3383" s="2"/>
      <c r="Y3383" s="101"/>
      <c r="Z3383" s="100"/>
    </row>
    <row r="3384" spans="24:26">
      <c r="X3384" s="2"/>
      <c r="Y3384" s="101"/>
      <c r="Z3384" s="100"/>
    </row>
    <row r="3385" spans="24:26">
      <c r="X3385" s="2"/>
      <c r="Y3385" s="101"/>
      <c r="Z3385" s="100"/>
    </row>
    <row r="3386" spans="24:26">
      <c r="X3386" s="2"/>
      <c r="Y3386" s="101"/>
      <c r="Z3386" s="100"/>
    </row>
    <row r="3387" spans="24:26">
      <c r="X3387" s="2"/>
      <c r="Y3387" s="101"/>
      <c r="Z3387" s="100"/>
    </row>
    <row r="3388" spans="24:26">
      <c r="X3388" s="2"/>
      <c r="Y3388" s="101"/>
      <c r="Z3388" s="100"/>
    </row>
    <row r="3389" spans="24:26">
      <c r="X3389" s="2"/>
      <c r="Y3389" s="101"/>
      <c r="Z3389" s="100"/>
    </row>
    <row r="3390" spans="24:26">
      <c r="X3390" s="2"/>
      <c r="Y3390" s="101"/>
      <c r="Z3390" s="100"/>
    </row>
    <row r="3391" spans="24:26">
      <c r="X3391" s="2"/>
      <c r="Y3391" s="101"/>
      <c r="Z3391" s="100"/>
    </row>
    <row r="3392" spans="24:26">
      <c r="X3392" s="2"/>
      <c r="Y3392" s="101"/>
      <c r="Z3392" s="100"/>
    </row>
    <row r="3393" spans="24:26">
      <c r="X3393" s="2"/>
      <c r="Y3393" s="101"/>
      <c r="Z3393" s="100"/>
    </row>
    <row r="3394" spans="24:26">
      <c r="X3394" s="2"/>
      <c r="Y3394" s="101"/>
      <c r="Z3394" s="100"/>
    </row>
    <row r="3395" spans="24:26">
      <c r="X3395" s="2"/>
      <c r="Y3395" s="101"/>
      <c r="Z3395" s="100"/>
    </row>
    <row r="3396" spans="24:26">
      <c r="X3396" s="2"/>
      <c r="Y3396" s="101"/>
      <c r="Z3396" s="100"/>
    </row>
    <row r="3397" spans="24:26">
      <c r="X3397" s="2"/>
      <c r="Y3397" s="101"/>
      <c r="Z3397" s="100"/>
    </row>
    <row r="3398" spans="24:26">
      <c r="X3398" s="2"/>
      <c r="Y3398" s="101"/>
      <c r="Z3398" s="100"/>
    </row>
    <row r="3399" spans="24:26">
      <c r="X3399" s="2"/>
      <c r="Y3399" s="101"/>
      <c r="Z3399" s="100"/>
    </row>
    <row r="3400" spans="24:26">
      <c r="X3400" s="2"/>
      <c r="Y3400" s="101"/>
      <c r="Z3400" s="100"/>
    </row>
    <row r="3401" spans="24:26">
      <c r="X3401" s="2"/>
      <c r="Y3401" s="101"/>
      <c r="Z3401" s="100"/>
    </row>
    <row r="3402" spans="24:26">
      <c r="X3402" s="2"/>
      <c r="Y3402" s="101"/>
      <c r="Z3402" s="100"/>
    </row>
    <row r="3403" spans="24:26">
      <c r="X3403" s="2"/>
      <c r="Y3403" s="101"/>
      <c r="Z3403" s="100"/>
    </row>
    <row r="3404" spans="24:26">
      <c r="X3404" s="2"/>
      <c r="Y3404" s="101"/>
      <c r="Z3404" s="100"/>
    </row>
    <row r="3405" spans="24:26">
      <c r="X3405" s="2"/>
      <c r="Y3405" s="101"/>
      <c r="Z3405" s="100"/>
    </row>
    <row r="3406" spans="24:26">
      <c r="X3406" s="2"/>
      <c r="Y3406" s="101"/>
      <c r="Z3406" s="100"/>
    </row>
    <row r="3407" spans="24:26">
      <c r="X3407" s="2"/>
      <c r="Y3407" s="101"/>
      <c r="Z3407" s="100"/>
    </row>
    <row r="3408" spans="24:26">
      <c r="X3408" s="2"/>
      <c r="Y3408" s="101"/>
      <c r="Z3408" s="100"/>
    </row>
    <row r="3409" spans="24:26">
      <c r="X3409" s="2"/>
      <c r="Y3409" s="101"/>
      <c r="Z3409" s="100"/>
    </row>
    <row r="3410" spans="24:26">
      <c r="X3410" s="2"/>
      <c r="Y3410" s="101"/>
      <c r="Z3410" s="100"/>
    </row>
    <row r="3411" spans="24:26">
      <c r="X3411" s="2"/>
      <c r="Y3411" s="101"/>
      <c r="Z3411" s="100"/>
    </row>
    <row r="3412" spans="24:26">
      <c r="X3412" s="2"/>
      <c r="Y3412" s="101"/>
      <c r="Z3412" s="100"/>
    </row>
    <row r="3413" spans="24:26">
      <c r="X3413" s="2"/>
      <c r="Y3413" s="101"/>
      <c r="Z3413" s="100"/>
    </row>
    <row r="3414" spans="24:26">
      <c r="X3414" s="2"/>
      <c r="Y3414" s="101"/>
      <c r="Z3414" s="100"/>
    </row>
    <row r="3415" spans="24:26">
      <c r="X3415" s="2"/>
      <c r="Y3415" s="101"/>
      <c r="Z3415" s="100"/>
    </row>
    <row r="3416" spans="24:26">
      <c r="X3416" s="2"/>
      <c r="Y3416" s="101"/>
      <c r="Z3416" s="100"/>
    </row>
    <row r="3417" spans="24:26">
      <c r="X3417" s="2"/>
      <c r="Y3417" s="101"/>
      <c r="Z3417" s="100"/>
    </row>
    <row r="3418" spans="24:26">
      <c r="X3418" s="2"/>
      <c r="Y3418" s="101"/>
      <c r="Z3418" s="100"/>
    </row>
    <row r="3419" spans="24:26">
      <c r="X3419" s="2"/>
      <c r="Y3419" s="101"/>
      <c r="Z3419" s="100"/>
    </row>
    <row r="3420" spans="24:26">
      <c r="X3420" s="2"/>
      <c r="Y3420" s="101"/>
      <c r="Z3420" s="100"/>
    </row>
    <row r="3421" spans="24:26">
      <c r="X3421" s="2"/>
      <c r="Y3421" s="101"/>
      <c r="Z3421" s="100"/>
    </row>
    <row r="3422" spans="24:26">
      <c r="X3422" s="2"/>
      <c r="Y3422" s="101"/>
      <c r="Z3422" s="100"/>
    </row>
    <row r="3423" spans="24:26">
      <c r="X3423" s="2"/>
      <c r="Y3423" s="101"/>
      <c r="Z3423" s="100"/>
    </row>
    <row r="3424" spans="24:26">
      <c r="X3424" s="2"/>
      <c r="Y3424" s="101"/>
      <c r="Z3424" s="100"/>
    </row>
    <row r="3425" spans="24:26">
      <c r="X3425" s="2"/>
      <c r="Y3425" s="101"/>
      <c r="Z3425" s="100"/>
    </row>
    <row r="3426" spans="24:26">
      <c r="X3426" s="2"/>
      <c r="Y3426" s="101"/>
      <c r="Z3426" s="100"/>
    </row>
    <row r="3427" spans="24:26">
      <c r="X3427" s="2"/>
      <c r="Y3427" s="101"/>
      <c r="Z3427" s="100"/>
    </row>
    <row r="3428" spans="24:26">
      <c r="X3428" s="2"/>
      <c r="Y3428" s="101"/>
      <c r="Z3428" s="100"/>
    </row>
    <row r="3429" spans="24:26">
      <c r="X3429" s="2"/>
      <c r="Y3429" s="101"/>
      <c r="Z3429" s="100"/>
    </row>
    <row r="3430" spans="24:26">
      <c r="X3430" s="2"/>
      <c r="Y3430" s="101"/>
      <c r="Z3430" s="100"/>
    </row>
    <row r="3431" spans="24:26">
      <c r="X3431" s="2"/>
      <c r="Y3431" s="101"/>
      <c r="Z3431" s="100"/>
    </row>
    <row r="3432" spans="24:26">
      <c r="X3432" s="2"/>
      <c r="Y3432" s="101"/>
      <c r="Z3432" s="100"/>
    </row>
    <row r="3433" spans="24:26">
      <c r="X3433" s="2"/>
      <c r="Y3433" s="101"/>
      <c r="Z3433" s="100"/>
    </row>
    <row r="3434" spans="24:26">
      <c r="X3434" s="2"/>
      <c r="Y3434" s="101"/>
      <c r="Z3434" s="100"/>
    </row>
    <row r="3435" spans="24:26">
      <c r="X3435" s="2"/>
      <c r="Y3435" s="101"/>
      <c r="Z3435" s="100"/>
    </row>
    <row r="3436" spans="24:26">
      <c r="X3436" s="2"/>
      <c r="Y3436" s="101"/>
      <c r="Z3436" s="100"/>
    </row>
    <row r="3437" spans="24:26">
      <c r="X3437" s="2"/>
      <c r="Y3437" s="101"/>
      <c r="Z3437" s="100"/>
    </row>
    <row r="3438" spans="24:26">
      <c r="X3438" s="2"/>
      <c r="Y3438" s="101"/>
      <c r="Z3438" s="100"/>
    </row>
    <row r="3439" spans="24:26">
      <c r="X3439" s="2"/>
      <c r="Y3439" s="101"/>
      <c r="Z3439" s="100"/>
    </row>
    <row r="3440" spans="24:26">
      <c r="X3440" s="2"/>
      <c r="Y3440" s="101"/>
      <c r="Z3440" s="100"/>
    </row>
    <row r="3441" spans="24:26">
      <c r="X3441" s="2"/>
      <c r="Y3441" s="101"/>
      <c r="Z3441" s="100"/>
    </row>
    <row r="3442" spans="24:26">
      <c r="X3442" s="2"/>
      <c r="Y3442" s="101"/>
      <c r="Z3442" s="100"/>
    </row>
    <row r="3443" spans="24:26">
      <c r="X3443" s="2"/>
      <c r="Y3443" s="101"/>
      <c r="Z3443" s="100"/>
    </row>
    <row r="3444" spans="24:26">
      <c r="X3444" s="2"/>
      <c r="Y3444" s="101"/>
      <c r="Z3444" s="100"/>
    </row>
    <row r="3445" spans="24:26">
      <c r="X3445" s="2"/>
      <c r="Y3445" s="101"/>
      <c r="Z3445" s="100"/>
    </row>
    <row r="3446" spans="24:26">
      <c r="X3446" s="2"/>
      <c r="Y3446" s="101"/>
      <c r="Z3446" s="100"/>
    </row>
    <row r="3447" spans="24:26">
      <c r="X3447" s="2"/>
      <c r="Y3447" s="101"/>
      <c r="Z3447" s="100"/>
    </row>
    <row r="3448" spans="24:26">
      <c r="X3448" s="2"/>
      <c r="Y3448" s="101"/>
      <c r="Z3448" s="100"/>
    </row>
    <row r="3449" spans="24:26">
      <c r="X3449" s="2"/>
      <c r="Y3449" s="101"/>
      <c r="Z3449" s="100"/>
    </row>
    <row r="3450" spans="24:26">
      <c r="X3450" s="2"/>
      <c r="Y3450" s="101"/>
      <c r="Z3450" s="100"/>
    </row>
    <row r="3451" spans="24:26">
      <c r="X3451" s="2"/>
      <c r="Y3451" s="101"/>
      <c r="Z3451" s="100"/>
    </row>
    <row r="3452" spans="24:26">
      <c r="X3452" s="2"/>
      <c r="Y3452" s="101"/>
      <c r="Z3452" s="100"/>
    </row>
    <row r="3453" spans="24:26">
      <c r="X3453" s="2"/>
      <c r="Y3453" s="101"/>
      <c r="Z3453" s="100"/>
    </row>
    <row r="3454" spans="24:26">
      <c r="X3454" s="2"/>
      <c r="Y3454" s="101"/>
      <c r="Z3454" s="100"/>
    </row>
    <row r="3455" spans="24:26">
      <c r="X3455" s="2"/>
      <c r="Y3455" s="101"/>
      <c r="Z3455" s="100"/>
    </row>
    <row r="3456" spans="24:26">
      <c r="X3456" s="2"/>
      <c r="Y3456" s="101"/>
      <c r="Z3456" s="100"/>
    </row>
    <row r="3457" spans="24:26">
      <c r="X3457" s="2"/>
      <c r="Y3457" s="101"/>
      <c r="Z3457" s="100"/>
    </row>
    <row r="3458" spans="24:26">
      <c r="X3458" s="2"/>
      <c r="Y3458" s="101"/>
      <c r="Z3458" s="100"/>
    </row>
    <row r="3459" spans="24:26">
      <c r="X3459" s="2"/>
      <c r="Y3459" s="101"/>
      <c r="Z3459" s="100"/>
    </row>
    <row r="3460" spans="24:26">
      <c r="X3460" s="2"/>
      <c r="Y3460" s="101"/>
      <c r="Z3460" s="100"/>
    </row>
    <row r="3461" spans="24:26">
      <c r="X3461" s="2"/>
      <c r="Y3461" s="101"/>
      <c r="Z3461" s="100"/>
    </row>
    <row r="3462" spans="24:26">
      <c r="X3462" s="2"/>
      <c r="Y3462" s="101"/>
      <c r="Z3462" s="100"/>
    </row>
    <row r="3463" spans="24:26">
      <c r="X3463" s="2"/>
      <c r="Y3463" s="101"/>
      <c r="Z3463" s="100"/>
    </row>
    <row r="3464" spans="24:26">
      <c r="X3464" s="2"/>
      <c r="Y3464" s="101"/>
      <c r="Z3464" s="100"/>
    </row>
    <row r="3465" spans="24:26">
      <c r="X3465" s="2"/>
      <c r="Y3465" s="101"/>
      <c r="Z3465" s="100"/>
    </row>
    <row r="3466" spans="24:26">
      <c r="X3466" s="2"/>
      <c r="Y3466" s="101"/>
      <c r="Z3466" s="100"/>
    </row>
    <row r="3467" spans="24:26">
      <c r="X3467" s="2"/>
      <c r="Y3467" s="101"/>
      <c r="Z3467" s="100"/>
    </row>
    <row r="3468" spans="24:26">
      <c r="X3468" s="2"/>
      <c r="Y3468" s="101"/>
      <c r="Z3468" s="100"/>
    </row>
    <row r="3469" spans="24:26">
      <c r="X3469" s="2"/>
      <c r="Y3469" s="101"/>
      <c r="Z3469" s="100"/>
    </row>
    <row r="3470" spans="24:26">
      <c r="X3470" s="2"/>
      <c r="Y3470" s="101"/>
      <c r="Z3470" s="100"/>
    </row>
    <row r="3471" spans="24:26">
      <c r="X3471" s="2"/>
      <c r="Y3471" s="101"/>
      <c r="Z3471" s="100"/>
    </row>
    <row r="3472" spans="24:26">
      <c r="X3472" s="2"/>
      <c r="Y3472" s="101"/>
      <c r="Z3472" s="100"/>
    </row>
    <row r="3473" spans="24:26">
      <c r="X3473" s="2"/>
      <c r="Y3473" s="101"/>
      <c r="Z3473" s="100"/>
    </row>
    <row r="3474" spans="24:26">
      <c r="X3474" s="2"/>
      <c r="Y3474" s="101"/>
      <c r="Z3474" s="100"/>
    </row>
    <row r="3475" spans="24:26">
      <c r="X3475" s="2"/>
      <c r="Y3475" s="101"/>
      <c r="Z3475" s="100"/>
    </row>
    <row r="3476" spans="24:26">
      <c r="X3476" s="2"/>
      <c r="Y3476" s="101"/>
      <c r="Z3476" s="100"/>
    </row>
    <row r="3477" spans="24:26">
      <c r="X3477" s="2"/>
      <c r="Y3477" s="101"/>
      <c r="Z3477" s="100"/>
    </row>
    <row r="3478" spans="24:26">
      <c r="X3478" s="2"/>
      <c r="Y3478" s="101"/>
      <c r="Z3478" s="100"/>
    </row>
    <row r="3479" spans="24:26">
      <c r="X3479" s="2"/>
      <c r="Y3479" s="101"/>
      <c r="Z3479" s="100"/>
    </row>
    <row r="3480" spans="24:26">
      <c r="X3480" s="2"/>
      <c r="Y3480" s="101"/>
      <c r="Z3480" s="100"/>
    </row>
    <row r="3481" spans="24:26">
      <c r="X3481" s="2"/>
      <c r="Y3481" s="101"/>
      <c r="Z3481" s="100"/>
    </row>
    <row r="3482" spans="24:26">
      <c r="X3482" s="2"/>
      <c r="Y3482" s="101"/>
      <c r="Z3482" s="100"/>
    </row>
    <row r="3483" spans="24:26">
      <c r="X3483" s="2"/>
      <c r="Y3483" s="101"/>
      <c r="Z3483" s="100"/>
    </row>
    <row r="3484" spans="24:26">
      <c r="X3484" s="2"/>
      <c r="Y3484" s="101"/>
      <c r="Z3484" s="100"/>
    </row>
    <row r="3485" spans="24:26">
      <c r="X3485" s="2"/>
      <c r="Y3485" s="101"/>
      <c r="Z3485" s="100"/>
    </row>
    <row r="3486" spans="24:26">
      <c r="X3486" s="2"/>
      <c r="Y3486" s="101"/>
      <c r="Z3486" s="100"/>
    </row>
    <row r="3487" spans="24:26">
      <c r="X3487" s="2"/>
      <c r="Y3487" s="101"/>
      <c r="Z3487" s="100"/>
    </row>
    <row r="3488" spans="24:26">
      <c r="X3488" s="2"/>
      <c r="Y3488" s="101"/>
      <c r="Z3488" s="100"/>
    </row>
    <row r="3489" spans="24:26">
      <c r="X3489" s="2"/>
      <c r="Y3489" s="101"/>
      <c r="Z3489" s="100"/>
    </row>
    <row r="3490" spans="24:26">
      <c r="X3490" s="2"/>
      <c r="Y3490" s="101"/>
      <c r="Z3490" s="100"/>
    </row>
    <row r="3491" spans="24:26">
      <c r="X3491" s="2"/>
      <c r="Y3491" s="101"/>
      <c r="Z3491" s="100"/>
    </row>
    <row r="3492" spans="24:26">
      <c r="X3492" s="2"/>
      <c r="Y3492" s="101"/>
      <c r="Z3492" s="100"/>
    </row>
    <row r="3493" spans="24:26">
      <c r="X3493" s="2"/>
      <c r="Y3493" s="101"/>
      <c r="Z3493" s="100"/>
    </row>
    <row r="3494" spans="24:26">
      <c r="X3494" s="2"/>
      <c r="Y3494" s="101"/>
      <c r="Z3494" s="100"/>
    </row>
    <row r="3495" spans="24:26">
      <c r="X3495" s="2"/>
      <c r="Y3495" s="101"/>
      <c r="Z3495" s="100"/>
    </row>
    <row r="3496" spans="24:26">
      <c r="X3496" s="2"/>
      <c r="Y3496" s="101"/>
      <c r="Z3496" s="100"/>
    </row>
    <row r="3497" spans="24:26">
      <c r="X3497" s="2"/>
      <c r="Y3497" s="101"/>
      <c r="Z3497" s="100"/>
    </row>
    <row r="3498" spans="24:26">
      <c r="X3498" s="2"/>
      <c r="Y3498" s="101"/>
      <c r="Z3498" s="100"/>
    </row>
    <row r="3499" spans="24:26">
      <c r="X3499" s="2"/>
      <c r="Y3499" s="101"/>
      <c r="Z3499" s="100"/>
    </row>
    <row r="3500" spans="24:26">
      <c r="X3500" s="2"/>
      <c r="Y3500" s="101"/>
      <c r="Z3500" s="100"/>
    </row>
    <row r="3501" spans="24:26">
      <c r="X3501" s="2"/>
      <c r="Y3501" s="101"/>
      <c r="Z3501" s="100"/>
    </row>
    <row r="3502" spans="24:26">
      <c r="X3502" s="2"/>
      <c r="Y3502" s="101"/>
      <c r="Z3502" s="100"/>
    </row>
    <row r="3503" spans="24:26">
      <c r="X3503" s="2"/>
      <c r="Y3503" s="101"/>
      <c r="Z3503" s="100"/>
    </row>
    <row r="3504" spans="24:26">
      <c r="X3504" s="2"/>
      <c r="Y3504" s="101"/>
      <c r="Z3504" s="100"/>
    </row>
    <row r="3505" spans="24:26">
      <c r="X3505" s="2"/>
      <c r="Y3505" s="101"/>
      <c r="Z3505" s="100"/>
    </row>
    <row r="3506" spans="24:26">
      <c r="X3506" s="2"/>
      <c r="Y3506" s="101"/>
      <c r="Z3506" s="100"/>
    </row>
    <row r="3507" spans="24:26">
      <c r="X3507" s="2"/>
      <c r="Y3507" s="101"/>
      <c r="Z3507" s="100"/>
    </row>
    <row r="3508" spans="24:26">
      <c r="X3508" s="2"/>
      <c r="Y3508" s="101"/>
      <c r="Z3508" s="100"/>
    </row>
    <row r="3509" spans="24:26">
      <c r="X3509" s="2"/>
      <c r="Y3509" s="101"/>
      <c r="Z3509" s="100"/>
    </row>
    <row r="3510" spans="24:26">
      <c r="X3510" s="2"/>
      <c r="Y3510" s="101"/>
      <c r="Z3510" s="100"/>
    </row>
    <row r="3511" spans="24:26">
      <c r="X3511" s="2"/>
      <c r="Y3511" s="101"/>
      <c r="Z3511" s="100"/>
    </row>
    <row r="3512" spans="24:26">
      <c r="X3512" s="2"/>
      <c r="Y3512" s="101"/>
      <c r="Z3512" s="100"/>
    </row>
    <row r="3513" spans="24:26">
      <c r="X3513" s="2"/>
      <c r="Y3513" s="101"/>
      <c r="Z3513" s="100"/>
    </row>
    <row r="3514" spans="24:26">
      <c r="X3514" s="2"/>
      <c r="Y3514" s="101"/>
      <c r="Z3514" s="100"/>
    </row>
    <row r="3515" spans="24:26">
      <c r="X3515" s="2"/>
      <c r="Y3515" s="101"/>
      <c r="Z3515" s="100"/>
    </row>
    <row r="3516" spans="24:26">
      <c r="X3516" s="2"/>
      <c r="Y3516" s="101"/>
      <c r="Z3516" s="100"/>
    </row>
    <row r="3517" spans="24:26">
      <c r="X3517" s="2"/>
      <c r="Y3517" s="101"/>
      <c r="Z3517" s="100"/>
    </row>
    <row r="3518" spans="24:26">
      <c r="X3518" s="2"/>
      <c r="Y3518" s="101"/>
      <c r="Z3518" s="100"/>
    </row>
    <row r="3519" spans="24:26">
      <c r="X3519" s="2"/>
      <c r="Y3519" s="101"/>
      <c r="Z3519" s="100"/>
    </row>
    <row r="3520" spans="24:26">
      <c r="X3520" s="2"/>
      <c r="Y3520" s="101"/>
      <c r="Z3520" s="100"/>
    </row>
    <row r="3521" spans="24:26">
      <c r="X3521" s="2"/>
      <c r="Y3521" s="101"/>
      <c r="Z3521" s="100"/>
    </row>
    <row r="3522" spans="24:26">
      <c r="X3522" s="2"/>
      <c r="Y3522" s="101"/>
      <c r="Z3522" s="100"/>
    </row>
    <row r="3523" spans="24:26">
      <c r="X3523" s="2"/>
      <c r="Y3523" s="101"/>
      <c r="Z3523" s="100"/>
    </row>
    <row r="3524" spans="24:26">
      <c r="X3524" s="2"/>
      <c r="Y3524" s="101"/>
      <c r="Z3524" s="100"/>
    </row>
    <row r="3525" spans="24:26">
      <c r="X3525" s="2"/>
      <c r="Y3525" s="101"/>
      <c r="Z3525" s="100"/>
    </row>
    <row r="3526" spans="24:26">
      <c r="X3526" s="2"/>
      <c r="Y3526" s="101"/>
      <c r="Z3526" s="100"/>
    </row>
    <row r="3527" spans="24:26">
      <c r="X3527" s="2"/>
      <c r="Y3527" s="101"/>
      <c r="Z3527" s="100"/>
    </row>
    <row r="3528" spans="24:26">
      <c r="X3528" s="2"/>
      <c r="Y3528" s="101"/>
      <c r="Z3528" s="100"/>
    </row>
    <row r="3529" spans="24:26">
      <c r="X3529" s="2"/>
      <c r="Y3529" s="101"/>
      <c r="Z3529" s="100"/>
    </row>
    <row r="3530" spans="24:26">
      <c r="X3530" s="2"/>
      <c r="Y3530" s="101"/>
      <c r="Z3530" s="100"/>
    </row>
    <row r="3531" spans="24:26">
      <c r="X3531" s="2"/>
      <c r="Y3531" s="101"/>
      <c r="Z3531" s="100"/>
    </row>
    <row r="3532" spans="24:26">
      <c r="X3532" s="2"/>
      <c r="Y3532" s="101"/>
      <c r="Z3532" s="100"/>
    </row>
    <row r="3533" spans="24:26">
      <c r="X3533" s="2"/>
      <c r="Y3533" s="101"/>
      <c r="Z3533" s="100"/>
    </row>
    <row r="3534" spans="24:26">
      <c r="X3534" s="2"/>
      <c r="Y3534" s="101"/>
      <c r="Z3534" s="100"/>
    </row>
    <row r="3535" spans="24:26">
      <c r="X3535" s="2"/>
      <c r="Y3535" s="101"/>
      <c r="Z3535" s="100"/>
    </row>
    <row r="3536" spans="24:26">
      <c r="X3536" s="2"/>
      <c r="Y3536" s="101"/>
      <c r="Z3536" s="100"/>
    </row>
    <row r="3537" spans="24:26">
      <c r="X3537" s="2"/>
      <c r="Y3537" s="101"/>
      <c r="Z3537" s="100"/>
    </row>
    <row r="3538" spans="24:26">
      <c r="X3538" s="2"/>
      <c r="Y3538" s="101"/>
      <c r="Z3538" s="100"/>
    </row>
    <row r="3539" spans="24:26">
      <c r="X3539" s="2"/>
      <c r="Y3539" s="101"/>
      <c r="Z3539" s="100"/>
    </row>
    <row r="3540" spans="24:26">
      <c r="X3540" s="2"/>
      <c r="Y3540" s="101"/>
      <c r="Z3540" s="100"/>
    </row>
    <row r="3541" spans="24:26">
      <c r="X3541" s="2"/>
      <c r="Y3541" s="101"/>
      <c r="Z3541" s="100"/>
    </row>
    <row r="3542" spans="24:26">
      <c r="X3542" s="2"/>
      <c r="Y3542" s="101"/>
      <c r="Z3542" s="100"/>
    </row>
    <row r="3543" spans="24:26">
      <c r="X3543" s="2"/>
      <c r="Y3543" s="101"/>
      <c r="Z3543" s="100"/>
    </row>
    <row r="3544" spans="24:26">
      <c r="X3544" s="2"/>
      <c r="Y3544" s="101"/>
      <c r="Z3544" s="100"/>
    </row>
    <row r="3545" spans="24:26">
      <c r="X3545" s="2"/>
      <c r="Y3545" s="101"/>
      <c r="Z3545" s="100"/>
    </row>
    <row r="3546" spans="24:26">
      <c r="X3546" s="2"/>
      <c r="Y3546" s="101"/>
      <c r="Z3546" s="100"/>
    </row>
    <row r="3547" spans="24:26">
      <c r="X3547" s="2"/>
      <c r="Y3547" s="101"/>
      <c r="Z3547" s="100"/>
    </row>
    <row r="3548" spans="24:26">
      <c r="X3548" s="2"/>
      <c r="Y3548" s="101"/>
      <c r="Z3548" s="100"/>
    </row>
    <row r="3549" spans="24:26">
      <c r="X3549" s="2"/>
      <c r="Y3549" s="101"/>
      <c r="Z3549" s="100"/>
    </row>
    <row r="3550" spans="24:26">
      <c r="X3550" s="2"/>
      <c r="Y3550" s="101"/>
      <c r="Z3550" s="100"/>
    </row>
    <row r="3551" spans="24:26">
      <c r="X3551" s="2"/>
      <c r="Y3551" s="101"/>
      <c r="Z3551" s="100"/>
    </row>
    <row r="3552" spans="24:26">
      <c r="X3552" s="2"/>
      <c r="Y3552" s="101"/>
      <c r="Z3552" s="100"/>
    </row>
    <row r="3553" spans="24:26">
      <c r="X3553" s="2"/>
      <c r="Y3553" s="101"/>
      <c r="Z3553" s="100"/>
    </row>
    <row r="3554" spans="24:26">
      <c r="X3554" s="2"/>
      <c r="Y3554" s="101"/>
      <c r="Z3554" s="100"/>
    </row>
    <row r="3555" spans="24:26">
      <c r="X3555" s="2"/>
      <c r="Y3555" s="101"/>
      <c r="Z3555" s="100"/>
    </row>
    <row r="3556" spans="24:26">
      <c r="X3556" s="2"/>
      <c r="Y3556" s="101"/>
      <c r="Z3556" s="100"/>
    </row>
    <row r="3557" spans="24:26">
      <c r="X3557" s="2"/>
      <c r="Y3557" s="101"/>
      <c r="Z3557" s="100"/>
    </row>
    <row r="3558" spans="24:26">
      <c r="X3558" s="2"/>
      <c r="Y3558" s="101"/>
      <c r="Z3558" s="100"/>
    </row>
    <row r="3559" spans="24:26">
      <c r="X3559" s="2"/>
      <c r="Y3559" s="101"/>
      <c r="Z3559" s="100"/>
    </row>
    <row r="3560" spans="24:26">
      <c r="X3560" s="2"/>
      <c r="Y3560" s="101"/>
      <c r="Z3560" s="100"/>
    </row>
    <row r="3561" spans="24:26">
      <c r="X3561" s="2"/>
      <c r="Y3561" s="101"/>
      <c r="Z3561" s="100"/>
    </row>
    <row r="3562" spans="24:26">
      <c r="X3562" s="2"/>
      <c r="Y3562" s="101"/>
      <c r="Z3562" s="100"/>
    </row>
    <row r="3563" spans="24:26">
      <c r="X3563" s="2"/>
      <c r="Y3563" s="101"/>
      <c r="Z3563" s="100"/>
    </row>
    <row r="3564" spans="24:26">
      <c r="X3564" s="2"/>
      <c r="Y3564" s="101"/>
      <c r="Z3564" s="100"/>
    </row>
    <row r="3565" spans="24:26">
      <c r="X3565" s="2"/>
      <c r="Y3565" s="101"/>
      <c r="Z3565" s="100"/>
    </row>
    <row r="3566" spans="24:26">
      <c r="X3566" s="2"/>
      <c r="Y3566" s="101"/>
      <c r="Z3566" s="100"/>
    </row>
    <row r="3567" spans="24:26">
      <c r="X3567" s="2"/>
      <c r="Y3567" s="101"/>
      <c r="Z3567" s="100"/>
    </row>
    <row r="3568" spans="24:26">
      <c r="X3568" s="2"/>
      <c r="Y3568" s="101"/>
      <c r="Z3568" s="100"/>
    </row>
    <row r="3569" spans="24:26">
      <c r="X3569" s="2"/>
      <c r="Y3569" s="101"/>
      <c r="Z3569" s="100"/>
    </row>
    <row r="3570" spans="24:26">
      <c r="X3570" s="2"/>
      <c r="Y3570" s="101"/>
      <c r="Z3570" s="100"/>
    </row>
    <row r="3571" spans="24:26">
      <c r="X3571" s="2"/>
      <c r="Y3571" s="101"/>
      <c r="Z3571" s="100"/>
    </row>
    <row r="3572" spans="24:26">
      <c r="X3572" s="2"/>
      <c r="Y3572" s="101"/>
      <c r="Z3572" s="100"/>
    </row>
    <row r="3573" spans="24:26">
      <c r="X3573" s="2"/>
      <c r="Y3573" s="101"/>
      <c r="Z3573" s="100"/>
    </row>
    <row r="3574" spans="24:26">
      <c r="X3574" s="2"/>
      <c r="Y3574" s="101"/>
      <c r="Z3574" s="100"/>
    </row>
    <row r="3575" spans="24:26">
      <c r="X3575" s="2"/>
      <c r="Y3575" s="101"/>
      <c r="Z3575" s="100"/>
    </row>
    <row r="3576" spans="24:26">
      <c r="X3576" s="2"/>
      <c r="Y3576" s="101"/>
      <c r="Z3576" s="100"/>
    </row>
    <row r="3577" spans="24:26">
      <c r="X3577" s="2"/>
      <c r="Y3577" s="101"/>
      <c r="Z3577" s="100"/>
    </row>
    <row r="3578" spans="24:26">
      <c r="X3578" s="2"/>
      <c r="Y3578" s="101"/>
      <c r="Z3578" s="100"/>
    </row>
    <row r="3579" spans="24:26">
      <c r="X3579" s="2"/>
      <c r="Y3579" s="101"/>
      <c r="Z3579" s="100"/>
    </row>
    <row r="3580" spans="24:26">
      <c r="X3580" s="2"/>
      <c r="Y3580" s="101"/>
      <c r="Z3580" s="100"/>
    </row>
    <row r="3581" spans="24:26">
      <c r="X3581" s="2"/>
      <c r="Y3581" s="101"/>
      <c r="Z3581" s="100"/>
    </row>
    <row r="3582" spans="24:26">
      <c r="X3582" s="2"/>
      <c r="Y3582" s="101"/>
      <c r="Z3582" s="100"/>
    </row>
    <row r="3583" spans="24:26">
      <c r="X3583" s="2"/>
      <c r="Y3583" s="101"/>
      <c r="Z3583" s="100"/>
    </row>
    <row r="3584" spans="24:26">
      <c r="X3584" s="2"/>
      <c r="Y3584" s="101"/>
      <c r="Z3584" s="100"/>
    </row>
    <row r="3585" spans="24:26">
      <c r="X3585" s="2"/>
      <c r="Y3585" s="101"/>
      <c r="Z3585" s="100"/>
    </row>
    <row r="3586" spans="24:26">
      <c r="X3586" s="2"/>
      <c r="Y3586" s="101"/>
      <c r="Z3586" s="100"/>
    </row>
    <row r="3587" spans="24:26">
      <c r="X3587" s="2"/>
      <c r="Y3587" s="101"/>
      <c r="Z3587" s="100"/>
    </row>
    <row r="3588" spans="24:26">
      <c r="X3588" s="2"/>
      <c r="Y3588" s="101"/>
      <c r="Z3588" s="100"/>
    </row>
    <row r="3589" spans="24:26">
      <c r="X3589" s="2"/>
      <c r="Y3589" s="101"/>
      <c r="Z3589" s="100"/>
    </row>
    <row r="3590" spans="24:26">
      <c r="X3590" s="2"/>
      <c r="Y3590" s="101"/>
      <c r="Z3590" s="100"/>
    </row>
    <row r="3591" spans="24:26">
      <c r="X3591" s="2"/>
      <c r="Y3591" s="101"/>
      <c r="Z3591" s="100"/>
    </row>
    <row r="3592" spans="24:26">
      <c r="X3592" s="2"/>
      <c r="Y3592" s="101"/>
      <c r="Z3592" s="100"/>
    </row>
    <row r="3593" spans="24:26">
      <c r="X3593" s="2"/>
      <c r="Y3593" s="101"/>
      <c r="Z3593" s="100"/>
    </row>
    <row r="3594" spans="24:26">
      <c r="X3594" s="2"/>
      <c r="Y3594" s="101"/>
      <c r="Z3594" s="100"/>
    </row>
    <row r="3595" spans="24:26">
      <c r="X3595" s="2"/>
      <c r="Y3595" s="101"/>
      <c r="Z3595" s="100"/>
    </row>
    <row r="3596" spans="24:26">
      <c r="X3596" s="2"/>
      <c r="Y3596" s="101"/>
      <c r="Z3596" s="100"/>
    </row>
    <row r="3597" spans="24:26">
      <c r="X3597" s="2"/>
      <c r="Y3597" s="101"/>
      <c r="Z3597" s="100"/>
    </row>
    <row r="3598" spans="24:26">
      <c r="X3598" s="2"/>
      <c r="Y3598" s="101"/>
      <c r="Z3598" s="100"/>
    </row>
    <row r="3599" spans="24:26">
      <c r="X3599" s="2"/>
      <c r="Y3599" s="101"/>
      <c r="Z3599" s="100"/>
    </row>
    <row r="3600" spans="24:26">
      <c r="X3600" s="2"/>
      <c r="Y3600" s="101"/>
      <c r="Z3600" s="100"/>
    </row>
    <row r="3601" spans="24:26">
      <c r="X3601" s="2"/>
      <c r="Y3601" s="101"/>
      <c r="Z3601" s="100"/>
    </row>
    <row r="3602" spans="24:26">
      <c r="X3602" s="2"/>
      <c r="Y3602" s="101"/>
      <c r="Z3602" s="100"/>
    </row>
    <row r="3603" spans="24:26">
      <c r="X3603" s="2"/>
      <c r="Y3603" s="101"/>
      <c r="Z3603" s="100"/>
    </row>
    <row r="3604" spans="24:26">
      <c r="X3604" s="2"/>
      <c r="Y3604" s="101"/>
      <c r="Z3604" s="100"/>
    </row>
    <row r="3605" spans="24:26">
      <c r="X3605" s="2"/>
      <c r="Y3605" s="101"/>
      <c r="Z3605" s="100"/>
    </row>
    <row r="3606" spans="24:26">
      <c r="X3606" s="2"/>
      <c r="Y3606" s="101"/>
      <c r="Z3606" s="100"/>
    </row>
    <row r="3607" spans="24:26">
      <c r="X3607" s="2"/>
      <c r="Y3607" s="101"/>
      <c r="Z3607" s="100"/>
    </row>
    <row r="3608" spans="24:26">
      <c r="X3608" s="2"/>
      <c r="Y3608" s="101"/>
      <c r="Z3608" s="100"/>
    </row>
    <row r="3609" spans="24:26">
      <c r="X3609" s="2"/>
      <c r="Y3609" s="101"/>
      <c r="Z3609" s="100"/>
    </row>
    <row r="3610" spans="24:26">
      <c r="X3610" s="2"/>
      <c r="Y3610" s="101"/>
      <c r="Z3610" s="100"/>
    </row>
    <row r="3611" spans="24:26">
      <c r="X3611" s="2"/>
      <c r="Y3611" s="101"/>
      <c r="Z3611" s="100"/>
    </row>
    <row r="3612" spans="24:26">
      <c r="X3612" s="2"/>
      <c r="Y3612" s="101"/>
      <c r="Z3612" s="100"/>
    </row>
    <row r="3613" spans="24:26">
      <c r="X3613" s="2"/>
      <c r="Y3613" s="101"/>
      <c r="Z3613" s="100"/>
    </row>
    <row r="3614" spans="24:26">
      <c r="X3614" s="2"/>
      <c r="Y3614" s="101"/>
      <c r="Z3614" s="100"/>
    </row>
    <row r="3615" spans="24:26">
      <c r="X3615" s="2"/>
      <c r="Y3615" s="101"/>
      <c r="Z3615" s="100"/>
    </row>
    <row r="3616" spans="24:26">
      <c r="X3616" s="2"/>
      <c r="Y3616" s="101"/>
      <c r="Z3616" s="100"/>
    </row>
    <row r="3617" spans="24:26">
      <c r="X3617" s="2"/>
      <c r="Y3617" s="101"/>
      <c r="Z3617" s="100"/>
    </row>
    <row r="3618" spans="24:26">
      <c r="X3618" s="2"/>
      <c r="Y3618" s="101"/>
      <c r="Z3618" s="100"/>
    </row>
    <row r="3619" spans="24:26">
      <c r="X3619" s="2"/>
      <c r="Y3619" s="101"/>
      <c r="Z3619" s="100"/>
    </row>
    <row r="3620" spans="24:26">
      <c r="X3620" s="2"/>
      <c r="Y3620" s="101"/>
      <c r="Z3620" s="100"/>
    </row>
    <row r="3621" spans="24:26">
      <c r="X3621" s="2"/>
      <c r="Y3621" s="101"/>
      <c r="Z3621" s="100"/>
    </row>
    <row r="3622" spans="24:26">
      <c r="X3622" s="2"/>
      <c r="Y3622" s="101"/>
      <c r="Z3622" s="100"/>
    </row>
    <row r="3623" spans="24:26">
      <c r="X3623" s="2"/>
      <c r="Y3623" s="101"/>
      <c r="Z3623" s="100"/>
    </row>
    <row r="3624" spans="24:26">
      <c r="X3624" s="2"/>
      <c r="Y3624" s="101"/>
      <c r="Z3624" s="100"/>
    </row>
    <row r="3625" spans="24:26">
      <c r="X3625" s="2"/>
      <c r="Y3625" s="101"/>
      <c r="Z3625" s="100"/>
    </row>
    <row r="3626" spans="24:26">
      <c r="X3626" s="2"/>
      <c r="Y3626" s="101"/>
      <c r="Z3626" s="100"/>
    </row>
    <row r="3627" spans="24:26">
      <c r="X3627" s="2"/>
      <c r="Y3627" s="101"/>
      <c r="Z3627" s="100"/>
    </row>
    <row r="3628" spans="24:26">
      <c r="X3628" s="2"/>
      <c r="Y3628" s="101"/>
      <c r="Z3628" s="100"/>
    </row>
    <row r="3629" spans="24:26">
      <c r="X3629" s="2"/>
      <c r="Y3629" s="101"/>
      <c r="Z3629" s="100"/>
    </row>
    <row r="3630" spans="24:26">
      <c r="X3630" s="2"/>
      <c r="Y3630" s="101"/>
      <c r="Z3630" s="100"/>
    </row>
    <row r="3631" spans="24:26">
      <c r="X3631" s="2"/>
      <c r="Y3631" s="101"/>
      <c r="Z3631" s="100"/>
    </row>
    <row r="3632" spans="24:26">
      <c r="X3632" s="2"/>
      <c r="Y3632" s="101"/>
      <c r="Z3632" s="100"/>
    </row>
    <row r="3633" spans="24:26">
      <c r="X3633" s="2"/>
      <c r="Y3633" s="101"/>
      <c r="Z3633" s="100"/>
    </row>
    <row r="3634" spans="24:26">
      <c r="X3634" s="2"/>
      <c r="Y3634" s="101"/>
      <c r="Z3634" s="100"/>
    </row>
    <row r="3635" spans="24:26">
      <c r="X3635" s="2"/>
      <c r="Y3635" s="101"/>
      <c r="Z3635" s="100"/>
    </row>
    <row r="3636" spans="24:26">
      <c r="X3636" s="2"/>
      <c r="Y3636" s="101"/>
      <c r="Z3636" s="100"/>
    </row>
    <row r="3637" spans="24:26">
      <c r="X3637" s="2"/>
      <c r="Y3637" s="101"/>
      <c r="Z3637" s="100"/>
    </row>
    <row r="3638" spans="24:26">
      <c r="X3638" s="2"/>
      <c r="Y3638" s="101"/>
      <c r="Z3638" s="100"/>
    </row>
    <row r="3639" spans="24:26">
      <c r="X3639" s="2"/>
      <c r="Y3639" s="101"/>
      <c r="Z3639" s="100"/>
    </row>
    <row r="3640" spans="24:26">
      <c r="X3640" s="2"/>
      <c r="Y3640" s="101"/>
      <c r="Z3640" s="100"/>
    </row>
    <row r="3641" spans="24:26">
      <c r="X3641" s="2"/>
      <c r="Y3641" s="101"/>
      <c r="Z3641" s="100"/>
    </row>
    <row r="3642" spans="24:26">
      <c r="X3642" s="2"/>
      <c r="Y3642" s="101"/>
      <c r="Z3642" s="100"/>
    </row>
    <row r="3643" spans="24:26">
      <c r="X3643" s="2"/>
      <c r="Y3643" s="101"/>
      <c r="Z3643" s="100"/>
    </row>
    <row r="3644" spans="24:26">
      <c r="X3644" s="2"/>
      <c r="Y3644" s="101"/>
      <c r="Z3644" s="100"/>
    </row>
    <row r="3645" spans="24:26">
      <c r="X3645" s="2"/>
      <c r="Y3645" s="101"/>
      <c r="Z3645" s="100"/>
    </row>
    <row r="3646" spans="24:26">
      <c r="X3646" s="2"/>
      <c r="Y3646" s="101"/>
      <c r="Z3646" s="100"/>
    </row>
    <row r="3647" spans="24:26">
      <c r="X3647" s="2"/>
      <c r="Y3647" s="101"/>
      <c r="Z3647" s="100"/>
    </row>
    <row r="3648" spans="24:26">
      <c r="X3648" s="2"/>
      <c r="Y3648" s="101"/>
      <c r="Z3648" s="100"/>
    </row>
    <row r="3649" spans="24:26">
      <c r="X3649" s="2"/>
      <c r="Y3649" s="101"/>
      <c r="Z3649" s="100"/>
    </row>
    <row r="3650" spans="24:26">
      <c r="X3650" s="2"/>
      <c r="Y3650" s="101"/>
      <c r="Z3650" s="100"/>
    </row>
    <row r="3651" spans="24:26">
      <c r="X3651" s="2"/>
      <c r="Y3651" s="101"/>
      <c r="Z3651" s="100"/>
    </row>
    <row r="3652" spans="24:26">
      <c r="X3652" s="2"/>
      <c r="Y3652" s="101"/>
      <c r="Z3652" s="100"/>
    </row>
    <row r="3653" spans="24:26">
      <c r="X3653" s="2"/>
      <c r="Y3653" s="101"/>
      <c r="Z3653" s="100"/>
    </row>
    <row r="3654" spans="24:26">
      <c r="X3654" s="2"/>
      <c r="Y3654" s="101"/>
      <c r="Z3654" s="100"/>
    </row>
    <row r="3655" spans="24:26">
      <c r="X3655" s="2"/>
      <c r="Y3655" s="101"/>
      <c r="Z3655" s="100"/>
    </row>
    <row r="3656" spans="24:26">
      <c r="X3656" s="2"/>
      <c r="Y3656" s="101"/>
      <c r="Z3656" s="100"/>
    </row>
    <row r="3657" spans="24:26">
      <c r="X3657" s="2"/>
      <c r="Y3657" s="101"/>
      <c r="Z3657" s="100"/>
    </row>
    <row r="3658" spans="24:26">
      <c r="X3658" s="2"/>
      <c r="Y3658" s="101"/>
      <c r="Z3658" s="100"/>
    </row>
    <row r="3659" spans="24:26">
      <c r="X3659" s="2"/>
      <c r="Y3659" s="101"/>
      <c r="Z3659" s="100"/>
    </row>
    <row r="3660" spans="24:26">
      <c r="X3660" s="2"/>
      <c r="Y3660" s="101"/>
      <c r="Z3660" s="100"/>
    </row>
    <row r="3661" spans="24:26">
      <c r="X3661" s="2"/>
      <c r="Y3661" s="101"/>
      <c r="Z3661" s="100"/>
    </row>
    <row r="3662" spans="24:26">
      <c r="X3662" s="2"/>
      <c r="Y3662" s="101"/>
      <c r="Z3662" s="100"/>
    </row>
    <row r="3663" spans="24:26">
      <c r="X3663" s="2"/>
      <c r="Y3663" s="101"/>
      <c r="Z3663" s="100"/>
    </row>
    <row r="3664" spans="24:26">
      <c r="X3664" s="2"/>
      <c r="Y3664" s="101"/>
      <c r="Z3664" s="100"/>
    </row>
    <row r="3665" spans="24:26">
      <c r="X3665" s="2"/>
      <c r="Y3665" s="101"/>
      <c r="Z3665" s="100"/>
    </row>
    <row r="3666" spans="24:26">
      <c r="X3666" s="2"/>
      <c r="Y3666" s="101"/>
      <c r="Z3666" s="100"/>
    </row>
    <row r="3667" spans="24:26">
      <c r="X3667" s="2"/>
      <c r="Y3667" s="101"/>
      <c r="Z3667" s="100"/>
    </row>
    <row r="3668" spans="24:26">
      <c r="X3668" s="2"/>
      <c r="Y3668" s="101"/>
      <c r="Z3668" s="100"/>
    </row>
    <row r="3669" spans="24:26">
      <c r="X3669" s="2"/>
      <c r="Y3669" s="101"/>
      <c r="Z3669" s="100"/>
    </row>
    <row r="3670" spans="24:26">
      <c r="X3670" s="2"/>
      <c r="Y3670" s="101"/>
      <c r="Z3670" s="100"/>
    </row>
    <row r="3671" spans="24:26">
      <c r="X3671" s="2"/>
      <c r="Y3671" s="101"/>
      <c r="Z3671" s="100"/>
    </row>
    <row r="3672" spans="24:26">
      <c r="X3672" s="2"/>
      <c r="Y3672" s="101"/>
      <c r="Z3672" s="100"/>
    </row>
    <row r="3673" spans="24:26">
      <c r="X3673" s="2"/>
      <c r="Y3673" s="101"/>
      <c r="Z3673" s="100"/>
    </row>
    <row r="3674" spans="24:26">
      <c r="X3674" s="2"/>
      <c r="Y3674" s="101"/>
      <c r="Z3674" s="100"/>
    </row>
    <row r="3675" spans="24:26">
      <c r="X3675" s="2"/>
      <c r="Y3675" s="101"/>
      <c r="Z3675" s="100"/>
    </row>
    <row r="3676" spans="24:26">
      <c r="X3676" s="2"/>
      <c r="Y3676" s="101"/>
      <c r="Z3676" s="100"/>
    </row>
    <row r="3677" spans="24:26">
      <c r="X3677" s="2"/>
      <c r="Y3677" s="101"/>
      <c r="Z3677" s="100"/>
    </row>
    <row r="3678" spans="24:26">
      <c r="X3678" s="2"/>
      <c r="Y3678" s="101"/>
      <c r="Z3678" s="100"/>
    </row>
    <row r="3679" spans="24:26">
      <c r="X3679" s="2"/>
      <c r="Y3679" s="101"/>
      <c r="Z3679" s="100"/>
    </row>
    <row r="3680" spans="24:26">
      <c r="X3680" s="2"/>
      <c r="Y3680" s="101"/>
      <c r="Z3680" s="100"/>
    </row>
    <row r="3681" spans="24:26">
      <c r="X3681" s="2"/>
      <c r="Y3681" s="101"/>
      <c r="Z3681" s="100"/>
    </row>
    <row r="3682" spans="24:26">
      <c r="X3682" s="2"/>
      <c r="Y3682" s="101"/>
      <c r="Z3682" s="100"/>
    </row>
    <row r="3683" spans="24:26">
      <c r="X3683" s="2"/>
      <c r="Y3683" s="101"/>
      <c r="Z3683" s="100"/>
    </row>
    <row r="3684" spans="24:26">
      <c r="X3684" s="2"/>
      <c r="Y3684" s="101"/>
      <c r="Z3684" s="100"/>
    </row>
    <row r="3685" spans="24:26">
      <c r="X3685" s="2"/>
      <c r="Y3685" s="101"/>
      <c r="Z3685" s="100"/>
    </row>
    <row r="3686" spans="24:26">
      <c r="X3686" s="2"/>
      <c r="Y3686" s="101"/>
      <c r="Z3686" s="100"/>
    </row>
    <row r="3687" spans="24:26">
      <c r="X3687" s="2"/>
      <c r="Y3687" s="101"/>
      <c r="Z3687" s="100"/>
    </row>
    <row r="3688" spans="24:26">
      <c r="X3688" s="2"/>
      <c r="Y3688" s="101"/>
      <c r="Z3688" s="100"/>
    </row>
    <row r="3689" spans="24:26">
      <c r="X3689" s="2"/>
      <c r="Y3689" s="101"/>
      <c r="Z3689" s="100"/>
    </row>
    <row r="3690" spans="24:26">
      <c r="X3690" s="2"/>
      <c r="Y3690" s="101"/>
      <c r="Z3690" s="100"/>
    </row>
    <row r="3691" spans="24:26">
      <c r="X3691" s="2"/>
      <c r="Y3691" s="101"/>
      <c r="Z3691" s="100"/>
    </row>
    <row r="3692" spans="24:26">
      <c r="X3692" s="2"/>
      <c r="Y3692" s="101"/>
      <c r="Z3692" s="100"/>
    </row>
    <row r="3693" spans="24:26">
      <c r="X3693" s="2"/>
      <c r="Y3693" s="101"/>
      <c r="Z3693" s="100"/>
    </row>
    <row r="3694" spans="24:26">
      <c r="X3694" s="2"/>
      <c r="Y3694" s="101"/>
      <c r="Z3694" s="100"/>
    </row>
    <row r="3695" spans="24:26">
      <c r="X3695" s="2"/>
      <c r="Y3695" s="101"/>
      <c r="Z3695" s="100"/>
    </row>
    <row r="3696" spans="24:26">
      <c r="X3696" s="2"/>
      <c r="Y3696" s="101"/>
      <c r="Z3696" s="100"/>
    </row>
    <row r="3697" spans="24:26">
      <c r="X3697" s="2"/>
      <c r="Y3697" s="101"/>
      <c r="Z3697" s="100"/>
    </row>
    <row r="3698" spans="24:26">
      <c r="X3698" s="2"/>
      <c r="Y3698" s="101"/>
      <c r="Z3698" s="100"/>
    </row>
    <row r="3699" spans="24:26">
      <c r="X3699" s="2"/>
      <c r="Y3699" s="101"/>
      <c r="Z3699" s="100"/>
    </row>
    <row r="3700" spans="24:26">
      <c r="X3700" s="2"/>
      <c r="Y3700" s="101"/>
      <c r="Z3700" s="100"/>
    </row>
    <row r="3701" spans="24:26">
      <c r="X3701" s="2"/>
      <c r="Y3701" s="101"/>
      <c r="Z3701" s="100"/>
    </row>
    <row r="3702" spans="24:26">
      <c r="X3702" s="2"/>
      <c r="Y3702" s="101"/>
      <c r="Z3702" s="100"/>
    </row>
    <row r="3703" spans="24:26">
      <c r="X3703" s="2"/>
      <c r="Y3703" s="101"/>
      <c r="Z3703" s="100"/>
    </row>
    <row r="3704" spans="24:26">
      <c r="X3704" s="2"/>
      <c r="Y3704" s="101"/>
      <c r="Z3704" s="100"/>
    </row>
    <row r="3705" spans="24:26">
      <c r="X3705" s="2"/>
      <c r="Y3705" s="101"/>
      <c r="Z3705" s="100"/>
    </row>
    <row r="3706" spans="24:26">
      <c r="X3706" s="2"/>
      <c r="Y3706" s="101"/>
      <c r="Z3706" s="100"/>
    </row>
    <row r="3707" spans="24:26">
      <c r="X3707" s="2"/>
      <c r="Y3707" s="101"/>
      <c r="Z3707" s="100"/>
    </row>
    <row r="3708" spans="24:26">
      <c r="X3708" s="2"/>
      <c r="Y3708" s="101"/>
      <c r="Z3708" s="100"/>
    </row>
    <row r="3709" spans="24:26">
      <c r="X3709" s="2"/>
      <c r="Y3709" s="101"/>
      <c r="Z3709" s="100"/>
    </row>
    <row r="3710" spans="24:26">
      <c r="X3710" s="2"/>
      <c r="Y3710" s="101"/>
      <c r="Z3710" s="100"/>
    </row>
    <row r="3711" spans="24:26">
      <c r="X3711" s="2"/>
      <c r="Y3711" s="101"/>
      <c r="Z3711" s="100"/>
    </row>
    <row r="3712" spans="24:26">
      <c r="X3712" s="2"/>
      <c r="Y3712" s="101"/>
      <c r="Z3712" s="100"/>
    </row>
    <row r="3713" spans="24:26">
      <c r="X3713" s="2"/>
      <c r="Y3713" s="101"/>
      <c r="Z3713" s="100"/>
    </row>
    <row r="3714" spans="24:26">
      <c r="X3714" s="2"/>
      <c r="Y3714" s="101"/>
      <c r="Z3714" s="100"/>
    </row>
    <row r="3715" spans="24:26">
      <c r="X3715" s="2"/>
      <c r="Y3715" s="101"/>
      <c r="Z3715" s="100"/>
    </row>
    <row r="3716" spans="24:26">
      <c r="X3716" s="2"/>
      <c r="Y3716" s="101"/>
      <c r="Z3716" s="100"/>
    </row>
    <row r="3717" spans="24:26">
      <c r="X3717" s="2"/>
      <c r="Y3717" s="101"/>
      <c r="Z3717" s="100"/>
    </row>
    <row r="3718" spans="24:26">
      <c r="X3718" s="2"/>
      <c r="Y3718" s="101"/>
      <c r="Z3718" s="100"/>
    </row>
    <row r="3719" spans="24:26">
      <c r="X3719" s="2"/>
      <c r="Y3719" s="101"/>
      <c r="Z3719" s="100"/>
    </row>
    <row r="3720" spans="24:26">
      <c r="X3720" s="2"/>
      <c r="Y3720" s="101"/>
      <c r="Z3720" s="100"/>
    </row>
    <row r="3721" spans="24:26">
      <c r="X3721" s="2"/>
      <c r="Y3721" s="101"/>
      <c r="Z3721" s="100"/>
    </row>
    <row r="3722" spans="24:26">
      <c r="X3722" s="2"/>
      <c r="Y3722" s="101"/>
      <c r="Z3722" s="100"/>
    </row>
    <row r="3723" spans="24:26">
      <c r="X3723" s="2"/>
      <c r="Y3723" s="101"/>
      <c r="Z3723" s="100"/>
    </row>
    <row r="3724" spans="24:26">
      <c r="X3724" s="2"/>
      <c r="Y3724" s="101"/>
      <c r="Z3724" s="100"/>
    </row>
    <row r="3725" spans="24:26">
      <c r="X3725" s="2"/>
      <c r="Y3725" s="101"/>
      <c r="Z3725" s="100"/>
    </row>
    <row r="3726" spans="24:26">
      <c r="X3726" s="2"/>
      <c r="Y3726" s="101"/>
      <c r="Z3726" s="100"/>
    </row>
    <row r="3727" spans="24:26">
      <c r="X3727" s="2"/>
      <c r="Y3727" s="101"/>
      <c r="Z3727" s="100"/>
    </row>
    <row r="3728" spans="24:26">
      <c r="X3728" s="2"/>
      <c r="Y3728" s="101"/>
      <c r="Z3728" s="100"/>
    </row>
    <row r="3729" spans="24:26">
      <c r="X3729" s="2"/>
      <c r="Y3729" s="101"/>
      <c r="Z3729" s="100"/>
    </row>
    <row r="3730" spans="24:26">
      <c r="X3730" s="2"/>
      <c r="Y3730" s="101"/>
      <c r="Z3730" s="100"/>
    </row>
    <row r="3731" spans="24:26">
      <c r="X3731" s="2"/>
      <c r="Y3731" s="101"/>
      <c r="Z3731" s="100"/>
    </row>
    <row r="3732" spans="24:26">
      <c r="X3732" s="2"/>
      <c r="Y3732" s="101"/>
      <c r="Z3732" s="100"/>
    </row>
    <row r="3733" spans="24:26">
      <c r="X3733" s="2"/>
      <c r="Y3733" s="101"/>
      <c r="Z3733" s="100"/>
    </row>
    <row r="3734" spans="24:26">
      <c r="X3734" s="2"/>
      <c r="Y3734" s="101"/>
      <c r="Z3734" s="100"/>
    </row>
    <row r="3735" spans="24:26">
      <c r="X3735" s="2"/>
      <c r="Y3735" s="101"/>
      <c r="Z3735" s="100"/>
    </row>
    <row r="3736" spans="24:26">
      <c r="X3736" s="2"/>
      <c r="Y3736" s="101"/>
      <c r="Z3736" s="100"/>
    </row>
    <row r="3737" spans="24:26">
      <c r="X3737" s="2"/>
      <c r="Y3737" s="101"/>
      <c r="Z3737" s="100"/>
    </row>
    <row r="3738" spans="24:26">
      <c r="X3738" s="2"/>
      <c r="Y3738" s="101"/>
      <c r="Z3738" s="100"/>
    </row>
    <row r="3739" spans="24:26">
      <c r="X3739" s="2"/>
      <c r="Y3739" s="101"/>
      <c r="Z3739" s="100"/>
    </row>
    <row r="3740" spans="24:26">
      <c r="X3740" s="2"/>
      <c r="Y3740" s="101"/>
      <c r="Z3740" s="100"/>
    </row>
    <row r="3741" spans="24:26">
      <c r="X3741" s="2"/>
      <c r="Y3741" s="101"/>
      <c r="Z3741" s="100"/>
    </row>
    <row r="3742" spans="24:26">
      <c r="X3742" s="2"/>
      <c r="Y3742" s="101"/>
      <c r="Z3742" s="100"/>
    </row>
    <row r="3743" spans="24:26">
      <c r="X3743" s="2"/>
      <c r="Y3743" s="101"/>
      <c r="Z3743" s="100"/>
    </row>
    <row r="3744" spans="24:26">
      <c r="X3744" s="2"/>
      <c r="Y3744" s="101"/>
      <c r="Z3744" s="100"/>
    </row>
    <row r="3745" spans="24:26">
      <c r="X3745" s="2"/>
      <c r="Y3745" s="101"/>
      <c r="Z3745" s="100"/>
    </row>
    <row r="3746" spans="24:26">
      <c r="X3746" s="2"/>
      <c r="Y3746" s="101"/>
      <c r="Z3746" s="100"/>
    </row>
    <row r="3747" spans="24:26">
      <c r="X3747" s="2"/>
      <c r="Y3747" s="101"/>
      <c r="Z3747" s="100"/>
    </row>
    <row r="3748" spans="24:26">
      <c r="X3748" s="2"/>
      <c r="Y3748" s="101"/>
      <c r="Z3748" s="100"/>
    </row>
    <row r="3749" spans="24:26">
      <c r="X3749" s="2"/>
      <c r="Y3749" s="101"/>
      <c r="Z3749" s="100"/>
    </row>
    <row r="3750" spans="24:26">
      <c r="X3750" s="2"/>
      <c r="Y3750" s="101"/>
      <c r="Z3750" s="100"/>
    </row>
    <row r="3751" spans="24:26">
      <c r="X3751" s="2"/>
      <c r="Y3751" s="101"/>
      <c r="Z3751" s="100"/>
    </row>
    <row r="3752" spans="24:26">
      <c r="X3752" s="2"/>
      <c r="Y3752" s="101"/>
      <c r="Z3752" s="100"/>
    </row>
    <row r="3753" spans="24:26">
      <c r="X3753" s="2"/>
      <c r="Y3753" s="101"/>
      <c r="Z3753" s="100"/>
    </row>
    <row r="3754" spans="24:26">
      <c r="X3754" s="2"/>
      <c r="Y3754" s="101"/>
      <c r="Z3754" s="100"/>
    </row>
    <row r="3755" spans="24:26">
      <c r="X3755" s="2"/>
      <c r="Y3755" s="101"/>
      <c r="Z3755" s="100"/>
    </row>
    <row r="3756" spans="24:26">
      <c r="X3756" s="2"/>
      <c r="Y3756" s="101"/>
      <c r="Z3756" s="100"/>
    </row>
    <row r="3757" spans="24:26">
      <c r="X3757" s="2"/>
      <c r="Y3757" s="101"/>
      <c r="Z3757" s="100"/>
    </row>
    <row r="3758" spans="24:26">
      <c r="X3758" s="2"/>
      <c r="Y3758" s="101"/>
      <c r="Z3758" s="100"/>
    </row>
    <row r="3759" spans="24:26">
      <c r="X3759" s="2"/>
      <c r="Y3759" s="101"/>
      <c r="Z3759" s="100"/>
    </row>
    <row r="3760" spans="24:26">
      <c r="X3760" s="2"/>
      <c r="Y3760" s="101"/>
      <c r="Z3760" s="100"/>
    </row>
    <row r="3761" spans="24:26">
      <c r="X3761" s="2"/>
      <c r="Y3761" s="101"/>
      <c r="Z3761" s="100"/>
    </row>
    <row r="3762" spans="24:26">
      <c r="X3762" s="2"/>
      <c r="Y3762" s="101"/>
      <c r="Z3762" s="100"/>
    </row>
    <row r="3763" spans="24:26">
      <c r="X3763" s="2"/>
      <c r="Y3763" s="101"/>
      <c r="Z3763" s="100"/>
    </row>
    <row r="3764" spans="24:26">
      <c r="X3764" s="2"/>
      <c r="Y3764" s="101"/>
      <c r="Z3764" s="100"/>
    </row>
    <row r="3765" spans="24:26">
      <c r="X3765" s="2"/>
      <c r="Y3765" s="101"/>
      <c r="Z3765" s="100"/>
    </row>
    <row r="3766" spans="24:26">
      <c r="X3766" s="2"/>
      <c r="Y3766" s="101"/>
      <c r="Z3766" s="100"/>
    </row>
    <row r="3767" spans="24:26">
      <c r="X3767" s="2"/>
      <c r="Y3767" s="101"/>
      <c r="Z3767" s="100"/>
    </row>
    <row r="3768" spans="24:26">
      <c r="X3768" s="2"/>
      <c r="Y3768" s="101"/>
      <c r="Z3768" s="100"/>
    </row>
    <row r="3769" spans="24:26">
      <c r="X3769" s="2"/>
      <c r="Y3769" s="101"/>
      <c r="Z3769" s="100"/>
    </row>
    <row r="3770" spans="24:26">
      <c r="X3770" s="2"/>
      <c r="Y3770" s="101"/>
      <c r="Z3770" s="100"/>
    </row>
    <row r="3771" spans="24:26">
      <c r="X3771" s="2"/>
      <c r="Y3771" s="101"/>
      <c r="Z3771" s="100"/>
    </row>
    <row r="3772" spans="24:26">
      <c r="X3772" s="2"/>
      <c r="Y3772" s="101"/>
      <c r="Z3772" s="100"/>
    </row>
    <row r="3773" spans="24:26">
      <c r="X3773" s="2"/>
      <c r="Y3773" s="101"/>
      <c r="Z3773" s="100"/>
    </row>
    <row r="3774" spans="24:26">
      <c r="X3774" s="2"/>
      <c r="Y3774" s="101"/>
      <c r="Z3774" s="100"/>
    </row>
    <row r="3775" spans="24:26">
      <c r="X3775" s="2"/>
      <c r="Y3775" s="101"/>
      <c r="Z3775" s="100"/>
    </row>
    <row r="3776" spans="24:26">
      <c r="X3776" s="2"/>
      <c r="Y3776" s="101"/>
      <c r="Z3776" s="100"/>
    </row>
    <row r="3777" spans="24:26">
      <c r="X3777" s="2"/>
      <c r="Y3777" s="101"/>
      <c r="Z3777" s="100"/>
    </row>
    <row r="3778" spans="24:26">
      <c r="X3778" s="2"/>
      <c r="Y3778" s="101"/>
      <c r="Z3778" s="100"/>
    </row>
    <row r="3779" spans="24:26">
      <c r="X3779" s="2"/>
      <c r="Y3779" s="101"/>
      <c r="Z3779" s="100"/>
    </row>
    <row r="3780" spans="24:26">
      <c r="X3780" s="2"/>
      <c r="Y3780" s="101"/>
      <c r="Z3780" s="100"/>
    </row>
    <row r="3781" spans="24:26">
      <c r="X3781" s="2"/>
      <c r="Y3781" s="101"/>
      <c r="Z3781" s="100"/>
    </row>
    <row r="3782" spans="24:26">
      <c r="X3782" s="2"/>
      <c r="Y3782" s="101"/>
      <c r="Z3782" s="100"/>
    </row>
    <row r="3783" spans="24:26">
      <c r="X3783" s="2"/>
      <c r="Y3783" s="101"/>
      <c r="Z3783" s="100"/>
    </row>
    <row r="3784" spans="24:26">
      <c r="X3784" s="2"/>
      <c r="Y3784" s="101"/>
      <c r="Z3784" s="100"/>
    </row>
    <row r="3785" spans="24:26">
      <c r="X3785" s="2"/>
      <c r="Y3785" s="101"/>
      <c r="Z3785" s="100"/>
    </row>
    <row r="3786" spans="24:26">
      <c r="X3786" s="2"/>
      <c r="Y3786" s="101"/>
      <c r="Z3786" s="100"/>
    </row>
    <row r="3787" spans="24:26">
      <c r="X3787" s="2"/>
      <c r="Y3787" s="101"/>
      <c r="Z3787" s="100"/>
    </row>
    <row r="3788" spans="24:26">
      <c r="X3788" s="2"/>
      <c r="Y3788" s="101"/>
      <c r="Z3788" s="100"/>
    </row>
    <row r="3789" spans="24:26">
      <c r="X3789" s="2"/>
      <c r="Y3789" s="101"/>
      <c r="Z3789" s="100"/>
    </row>
    <row r="3790" spans="24:26">
      <c r="X3790" s="2"/>
      <c r="Y3790" s="101"/>
      <c r="Z3790" s="100"/>
    </row>
    <row r="3791" spans="24:26">
      <c r="X3791" s="2"/>
      <c r="Y3791" s="101"/>
      <c r="Z3791" s="100"/>
    </row>
    <row r="3792" spans="24:26">
      <c r="X3792" s="2"/>
      <c r="Y3792" s="101"/>
      <c r="Z3792" s="100"/>
    </row>
    <row r="3793" spans="24:26">
      <c r="X3793" s="2"/>
      <c r="Y3793" s="101"/>
      <c r="Z3793" s="100"/>
    </row>
    <row r="3794" spans="24:26">
      <c r="X3794" s="2"/>
      <c r="Y3794" s="101"/>
      <c r="Z3794" s="100"/>
    </row>
    <row r="3795" spans="24:26">
      <c r="X3795" s="2"/>
      <c r="Y3795" s="101"/>
      <c r="Z3795" s="100"/>
    </row>
    <row r="3796" spans="24:26">
      <c r="X3796" s="2"/>
      <c r="Y3796" s="101"/>
      <c r="Z3796" s="100"/>
    </row>
    <row r="3797" spans="24:26">
      <c r="X3797" s="2"/>
      <c r="Y3797" s="101"/>
      <c r="Z3797" s="100"/>
    </row>
    <row r="3798" spans="24:26">
      <c r="X3798" s="2"/>
      <c r="Y3798" s="101"/>
      <c r="Z3798" s="100"/>
    </row>
    <row r="3799" spans="24:26">
      <c r="X3799" s="2"/>
      <c r="Y3799" s="101"/>
      <c r="Z3799" s="100"/>
    </row>
    <row r="3800" spans="24:26">
      <c r="X3800" s="2"/>
      <c r="Y3800" s="101"/>
      <c r="Z3800" s="100"/>
    </row>
    <row r="3801" spans="24:26">
      <c r="X3801" s="2"/>
      <c r="Y3801" s="101"/>
      <c r="Z3801" s="100"/>
    </row>
    <row r="3802" spans="24:26">
      <c r="X3802" s="2"/>
      <c r="Y3802" s="101"/>
      <c r="Z3802" s="100"/>
    </row>
    <row r="3803" spans="24:26">
      <c r="X3803" s="2"/>
      <c r="Y3803" s="101"/>
      <c r="Z3803" s="100"/>
    </row>
    <row r="3804" spans="24:26">
      <c r="X3804" s="2"/>
      <c r="Y3804" s="101"/>
      <c r="Z3804" s="100"/>
    </row>
    <row r="3805" spans="24:26">
      <c r="X3805" s="2"/>
      <c r="Y3805" s="101"/>
      <c r="Z3805" s="100"/>
    </row>
    <row r="3806" spans="24:26">
      <c r="X3806" s="2"/>
      <c r="Y3806" s="101"/>
      <c r="Z3806" s="100"/>
    </row>
    <row r="3807" spans="24:26">
      <c r="X3807" s="2"/>
      <c r="Y3807" s="101"/>
      <c r="Z3807" s="100"/>
    </row>
    <row r="3808" spans="24:26">
      <c r="X3808" s="2"/>
      <c r="Y3808" s="101"/>
      <c r="Z3808" s="100"/>
    </row>
    <row r="3809" spans="24:26">
      <c r="X3809" s="2"/>
      <c r="Y3809" s="101"/>
      <c r="Z3809" s="100"/>
    </row>
    <row r="3810" spans="24:26">
      <c r="X3810" s="2"/>
      <c r="Y3810" s="101"/>
      <c r="Z3810" s="100"/>
    </row>
    <row r="3811" spans="24:26">
      <c r="X3811" s="2"/>
      <c r="Y3811" s="101"/>
      <c r="Z3811" s="100"/>
    </row>
    <row r="3812" spans="24:26">
      <c r="X3812" s="2"/>
      <c r="Y3812" s="101"/>
      <c r="Z3812" s="100"/>
    </row>
    <row r="3813" spans="24:26">
      <c r="X3813" s="2"/>
      <c r="Y3813" s="101"/>
      <c r="Z3813" s="100"/>
    </row>
    <row r="3814" spans="24:26">
      <c r="X3814" s="2"/>
      <c r="Y3814" s="101"/>
      <c r="Z3814" s="100"/>
    </row>
    <row r="3815" spans="24:26">
      <c r="X3815" s="2"/>
      <c r="Y3815" s="101"/>
      <c r="Z3815" s="100"/>
    </row>
    <row r="3816" spans="24:26">
      <c r="X3816" s="2"/>
      <c r="Y3816" s="101"/>
      <c r="Z3816" s="100"/>
    </row>
    <row r="3817" spans="24:26">
      <c r="X3817" s="2"/>
      <c r="Y3817" s="101"/>
      <c r="Z3817" s="100"/>
    </row>
    <row r="3818" spans="24:26">
      <c r="X3818" s="2"/>
      <c r="Y3818" s="101"/>
      <c r="Z3818" s="100"/>
    </row>
    <row r="3819" spans="24:26">
      <c r="X3819" s="2"/>
      <c r="Y3819" s="101"/>
      <c r="Z3819" s="100"/>
    </row>
    <row r="3820" spans="24:26">
      <c r="X3820" s="2"/>
      <c r="Y3820" s="101"/>
      <c r="Z3820" s="100"/>
    </row>
    <row r="3821" spans="24:26">
      <c r="X3821" s="2"/>
      <c r="Y3821" s="101"/>
      <c r="Z3821" s="100"/>
    </row>
    <row r="3822" spans="24:26">
      <c r="X3822" s="2"/>
      <c r="Y3822" s="101"/>
      <c r="Z3822" s="100"/>
    </row>
    <row r="3823" spans="24:26">
      <c r="X3823" s="2"/>
      <c r="Y3823" s="101"/>
      <c r="Z3823" s="100"/>
    </row>
    <row r="3824" spans="24:26">
      <c r="X3824" s="2"/>
      <c r="Y3824" s="101"/>
      <c r="Z3824" s="100"/>
    </row>
    <row r="3825" spans="24:26">
      <c r="X3825" s="2"/>
      <c r="Y3825" s="101"/>
      <c r="Z3825" s="100"/>
    </row>
    <row r="3826" spans="24:26">
      <c r="X3826" s="2"/>
      <c r="Y3826" s="101"/>
      <c r="Z3826" s="100"/>
    </row>
    <row r="3827" spans="24:26">
      <c r="X3827" s="2"/>
      <c r="Y3827" s="101"/>
      <c r="Z3827" s="100"/>
    </row>
    <row r="3828" spans="24:26">
      <c r="X3828" s="2"/>
      <c r="Y3828" s="101"/>
      <c r="Z3828" s="100"/>
    </row>
    <row r="3829" spans="24:26">
      <c r="X3829" s="2"/>
      <c r="Y3829" s="101"/>
      <c r="Z3829" s="100"/>
    </row>
    <row r="3830" spans="24:26">
      <c r="X3830" s="2"/>
      <c r="Y3830" s="101"/>
      <c r="Z3830" s="100"/>
    </row>
    <row r="3831" spans="24:26">
      <c r="X3831" s="2"/>
      <c r="Y3831" s="101"/>
      <c r="Z3831" s="100"/>
    </row>
    <row r="3832" spans="24:26">
      <c r="X3832" s="2"/>
      <c r="Y3832" s="101"/>
      <c r="Z3832" s="100"/>
    </row>
    <row r="3833" spans="24:26">
      <c r="X3833" s="2"/>
      <c r="Y3833" s="101"/>
      <c r="Z3833" s="100"/>
    </row>
    <row r="3834" spans="24:26">
      <c r="X3834" s="2"/>
      <c r="Y3834" s="101"/>
      <c r="Z3834" s="100"/>
    </row>
    <row r="3835" spans="24:26">
      <c r="X3835" s="2"/>
      <c r="Y3835" s="101"/>
      <c r="Z3835" s="100"/>
    </row>
    <row r="3836" spans="24:26">
      <c r="X3836" s="2"/>
      <c r="Y3836" s="101"/>
      <c r="Z3836" s="100"/>
    </row>
    <row r="3837" spans="24:26">
      <c r="X3837" s="2"/>
      <c r="Y3837" s="101"/>
      <c r="Z3837" s="100"/>
    </row>
    <row r="3838" spans="24:26">
      <c r="X3838" s="2"/>
      <c r="Y3838" s="101"/>
      <c r="Z3838" s="100"/>
    </row>
    <row r="3839" spans="24:26">
      <c r="X3839" s="2"/>
      <c r="Y3839" s="101"/>
      <c r="Z3839" s="100"/>
    </row>
    <row r="3840" spans="24:26">
      <c r="X3840" s="2"/>
      <c r="Y3840" s="101"/>
      <c r="Z3840" s="100"/>
    </row>
    <row r="3841" spans="24:26">
      <c r="X3841" s="2"/>
      <c r="Y3841" s="101"/>
      <c r="Z3841" s="100"/>
    </row>
    <row r="3842" spans="24:26">
      <c r="X3842" s="2"/>
      <c r="Y3842" s="101"/>
      <c r="Z3842" s="100"/>
    </row>
    <row r="3843" spans="24:26">
      <c r="X3843" s="2"/>
      <c r="Y3843" s="101"/>
      <c r="Z3843" s="100"/>
    </row>
    <row r="3844" spans="24:26">
      <c r="X3844" s="2"/>
      <c r="Y3844" s="101"/>
      <c r="Z3844" s="100"/>
    </row>
    <row r="3845" spans="24:26">
      <c r="X3845" s="2"/>
      <c r="Y3845" s="101"/>
      <c r="Z3845" s="100"/>
    </row>
    <row r="3846" spans="24:26">
      <c r="X3846" s="2"/>
      <c r="Y3846" s="101"/>
      <c r="Z3846" s="100"/>
    </row>
    <row r="3847" spans="24:26">
      <c r="X3847" s="2"/>
      <c r="Y3847" s="101"/>
      <c r="Z3847" s="100"/>
    </row>
    <row r="3848" spans="24:26">
      <c r="X3848" s="2"/>
      <c r="Y3848" s="101"/>
      <c r="Z3848" s="100"/>
    </row>
    <row r="3849" spans="24:26">
      <c r="X3849" s="2"/>
      <c r="Y3849" s="101"/>
      <c r="Z3849" s="100"/>
    </row>
    <row r="3850" spans="24:26">
      <c r="X3850" s="2"/>
      <c r="Y3850" s="101"/>
      <c r="Z3850" s="100"/>
    </row>
    <row r="3851" spans="24:26">
      <c r="X3851" s="2"/>
      <c r="Y3851" s="101"/>
      <c r="Z3851" s="100"/>
    </row>
    <row r="3852" spans="24:26">
      <c r="X3852" s="2"/>
      <c r="Y3852" s="101"/>
      <c r="Z3852" s="100"/>
    </row>
    <row r="3853" spans="24:26">
      <c r="X3853" s="2"/>
      <c r="Y3853" s="101"/>
      <c r="Z3853" s="100"/>
    </row>
    <row r="3854" spans="24:26">
      <c r="X3854" s="2"/>
      <c r="Y3854" s="101"/>
      <c r="Z3854" s="100"/>
    </row>
    <row r="3855" spans="24:26">
      <c r="X3855" s="2"/>
      <c r="Y3855" s="101"/>
      <c r="Z3855" s="100"/>
    </row>
    <row r="3856" spans="24:26">
      <c r="X3856" s="2"/>
      <c r="Y3856" s="101"/>
      <c r="Z3856" s="100"/>
    </row>
    <row r="3857" spans="24:26">
      <c r="X3857" s="2"/>
      <c r="Y3857" s="101"/>
      <c r="Z3857" s="100"/>
    </row>
    <row r="3858" spans="24:26">
      <c r="X3858" s="2"/>
      <c r="Y3858" s="101"/>
      <c r="Z3858" s="100"/>
    </row>
    <row r="3859" spans="24:26">
      <c r="X3859" s="2"/>
      <c r="Y3859" s="101"/>
      <c r="Z3859" s="100"/>
    </row>
    <row r="3860" spans="24:26">
      <c r="X3860" s="2"/>
      <c r="Y3860" s="101"/>
      <c r="Z3860" s="100"/>
    </row>
    <row r="3861" spans="24:26">
      <c r="X3861" s="2"/>
      <c r="Y3861" s="101"/>
      <c r="Z3861" s="100"/>
    </row>
    <row r="3862" spans="24:26">
      <c r="X3862" s="2"/>
      <c r="Y3862" s="101"/>
      <c r="Z3862" s="100"/>
    </row>
    <row r="3863" spans="24:26">
      <c r="X3863" s="2"/>
      <c r="Y3863" s="101"/>
      <c r="Z3863" s="100"/>
    </row>
    <row r="3864" spans="24:26">
      <c r="X3864" s="2"/>
      <c r="Y3864" s="101"/>
      <c r="Z3864" s="100"/>
    </row>
    <row r="3865" spans="24:26">
      <c r="X3865" s="2"/>
      <c r="Y3865" s="101"/>
      <c r="Z3865" s="100"/>
    </row>
    <row r="3866" spans="24:26">
      <c r="X3866" s="2"/>
      <c r="Y3866" s="101"/>
      <c r="Z3866" s="100"/>
    </row>
    <row r="3867" spans="24:26">
      <c r="X3867" s="2"/>
      <c r="Y3867" s="101"/>
      <c r="Z3867" s="100"/>
    </row>
    <row r="3868" spans="24:26">
      <c r="X3868" s="2"/>
      <c r="Y3868" s="101"/>
      <c r="Z3868" s="100"/>
    </row>
    <row r="3869" spans="24:26">
      <c r="X3869" s="2"/>
      <c r="Y3869" s="101"/>
      <c r="Z3869" s="100"/>
    </row>
    <row r="3870" spans="24:26">
      <c r="X3870" s="2"/>
      <c r="Y3870" s="101"/>
      <c r="Z3870" s="100"/>
    </row>
    <row r="3871" spans="24:26">
      <c r="X3871" s="2"/>
      <c r="Y3871" s="101"/>
      <c r="Z3871" s="100"/>
    </row>
    <row r="3872" spans="24:26">
      <c r="X3872" s="2"/>
      <c r="Y3872" s="101"/>
      <c r="Z3872" s="100"/>
    </row>
    <row r="3873" spans="24:26">
      <c r="X3873" s="2"/>
      <c r="Y3873" s="101"/>
      <c r="Z3873" s="100"/>
    </row>
    <row r="3874" spans="24:26">
      <c r="X3874" s="2"/>
      <c r="Y3874" s="101"/>
      <c r="Z3874" s="100"/>
    </row>
    <row r="3875" spans="24:26">
      <c r="X3875" s="2"/>
      <c r="Y3875" s="101"/>
      <c r="Z3875" s="100"/>
    </row>
    <row r="3876" spans="24:26">
      <c r="X3876" s="2"/>
      <c r="Y3876" s="101"/>
      <c r="Z3876" s="100"/>
    </row>
    <row r="3877" spans="24:26">
      <c r="X3877" s="2"/>
      <c r="Y3877" s="101"/>
      <c r="Z3877" s="100"/>
    </row>
    <row r="3878" spans="24:26">
      <c r="X3878" s="2"/>
      <c r="Y3878" s="101"/>
      <c r="Z3878" s="100"/>
    </row>
    <row r="3879" spans="24:26">
      <c r="X3879" s="2"/>
      <c r="Y3879" s="101"/>
      <c r="Z3879" s="100"/>
    </row>
    <row r="3880" spans="24:26">
      <c r="X3880" s="2"/>
      <c r="Y3880" s="101"/>
      <c r="Z3880" s="100"/>
    </row>
    <row r="3881" spans="24:26">
      <c r="X3881" s="2"/>
      <c r="Y3881" s="101"/>
      <c r="Z3881" s="100"/>
    </row>
    <row r="3882" spans="24:26">
      <c r="X3882" s="2"/>
      <c r="Y3882" s="101"/>
      <c r="Z3882" s="100"/>
    </row>
    <row r="3883" spans="24:26">
      <c r="X3883" s="2"/>
      <c r="Y3883" s="101"/>
      <c r="Z3883" s="100"/>
    </row>
    <row r="3884" spans="24:26">
      <c r="X3884" s="2"/>
      <c r="Y3884" s="101"/>
      <c r="Z3884" s="100"/>
    </row>
    <row r="3885" spans="24:26">
      <c r="X3885" s="2"/>
      <c r="Y3885" s="101"/>
      <c r="Z3885" s="100"/>
    </row>
    <row r="3886" spans="24:26">
      <c r="X3886" s="2"/>
      <c r="Y3886" s="101"/>
      <c r="Z3886" s="100"/>
    </row>
    <row r="3887" spans="24:26">
      <c r="X3887" s="2"/>
      <c r="Y3887" s="101"/>
      <c r="Z3887" s="100"/>
    </row>
    <row r="3888" spans="24:26">
      <c r="X3888" s="2"/>
      <c r="Y3888" s="101"/>
      <c r="Z3888" s="100"/>
    </row>
    <row r="3889" spans="24:26">
      <c r="X3889" s="2"/>
      <c r="Y3889" s="101"/>
      <c r="Z3889" s="100"/>
    </row>
    <row r="3890" spans="24:26">
      <c r="X3890" s="2"/>
      <c r="Y3890" s="101"/>
      <c r="Z3890" s="100"/>
    </row>
    <row r="3891" spans="24:26">
      <c r="X3891" s="2"/>
      <c r="Y3891" s="101"/>
      <c r="Z3891" s="100"/>
    </row>
    <row r="3892" spans="24:26">
      <c r="X3892" s="2"/>
      <c r="Y3892" s="101"/>
      <c r="Z3892" s="100"/>
    </row>
    <row r="3893" spans="24:26">
      <c r="X3893" s="2"/>
      <c r="Y3893" s="101"/>
      <c r="Z3893" s="100"/>
    </row>
    <row r="3894" spans="24:26">
      <c r="X3894" s="2"/>
      <c r="Y3894" s="101"/>
      <c r="Z3894" s="100"/>
    </row>
    <row r="3895" spans="24:26">
      <c r="X3895" s="2"/>
      <c r="Y3895" s="101"/>
      <c r="Z3895" s="100"/>
    </row>
    <row r="3896" spans="24:26">
      <c r="X3896" s="2"/>
      <c r="Y3896" s="101"/>
      <c r="Z3896" s="100"/>
    </row>
    <row r="3897" spans="24:26">
      <c r="X3897" s="2"/>
      <c r="Y3897" s="101"/>
      <c r="Z3897" s="100"/>
    </row>
    <row r="3898" spans="24:26">
      <c r="X3898" s="2"/>
      <c r="Y3898" s="101"/>
      <c r="Z3898" s="100"/>
    </row>
    <row r="3899" spans="24:26">
      <c r="X3899" s="2"/>
      <c r="Y3899" s="101"/>
      <c r="Z3899" s="100"/>
    </row>
    <row r="3900" spans="24:26">
      <c r="X3900" s="2"/>
      <c r="Y3900" s="101"/>
      <c r="Z3900" s="100"/>
    </row>
    <row r="3901" spans="24:26">
      <c r="X3901" s="2"/>
      <c r="Y3901" s="101"/>
      <c r="Z3901" s="100"/>
    </row>
    <row r="3902" spans="24:26">
      <c r="X3902" s="2"/>
      <c r="Y3902" s="101"/>
      <c r="Z3902" s="100"/>
    </row>
    <row r="3903" spans="24:26">
      <c r="X3903" s="2"/>
      <c r="Y3903" s="101"/>
      <c r="Z3903" s="100"/>
    </row>
    <row r="3904" spans="24:26">
      <c r="X3904" s="2"/>
      <c r="Y3904" s="101"/>
      <c r="Z3904" s="100"/>
    </row>
    <row r="3905" spans="24:26">
      <c r="X3905" s="2"/>
      <c r="Y3905" s="101"/>
      <c r="Z3905" s="100"/>
    </row>
    <row r="3906" spans="24:26">
      <c r="X3906" s="2"/>
      <c r="Y3906" s="101"/>
      <c r="Z3906" s="100"/>
    </row>
    <row r="3907" spans="24:26">
      <c r="X3907" s="2"/>
      <c r="Y3907" s="101"/>
      <c r="Z3907" s="100"/>
    </row>
    <row r="3908" spans="24:26">
      <c r="X3908" s="2"/>
      <c r="Y3908" s="101"/>
      <c r="Z3908" s="100"/>
    </row>
    <row r="3909" spans="24:26">
      <c r="X3909" s="2"/>
      <c r="Y3909" s="101"/>
      <c r="Z3909" s="100"/>
    </row>
    <row r="3910" spans="24:26">
      <c r="X3910" s="2"/>
      <c r="Y3910" s="101"/>
      <c r="Z3910" s="100"/>
    </row>
    <row r="3911" spans="24:26">
      <c r="X3911" s="2"/>
      <c r="Y3911" s="101"/>
      <c r="Z3911" s="100"/>
    </row>
    <row r="3912" spans="24:26">
      <c r="X3912" s="2"/>
      <c r="Y3912" s="101"/>
      <c r="Z3912" s="100"/>
    </row>
    <row r="3913" spans="24:26">
      <c r="X3913" s="2"/>
      <c r="Y3913" s="101"/>
      <c r="Z3913" s="100"/>
    </row>
    <row r="3914" spans="24:26">
      <c r="X3914" s="2"/>
      <c r="Y3914" s="101"/>
      <c r="Z3914" s="100"/>
    </row>
    <row r="3915" spans="24:26">
      <c r="X3915" s="2"/>
      <c r="Y3915" s="101"/>
      <c r="Z3915" s="100"/>
    </row>
    <row r="3916" spans="24:26">
      <c r="X3916" s="2"/>
      <c r="Y3916" s="101"/>
      <c r="Z3916" s="100"/>
    </row>
    <row r="3917" spans="24:26">
      <c r="X3917" s="2"/>
      <c r="Y3917" s="101"/>
      <c r="Z3917" s="100"/>
    </row>
    <row r="3918" spans="24:26">
      <c r="X3918" s="2"/>
      <c r="Y3918" s="101"/>
      <c r="Z3918" s="100"/>
    </row>
    <row r="3919" spans="24:26">
      <c r="X3919" s="2"/>
      <c r="Y3919" s="101"/>
      <c r="Z3919" s="100"/>
    </row>
    <row r="3920" spans="24:26">
      <c r="X3920" s="2"/>
      <c r="Y3920" s="101"/>
      <c r="Z3920" s="100"/>
    </row>
    <row r="3921" spans="24:26">
      <c r="X3921" s="2"/>
      <c r="Y3921" s="101"/>
      <c r="Z3921" s="100"/>
    </row>
    <row r="3922" spans="24:26">
      <c r="X3922" s="2"/>
      <c r="Y3922" s="101"/>
      <c r="Z3922" s="100"/>
    </row>
    <row r="3923" spans="24:26">
      <c r="X3923" s="2"/>
      <c r="Y3923" s="101"/>
      <c r="Z3923" s="100"/>
    </row>
    <row r="3924" spans="24:26">
      <c r="X3924" s="2"/>
      <c r="Y3924" s="101"/>
      <c r="Z3924" s="100"/>
    </row>
    <row r="3925" spans="24:26">
      <c r="X3925" s="2"/>
      <c r="Y3925" s="101"/>
      <c r="Z3925" s="100"/>
    </row>
    <row r="3926" spans="24:26">
      <c r="X3926" s="2"/>
      <c r="Y3926" s="101"/>
      <c r="Z3926" s="100"/>
    </row>
    <row r="3927" spans="24:26">
      <c r="X3927" s="2"/>
      <c r="Y3927" s="101"/>
      <c r="Z3927" s="100"/>
    </row>
    <row r="3928" spans="24:26">
      <c r="X3928" s="2"/>
      <c r="Y3928" s="101"/>
      <c r="Z3928" s="100"/>
    </row>
    <row r="3929" spans="24:26">
      <c r="X3929" s="2"/>
      <c r="Y3929" s="101"/>
      <c r="Z3929" s="100"/>
    </row>
    <row r="3930" spans="24:26">
      <c r="X3930" s="2"/>
      <c r="Y3930" s="101"/>
      <c r="Z3930" s="100"/>
    </row>
    <row r="3931" spans="24:26">
      <c r="X3931" s="2"/>
      <c r="Y3931" s="101"/>
      <c r="Z3931" s="100"/>
    </row>
    <row r="3932" spans="24:26">
      <c r="X3932" s="2"/>
      <c r="Y3932" s="101"/>
      <c r="Z3932" s="100"/>
    </row>
    <row r="3933" spans="24:26">
      <c r="X3933" s="2"/>
      <c r="Y3933" s="101"/>
      <c r="Z3933" s="100"/>
    </row>
    <row r="3934" spans="24:26">
      <c r="X3934" s="2"/>
      <c r="Y3934" s="101"/>
      <c r="Z3934" s="100"/>
    </row>
    <row r="3935" spans="24:26">
      <c r="X3935" s="2"/>
      <c r="Y3935" s="101"/>
      <c r="Z3935" s="100"/>
    </row>
    <row r="3936" spans="24:26">
      <c r="X3936" s="2"/>
      <c r="Y3936" s="101"/>
      <c r="Z3936" s="100"/>
    </row>
    <row r="3937" spans="24:26">
      <c r="X3937" s="2"/>
      <c r="Y3937" s="101"/>
      <c r="Z3937" s="100"/>
    </row>
    <row r="3938" spans="24:26">
      <c r="X3938" s="2"/>
      <c r="Y3938" s="101"/>
      <c r="Z3938" s="100"/>
    </row>
    <row r="3939" spans="24:26">
      <c r="X3939" s="2"/>
      <c r="Y3939" s="101"/>
      <c r="Z3939" s="100"/>
    </row>
    <row r="3940" spans="24:26">
      <c r="X3940" s="2"/>
      <c r="Y3940" s="101"/>
      <c r="Z3940" s="100"/>
    </row>
    <row r="3941" spans="24:26">
      <c r="X3941" s="2"/>
      <c r="Y3941" s="101"/>
      <c r="Z3941" s="100"/>
    </row>
    <row r="3942" spans="24:26">
      <c r="X3942" s="2"/>
      <c r="Y3942" s="101"/>
      <c r="Z3942" s="100"/>
    </row>
    <row r="3943" spans="24:26">
      <c r="X3943" s="2"/>
      <c r="Y3943" s="101"/>
      <c r="Z3943" s="100"/>
    </row>
    <row r="3944" spans="24:26">
      <c r="X3944" s="2"/>
      <c r="Y3944" s="101"/>
      <c r="Z3944" s="100"/>
    </row>
    <row r="3945" spans="24:26">
      <c r="X3945" s="2"/>
      <c r="Y3945" s="101"/>
      <c r="Z3945" s="100"/>
    </row>
    <row r="3946" spans="24:26">
      <c r="X3946" s="2"/>
      <c r="Y3946" s="101"/>
      <c r="Z3946" s="100"/>
    </row>
    <row r="3947" spans="24:26">
      <c r="X3947" s="2"/>
      <c r="Y3947" s="101"/>
      <c r="Z3947" s="100"/>
    </row>
    <row r="3948" spans="24:26">
      <c r="X3948" s="2"/>
      <c r="Y3948" s="101"/>
      <c r="Z3948" s="100"/>
    </row>
    <row r="3949" spans="24:26">
      <c r="X3949" s="2"/>
      <c r="Y3949" s="101"/>
      <c r="Z3949" s="100"/>
    </row>
    <row r="3950" spans="24:26">
      <c r="X3950" s="2"/>
      <c r="Y3950" s="101"/>
      <c r="Z3950" s="100"/>
    </row>
    <row r="3951" spans="24:26">
      <c r="X3951" s="2"/>
      <c r="Y3951" s="101"/>
      <c r="Z3951" s="100"/>
    </row>
    <row r="3952" spans="24:26">
      <c r="X3952" s="2"/>
      <c r="Y3952" s="101"/>
      <c r="Z3952" s="100"/>
    </row>
    <row r="3953" spans="24:26">
      <c r="X3953" s="2"/>
      <c r="Y3953" s="101"/>
      <c r="Z3953" s="100"/>
    </row>
    <row r="3954" spans="24:26">
      <c r="X3954" s="2"/>
      <c r="Y3954" s="101"/>
      <c r="Z3954" s="100"/>
    </row>
    <row r="3955" spans="24:26">
      <c r="X3955" s="2"/>
      <c r="Y3955" s="101"/>
      <c r="Z3955" s="100"/>
    </row>
    <row r="3956" spans="24:26">
      <c r="X3956" s="2"/>
      <c r="Y3956" s="101"/>
      <c r="Z3956" s="100"/>
    </row>
    <row r="3957" spans="24:26">
      <c r="X3957" s="2"/>
      <c r="Y3957" s="101"/>
      <c r="Z3957" s="100"/>
    </row>
    <row r="3958" spans="24:26">
      <c r="X3958" s="2"/>
      <c r="Y3958" s="101"/>
      <c r="Z3958" s="100"/>
    </row>
    <row r="3959" spans="24:26">
      <c r="X3959" s="2"/>
      <c r="Y3959" s="101"/>
      <c r="Z3959" s="100"/>
    </row>
    <row r="3960" spans="24:26">
      <c r="X3960" s="2"/>
      <c r="Y3960" s="101"/>
      <c r="Z3960" s="100"/>
    </row>
    <row r="3961" spans="24:26">
      <c r="X3961" s="2"/>
      <c r="Y3961" s="101"/>
      <c r="Z3961" s="100"/>
    </row>
    <row r="3962" spans="24:26">
      <c r="X3962" s="2"/>
      <c r="Y3962" s="101"/>
      <c r="Z3962" s="100"/>
    </row>
    <row r="3963" spans="24:26">
      <c r="X3963" s="2"/>
      <c r="Y3963" s="101"/>
      <c r="Z3963" s="100"/>
    </row>
    <row r="3964" spans="24:26">
      <c r="X3964" s="2"/>
      <c r="Y3964" s="101"/>
      <c r="Z3964" s="100"/>
    </row>
    <row r="3965" spans="24:26">
      <c r="X3965" s="2"/>
      <c r="Y3965" s="101"/>
      <c r="Z3965" s="100"/>
    </row>
    <row r="3966" spans="24:26">
      <c r="X3966" s="2"/>
      <c r="Y3966" s="101"/>
      <c r="Z3966" s="100"/>
    </row>
    <row r="3967" spans="24:26">
      <c r="X3967" s="2"/>
      <c r="Y3967" s="101"/>
      <c r="Z3967" s="100"/>
    </row>
    <row r="3968" spans="24:26">
      <c r="X3968" s="2"/>
      <c r="Y3968" s="101"/>
      <c r="Z3968" s="100"/>
    </row>
    <row r="3969" spans="24:26">
      <c r="X3969" s="2"/>
      <c r="Y3969" s="101"/>
      <c r="Z3969" s="100"/>
    </row>
    <row r="3970" spans="24:26">
      <c r="X3970" s="2"/>
      <c r="Y3970" s="101"/>
      <c r="Z3970" s="100"/>
    </row>
    <row r="3971" spans="24:26">
      <c r="X3971" s="2"/>
      <c r="Y3971" s="101"/>
      <c r="Z3971" s="100"/>
    </row>
    <row r="3972" spans="24:26">
      <c r="X3972" s="2"/>
      <c r="Y3972" s="101"/>
      <c r="Z3972" s="100"/>
    </row>
    <row r="3973" spans="24:26">
      <c r="X3973" s="2"/>
      <c r="Y3973" s="101"/>
      <c r="Z3973" s="100"/>
    </row>
    <row r="3974" spans="24:26">
      <c r="X3974" s="2"/>
      <c r="Y3974" s="101"/>
      <c r="Z3974" s="100"/>
    </row>
    <row r="3975" spans="24:26">
      <c r="X3975" s="2"/>
      <c r="Y3975" s="101"/>
      <c r="Z3975" s="100"/>
    </row>
    <row r="3976" spans="24:26">
      <c r="X3976" s="2"/>
      <c r="Y3976" s="101"/>
      <c r="Z3976" s="100"/>
    </row>
    <row r="3977" spans="24:26">
      <c r="X3977" s="2"/>
      <c r="Y3977" s="101"/>
      <c r="Z3977" s="100"/>
    </row>
    <row r="3978" spans="24:26">
      <c r="X3978" s="2"/>
      <c r="Y3978" s="101"/>
      <c r="Z3978" s="100"/>
    </row>
    <row r="3979" spans="24:26">
      <c r="X3979" s="2"/>
      <c r="Y3979" s="101"/>
      <c r="Z3979" s="100"/>
    </row>
    <row r="3980" spans="24:26">
      <c r="X3980" s="2"/>
      <c r="Y3980" s="101"/>
      <c r="Z3980" s="100"/>
    </row>
    <row r="3981" spans="24:26">
      <c r="X3981" s="2"/>
      <c r="Y3981" s="101"/>
      <c r="Z3981" s="100"/>
    </row>
    <row r="3982" spans="24:26">
      <c r="X3982" s="2"/>
      <c r="Y3982" s="101"/>
      <c r="Z3982" s="100"/>
    </row>
    <row r="3983" spans="24:26">
      <c r="X3983" s="2"/>
      <c r="Y3983" s="101"/>
      <c r="Z3983" s="100"/>
    </row>
    <row r="3984" spans="24:26">
      <c r="X3984" s="2"/>
      <c r="Y3984" s="101"/>
      <c r="Z3984" s="100"/>
    </row>
    <row r="3985" spans="24:26">
      <c r="X3985" s="2"/>
      <c r="Y3985" s="101"/>
      <c r="Z3985" s="100"/>
    </row>
    <row r="3986" spans="24:26">
      <c r="X3986" s="2"/>
      <c r="Y3986" s="101"/>
      <c r="Z3986" s="100"/>
    </row>
    <row r="3987" spans="24:26">
      <c r="X3987" s="2"/>
      <c r="Y3987" s="101"/>
      <c r="Z3987" s="100"/>
    </row>
    <row r="3988" spans="24:26">
      <c r="X3988" s="2"/>
      <c r="Y3988" s="101"/>
      <c r="Z3988" s="100"/>
    </row>
    <row r="3989" spans="24:26">
      <c r="X3989" s="2"/>
      <c r="Y3989" s="101"/>
      <c r="Z3989" s="100"/>
    </row>
    <row r="3990" spans="24:26">
      <c r="X3990" s="2"/>
      <c r="Y3990" s="101"/>
      <c r="Z3990" s="100"/>
    </row>
    <row r="3991" spans="24:26">
      <c r="X3991" s="2"/>
      <c r="Y3991" s="101"/>
      <c r="Z3991" s="100"/>
    </row>
    <row r="3992" spans="24:26">
      <c r="X3992" s="2"/>
      <c r="Y3992" s="101"/>
      <c r="Z3992" s="100"/>
    </row>
    <row r="3993" spans="24:26">
      <c r="X3993" s="2"/>
      <c r="Y3993" s="101"/>
      <c r="Z3993" s="100"/>
    </row>
    <row r="3994" spans="24:26">
      <c r="X3994" s="2"/>
      <c r="Y3994" s="101"/>
      <c r="Z3994" s="100"/>
    </row>
    <row r="3995" spans="24:26">
      <c r="X3995" s="2"/>
      <c r="Y3995" s="101"/>
      <c r="Z3995" s="100"/>
    </row>
    <row r="3996" spans="24:26">
      <c r="X3996" s="2"/>
      <c r="Y3996" s="101"/>
      <c r="Z3996" s="100"/>
    </row>
    <row r="3997" spans="24:26">
      <c r="X3997" s="2"/>
      <c r="Y3997" s="101"/>
      <c r="Z3997" s="100"/>
    </row>
    <row r="3998" spans="24:26">
      <c r="X3998" s="2"/>
      <c r="Y3998" s="101"/>
      <c r="Z3998" s="100"/>
    </row>
    <row r="3999" spans="24:26">
      <c r="X3999" s="2"/>
      <c r="Y3999" s="101"/>
      <c r="Z3999" s="100"/>
    </row>
    <row r="4000" spans="24:26">
      <c r="X4000" s="2"/>
      <c r="Y4000" s="101"/>
      <c r="Z4000" s="100"/>
    </row>
    <row r="4001" spans="24:26">
      <c r="X4001" s="2"/>
      <c r="Y4001" s="101"/>
      <c r="Z4001" s="100"/>
    </row>
    <row r="4002" spans="24:26">
      <c r="X4002" s="2"/>
      <c r="Y4002" s="101"/>
      <c r="Z4002" s="100"/>
    </row>
    <row r="4003" spans="24:26">
      <c r="X4003" s="2"/>
      <c r="Y4003" s="101"/>
      <c r="Z4003" s="100"/>
    </row>
    <row r="4004" spans="24:26">
      <c r="X4004" s="2"/>
      <c r="Y4004" s="101"/>
      <c r="Z4004" s="100"/>
    </row>
    <row r="4005" spans="24:26">
      <c r="X4005" s="2"/>
      <c r="Y4005" s="101"/>
      <c r="Z4005" s="100"/>
    </row>
    <row r="4006" spans="24:26">
      <c r="X4006" s="2"/>
      <c r="Y4006" s="101"/>
      <c r="Z4006" s="100"/>
    </row>
    <row r="4007" spans="24:26">
      <c r="X4007" s="2"/>
      <c r="Y4007" s="101"/>
      <c r="Z4007" s="100"/>
    </row>
    <row r="4008" spans="24:26">
      <c r="X4008" s="2"/>
      <c r="Y4008" s="101"/>
      <c r="Z4008" s="100"/>
    </row>
    <row r="4009" spans="24:26">
      <c r="X4009" s="2"/>
      <c r="Y4009" s="101"/>
      <c r="Z4009" s="100"/>
    </row>
    <row r="4010" spans="24:26">
      <c r="X4010" s="2"/>
      <c r="Y4010" s="101"/>
      <c r="Z4010" s="100"/>
    </row>
    <row r="4011" spans="24:26">
      <c r="X4011" s="2"/>
      <c r="Y4011" s="101"/>
      <c r="Z4011" s="100"/>
    </row>
    <row r="4012" spans="24:26">
      <c r="X4012" s="2"/>
      <c r="Y4012" s="101"/>
      <c r="Z4012" s="100"/>
    </row>
    <row r="4013" spans="24:26">
      <c r="X4013" s="2"/>
      <c r="Y4013" s="101"/>
      <c r="Z4013" s="100"/>
    </row>
    <row r="4014" spans="24:26">
      <c r="X4014" s="2"/>
      <c r="Y4014" s="101"/>
      <c r="Z4014" s="100"/>
    </row>
    <row r="4015" spans="24:26">
      <c r="X4015" s="2"/>
      <c r="Y4015" s="101"/>
      <c r="Z4015" s="100"/>
    </row>
    <row r="4016" spans="24:26">
      <c r="X4016" s="2"/>
      <c r="Y4016" s="101"/>
      <c r="Z4016" s="100"/>
    </row>
    <row r="4017" spans="24:26">
      <c r="X4017" s="2"/>
      <c r="Y4017" s="101"/>
      <c r="Z4017" s="100"/>
    </row>
    <row r="4018" spans="24:26">
      <c r="X4018" s="2"/>
      <c r="Y4018" s="101"/>
      <c r="Z4018" s="100"/>
    </row>
    <row r="4019" spans="24:26">
      <c r="X4019" s="2"/>
      <c r="Y4019" s="101"/>
      <c r="Z4019" s="100"/>
    </row>
    <row r="4020" spans="24:26">
      <c r="X4020" s="2"/>
      <c r="Y4020" s="101"/>
      <c r="Z4020" s="100"/>
    </row>
    <row r="4021" spans="24:26">
      <c r="X4021" s="2"/>
      <c r="Y4021" s="101"/>
      <c r="Z4021" s="100"/>
    </row>
    <row r="4022" spans="24:26">
      <c r="X4022" s="2"/>
      <c r="Y4022" s="101"/>
      <c r="Z4022" s="100"/>
    </row>
    <row r="4023" spans="24:26">
      <c r="X4023" s="2"/>
      <c r="Y4023" s="101"/>
      <c r="Z4023" s="100"/>
    </row>
    <row r="4024" spans="24:26">
      <c r="X4024" s="2"/>
      <c r="Y4024" s="101"/>
      <c r="Z4024" s="100"/>
    </row>
    <row r="4025" spans="24:26">
      <c r="X4025" s="2"/>
      <c r="Y4025" s="101"/>
      <c r="Z4025" s="100"/>
    </row>
    <row r="4026" spans="24:26">
      <c r="X4026" s="2"/>
      <c r="Y4026" s="101"/>
      <c r="Z4026" s="100"/>
    </row>
    <row r="4027" spans="24:26">
      <c r="X4027" s="2"/>
      <c r="Y4027" s="101"/>
      <c r="Z4027" s="100"/>
    </row>
    <row r="4028" spans="24:26">
      <c r="X4028" s="2"/>
      <c r="Y4028" s="101"/>
      <c r="Z4028" s="100"/>
    </row>
    <row r="4029" spans="24:26">
      <c r="X4029" s="2"/>
      <c r="Y4029" s="101"/>
      <c r="Z4029" s="100"/>
    </row>
    <row r="4030" spans="24:26">
      <c r="X4030" s="2"/>
      <c r="Y4030" s="101"/>
      <c r="Z4030" s="100"/>
    </row>
    <row r="4031" spans="24:26">
      <c r="X4031" s="2"/>
      <c r="Y4031" s="101"/>
      <c r="Z4031" s="100"/>
    </row>
    <row r="4032" spans="24:26">
      <c r="X4032" s="2"/>
      <c r="Y4032" s="101"/>
      <c r="Z4032" s="100"/>
    </row>
    <row r="4033" spans="24:26">
      <c r="X4033" s="2"/>
      <c r="Y4033" s="101"/>
      <c r="Z4033" s="100"/>
    </row>
    <row r="4034" spans="24:26">
      <c r="X4034" s="2"/>
      <c r="Y4034" s="101"/>
      <c r="Z4034" s="100"/>
    </row>
    <row r="4035" spans="24:26">
      <c r="X4035" s="2"/>
      <c r="Y4035" s="101"/>
      <c r="Z4035" s="100"/>
    </row>
    <row r="4036" spans="24:26">
      <c r="X4036" s="2"/>
      <c r="Y4036" s="101"/>
      <c r="Z4036" s="100"/>
    </row>
    <row r="4037" spans="24:26">
      <c r="X4037" s="2"/>
      <c r="Y4037" s="101"/>
      <c r="Z4037" s="100"/>
    </row>
    <row r="4038" spans="24:26">
      <c r="X4038" s="2"/>
      <c r="Y4038" s="101"/>
      <c r="Z4038" s="100"/>
    </row>
    <row r="4039" spans="24:26">
      <c r="X4039" s="2"/>
      <c r="Y4039" s="101"/>
      <c r="Z4039" s="100"/>
    </row>
    <row r="4040" spans="24:26">
      <c r="X4040" s="2"/>
      <c r="Y4040" s="101"/>
      <c r="Z4040" s="100"/>
    </row>
    <row r="4041" spans="24:26">
      <c r="X4041" s="2"/>
      <c r="Y4041" s="101"/>
      <c r="Z4041" s="100"/>
    </row>
    <row r="4042" spans="24:26">
      <c r="X4042" s="2"/>
      <c r="Y4042" s="101"/>
      <c r="Z4042" s="100"/>
    </row>
    <row r="4043" spans="24:26">
      <c r="X4043" s="2"/>
      <c r="Y4043" s="101"/>
      <c r="Z4043" s="100"/>
    </row>
    <row r="4044" spans="24:26">
      <c r="X4044" s="2"/>
      <c r="Y4044" s="101"/>
      <c r="Z4044" s="100"/>
    </row>
    <row r="4045" spans="24:26">
      <c r="X4045" s="2"/>
      <c r="Y4045" s="101"/>
      <c r="Z4045" s="100"/>
    </row>
    <row r="4046" spans="24:26">
      <c r="X4046" s="2"/>
      <c r="Y4046" s="101"/>
      <c r="Z4046" s="100"/>
    </row>
    <row r="4047" spans="24:26">
      <c r="X4047" s="2"/>
      <c r="Y4047" s="101"/>
      <c r="Z4047" s="100"/>
    </row>
    <row r="4048" spans="24:26">
      <c r="X4048" s="2"/>
      <c r="Y4048" s="101"/>
      <c r="Z4048" s="100"/>
    </row>
    <row r="4049" spans="24:26">
      <c r="X4049" s="2"/>
      <c r="Y4049" s="101"/>
      <c r="Z4049" s="100"/>
    </row>
    <row r="4050" spans="24:26">
      <c r="X4050" s="2"/>
      <c r="Y4050" s="101"/>
      <c r="Z4050" s="100"/>
    </row>
    <row r="4051" spans="24:26">
      <c r="X4051" s="2"/>
      <c r="Y4051" s="101"/>
      <c r="Z4051" s="100"/>
    </row>
    <row r="4052" spans="24:26">
      <c r="X4052" s="2"/>
      <c r="Y4052" s="101"/>
      <c r="Z4052" s="100"/>
    </row>
    <row r="4053" spans="24:26">
      <c r="X4053" s="2"/>
      <c r="Y4053" s="101"/>
      <c r="Z4053" s="100"/>
    </row>
    <row r="4054" spans="24:26">
      <c r="X4054" s="2"/>
      <c r="Y4054" s="101"/>
      <c r="Z4054" s="100"/>
    </row>
    <row r="4055" spans="24:26">
      <c r="X4055" s="2"/>
      <c r="Y4055" s="101"/>
      <c r="Z4055" s="100"/>
    </row>
    <row r="4056" spans="24:26">
      <c r="X4056" s="2"/>
      <c r="Y4056" s="101"/>
      <c r="Z4056" s="100"/>
    </row>
    <row r="4057" spans="24:26">
      <c r="X4057" s="2"/>
      <c r="Y4057" s="101"/>
      <c r="Z4057" s="100"/>
    </row>
    <row r="4058" spans="24:26">
      <c r="X4058" s="2"/>
      <c r="Y4058" s="101"/>
      <c r="Z4058" s="100"/>
    </row>
    <row r="4059" spans="24:26">
      <c r="X4059" s="2"/>
      <c r="Y4059" s="101"/>
      <c r="Z4059" s="100"/>
    </row>
    <row r="4060" spans="24:26">
      <c r="X4060" s="2"/>
      <c r="Y4060" s="101"/>
      <c r="Z4060" s="100"/>
    </row>
    <row r="4061" spans="24:26">
      <c r="X4061" s="2"/>
      <c r="Y4061" s="101"/>
      <c r="Z4061" s="100"/>
    </row>
    <row r="4062" spans="24:26">
      <c r="X4062" s="2"/>
      <c r="Y4062" s="101"/>
      <c r="Z4062" s="100"/>
    </row>
    <row r="4063" spans="24:26">
      <c r="X4063" s="2"/>
      <c r="Y4063" s="101"/>
      <c r="Z4063" s="100"/>
    </row>
    <row r="4064" spans="24:26">
      <c r="X4064" s="2"/>
      <c r="Y4064" s="101"/>
      <c r="Z4064" s="100"/>
    </row>
    <row r="4065" spans="24:26">
      <c r="X4065" s="2"/>
      <c r="Y4065" s="101"/>
      <c r="Z4065" s="100"/>
    </row>
    <row r="4066" spans="24:26">
      <c r="X4066" s="2"/>
      <c r="Y4066" s="101"/>
      <c r="Z4066" s="100"/>
    </row>
    <row r="4067" spans="24:26">
      <c r="X4067" s="2"/>
      <c r="Y4067" s="101"/>
      <c r="Z4067" s="100"/>
    </row>
    <row r="4068" spans="24:26">
      <c r="X4068" s="2"/>
      <c r="Y4068" s="101"/>
      <c r="Z4068" s="100"/>
    </row>
    <row r="4069" spans="24:26">
      <c r="X4069" s="2"/>
      <c r="Y4069" s="101"/>
      <c r="Z4069" s="100"/>
    </row>
    <row r="4070" spans="24:26">
      <c r="X4070" s="2"/>
      <c r="Y4070" s="101"/>
      <c r="Z4070" s="100"/>
    </row>
    <row r="4071" spans="24:26">
      <c r="X4071" s="2"/>
      <c r="Y4071" s="101"/>
      <c r="Z4071" s="100"/>
    </row>
    <row r="4072" spans="24:26">
      <c r="X4072" s="2"/>
      <c r="Y4072" s="101"/>
      <c r="Z4072" s="100"/>
    </row>
    <row r="4073" spans="24:26">
      <c r="X4073" s="2"/>
      <c r="Y4073" s="101"/>
      <c r="Z4073" s="100"/>
    </row>
    <row r="4074" spans="24:26">
      <c r="X4074" s="2"/>
      <c r="Y4074" s="101"/>
      <c r="Z4074" s="100"/>
    </row>
    <row r="4075" spans="24:26">
      <c r="X4075" s="2"/>
      <c r="Y4075" s="101"/>
      <c r="Z4075" s="100"/>
    </row>
    <row r="4076" spans="24:26">
      <c r="X4076" s="2"/>
      <c r="Y4076" s="101"/>
      <c r="Z4076" s="100"/>
    </row>
    <row r="4077" spans="24:26">
      <c r="X4077" s="2"/>
      <c r="Y4077" s="101"/>
      <c r="Z4077" s="100"/>
    </row>
    <row r="4078" spans="24:26">
      <c r="X4078" s="2"/>
      <c r="Y4078" s="101"/>
      <c r="Z4078" s="100"/>
    </row>
    <row r="4079" spans="24:26">
      <c r="X4079" s="2"/>
      <c r="Y4079" s="101"/>
      <c r="Z4079" s="100"/>
    </row>
    <row r="4080" spans="24:26">
      <c r="X4080" s="2"/>
      <c r="Y4080" s="101"/>
      <c r="Z4080" s="100"/>
    </row>
    <row r="4081" spans="24:26">
      <c r="X4081" s="2"/>
      <c r="Y4081" s="101"/>
      <c r="Z4081" s="100"/>
    </row>
    <row r="4082" spans="24:26">
      <c r="X4082" s="2"/>
      <c r="Y4082" s="101"/>
      <c r="Z4082" s="100"/>
    </row>
    <row r="4083" spans="24:26">
      <c r="X4083" s="2"/>
      <c r="Y4083" s="101"/>
      <c r="Z4083" s="100"/>
    </row>
    <row r="4084" spans="24:26">
      <c r="X4084" s="2"/>
      <c r="Y4084" s="101"/>
      <c r="Z4084" s="100"/>
    </row>
    <row r="4085" spans="24:26">
      <c r="X4085" s="2"/>
      <c r="Y4085" s="101"/>
      <c r="Z4085" s="100"/>
    </row>
    <row r="4086" spans="24:26">
      <c r="X4086" s="2"/>
      <c r="Y4086" s="101"/>
      <c r="Z4086" s="100"/>
    </row>
    <row r="4087" spans="24:26">
      <c r="X4087" s="2"/>
      <c r="Y4087" s="101"/>
      <c r="Z4087" s="100"/>
    </row>
    <row r="4088" spans="24:26">
      <c r="X4088" s="2"/>
      <c r="Y4088" s="101"/>
      <c r="Z4088" s="100"/>
    </row>
    <row r="4089" spans="24:26">
      <c r="X4089" s="2"/>
      <c r="Y4089" s="101"/>
      <c r="Z4089" s="100"/>
    </row>
    <row r="4090" spans="24:26">
      <c r="X4090" s="2"/>
      <c r="Y4090" s="101"/>
      <c r="Z4090" s="100"/>
    </row>
    <row r="4091" spans="24:26">
      <c r="X4091" s="2"/>
      <c r="Y4091" s="101"/>
      <c r="Z4091" s="100"/>
    </row>
    <row r="4092" spans="24:26">
      <c r="X4092" s="2"/>
      <c r="Y4092" s="101"/>
      <c r="Z4092" s="100"/>
    </row>
    <row r="4093" spans="24:26">
      <c r="X4093" s="2"/>
      <c r="Y4093" s="101"/>
      <c r="Z4093" s="100"/>
    </row>
    <row r="4094" spans="24:26">
      <c r="X4094" s="2"/>
      <c r="Y4094" s="101"/>
      <c r="Z4094" s="100"/>
    </row>
    <row r="4095" spans="24:26">
      <c r="X4095" s="2"/>
      <c r="Y4095" s="101"/>
      <c r="Z4095" s="100"/>
    </row>
    <row r="4096" spans="24:26">
      <c r="X4096" s="2"/>
      <c r="Y4096" s="101"/>
      <c r="Z4096" s="100"/>
    </row>
    <row r="4097" spans="24:26">
      <c r="X4097" s="2"/>
      <c r="Y4097" s="101"/>
      <c r="Z4097" s="100"/>
    </row>
    <row r="4098" spans="24:26">
      <c r="X4098" s="2"/>
      <c r="Y4098" s="101"/>
      <c r="Z4098" s="100"/>
    </row>
    <row r="4099" spans="24:26">
      <c r="X4099" s="2"/>
      <c r="Y4099" s="101"/>
      <c r="Z4099" s="100"/>
    </row>
    <row r="4100" spans="24:26">
      <c r="X4100" s="2"/>
      <c r="Y4100" s="101"/>
      <c r="Z4100" s="100"/>
    </row>
    <row r="4101" spans="24:26">
      <c r="X4101" s="2"/>
      <c r="Y4101" s="101"/>
      <c r="Z4101" s="100"/>
    </row>
    <row r="4102" spans="24:26">
      <c r="X4102" s="2"/>
      <c r="Y4102" s="101"/>
      <c r="Z4102" s="100"/>
    </row>
    <row r="4103" spans="24:26">
      <c r="X4103" s="2"/>
      <c r="Y4103" s="101"/>
      <c r="Z4103" s="100"/>
    </row>
    <row r="4104" spans="24:26">
      <c r="X4104" s="2"/>
      <c r="Y4104" s="101"/>
      <c r="Z4104" s="100"/>
    </row>
    <row r="4105" spans="24:26">
      <c r="X4105" s="2"/>
      <c r="Y4105" s="101"/>
      <c r="Z4105" s="100"/>
    </row>
    <row r="4106" spans="24:26">
      <c r="X4106" s="2"/>
      <c r="Y4106" s="101"/>
      <c r="Z4106" s="100"/>
    </row>
    <row r="4107" spans="24:26">
      <c r="X4107" s="2"/>
      <c r="Y4107" s="101"/>
      <c r="Z4107" s="100"/>
    </row>
    <row r="4108" spans="24:26">
      <c r="X4108" s="2"/>
      <c r="Y4108" s="101"/>
      <c r="Z4108" s="100"/>
    </row>
    <row r="4109" spans="24:26">
      <c r="X4109" s="2"/>
      <c r="Y4109" s="101"/>
      <c r="Z4109" s="100"/>
    </row>
    <row r="4110" spans="24:26">
      <c r="X4110" s="2"/>
      <c r="Y4110" s="101"/>
      <c r="Z4110" s="100"/>
    </row>
    <row r="4111" spans="24:26">
      <c r="X4111" s="2"/>
      <c r="Y4111" s="101"/>
      <c r="Z4111" s="100"/>
    </row>
    <row r="4112" spans="24:26">
      <c r="X4112" s="2"/>
      <c r="Y4112" s="101"/>
      <c r="Z4112" s="100"/>
    </row>
    <row r="4113" spans="24:26">
      <c r="X4113" s="2"/>
      <c r="Y4113" s="101"/>
      <c r="Z4113" s="100"/>
    </row>
    <row r="4114" spans="24:26">
      <c r="X4114" s="2"/>
      <c r="Y4114" s="101"/>
      <c r="Z4114" s="100"/>
    </row>
    <row r="4115" spans="24:26">
      <c r="X4115" s="2"/>
      <c r="Y4115" s="101"/>
      <c r="Z4115" s="100"/>
    </row>
    <row r="4116" spans="24:26">
      <c r="X4116" s="2"/>
      <c r="Y4116" s="101"/>
      <c r="Z4116" s="100"/>
    </row>
    <row r="4117" spans="24:26">
      <c r="X4117" s="2"/>
      <c r="Y4117" s="101"/>
      <c r="Z4117" s="100"/>
    </row>
    <row r="4118" spans="24:26">
      <c r="X4118" s="2"/>
      <c r="Y4118" s="101"/>
      <c r="Z4118" s="100"/>
    </row>
    <row r="4119" spans="24:26">
      <c r="X4119" s="2"/>
      <c r="Y4119" s="101"/>
      <c r="Z4119" s="100"/>
    </row>
    <row r="4120" spans="24:26">
      <c r="X4120" s="2"/>
      <c r="Y4120" s="101"/>
      <c r="Z4120" s="100"/>
    </row>
    <row r="4121" spans="24:26">
      <c r="X4121" s="2"/>
      <c r="Y4121" s="101"/>
      <c r="Z4121" s="100"/>
    </row>
    <row r="4122" spans="24:26">
      <c r="X4122" s="2"/>
      <c r="Y4122" s="101"/>
      <c r="Z4122" s="100"/>
    </row>
    <row r="4123" spans="24:26">
      <c r="X4123" s="2"/>
      <c r="Y4123" s="101"/>
      <c r="Z4123" s="100"/>
    </row>
    <row r="4124" spans="24:26">
      <c r="X4124" s="2"/>
      <c r="Y4124" s="101"/>
      <c r="Z4124" s="100"/>
    </row>
    <row r="4125" spans="24:26">
      <c r="X4125" s="2"/>
      <c r="Y4125" s="101"/>
      <c r="Z4125" s="100"/>
    </row>
    <row r="4126" spans="24:26">
      <c r="X4126" s="2"/>
      <c r="Y4126" s="101"/>
      <c r="Z4126" s="100"/>
    </row>
    <row r="4127" spans="24:26">
      <c r="X4127" s="2"/>
      <c r="Y4127" s="101"/>
      <c r="Z4127" s="100"/>
    </row>
    <row r="4128" spans="24:26">
      <c r="X4128" s="2"/>
      <c r="Y4128" s="101"/>
      <c r="Z4128" s="100"/>
    </row>
    <row r="4129" spans="24:26">
      <c r="X4129" s="2"/>
      <c r="Y4129" s="101"/>
      <c r="Z4129" s="100"/>
    </row>
    <row r="4130" spans="24:26">
      <c r="X4130" s="2"/>
      <c r="Y4130" s="101"/>
      <c r="Z4130" s="100"/>
    </row>
    <row r="4131" spans="24:26">
      <c r="X4131" s="2"/>
      <c r="Y4131" s="101"/>
      <c r="Z4131" s="100"/>
    </row>
    <row r="4132" spans="24:26">
      <c r="X4132" s="2"/>
      <c r="Y4132" s="101"/>
      <c r="Z4132" s="100"/>
    </row>
    <row r="4133" spans="24:26">
      <c r="X4133" s="2"/>
      <c r="Y4133" s="101"/>
      <c r="Z4133" s="100"/>
    </row>
    <row r="4134" spans="24:26">
      <c r="X4134" s="2"/>
      <c r="Y4134" s="101"/>
      <c r="Z4134" s="100"/>
    </row>
    <row r="4135" spans="24:26">
      <c r="X4135" s="2"/>
      <c r="Y4135" s="101"/>
      <c r="Z4135" s="100"/>
    </row>
    <row r="4136" spans="24:26">
      <c r="X4136" s="2"/>
      <c r="Y4136" s="101"/>
      <c r="Z4136" s="100"/>
    </row>
    <row r="4137" spans="24:26">
      <c r="X4137" s="2"/>
      <c r="Y4137" s="101"/>
      <c r="Z4137" s="100"/>
    </row>
    <row r="4138" spans="24:26">
      <c r="X4138" s="2"/>
      <c r="Y4138" s="101"/>
      <c r="Z4138" s="100"/>
    </row>
    <row r="4139" spans="24:26">
      <c r="X4139" s="2"/>
      <c r="Y4139" s="101"/>
      <c r="Z4139" s="100"/>
    </row>
    <row r="4140" spans="24:26">
      <c r="X4140" s="2"/>
      <c r="Y4140" s="101"/>
      <c r="Z4140" s="100"/>
    </row>
    <row r="4141" spans="24:26">
      <c r="X4141" s="2"/>
      <c r="Y4141" s="101"/>
      <c r="Z4141" s="100"/>
    </row>
    <row r="4142" spans="24:26">
      <c r="X4142" s="2"/>
      <c r="Y4142" s="101"/>
      <c r="Z4142" s="100"/>
    </row>
    <row r="4143" spans="24:26">
      <c r="X4143" s="2"/>
      <c r="Y4143" s="101"/>
      <c r="Z4143" s="100"/>
    </row>
    <row r="4144" spans="24:26">
      <c r="X4144" s="2"/>
      <c r="Y4144" s="101"/>
      <c r="Z4144" s="100"/>
    </row>
    <row r="4145" spans="24:26">
      <c r="X4145" s="2"/>
      <c r="Y4145" s="101"/>
      <c r="Z4145" s="100"/>
    </row>
    <row r="4146" spans="24:26">
      <c r="X4146" s="2"/>
      <c r="Y4146" s="101"/>
      <c r="Z4146" s="100"/>
    </row>
    <row r="4147" spans="24:26">
      <c r="X4147" s="2"/>
      <c r="Y4147" s="101"/>
      <c r="Z4147" s="100"/>
    </row>
    <row r="4148" spans="24:26">
      <c r="X4148" s="2"/>
      <c r="Y4148" s="101"/>
      <c r="Z4148" s="100"/>
    </row>
    <row r="4149" spans="24:26">
      <c r="X4149" s="2"/>
      <c r="Y4149" s="101"/>
      <c r="Z4149" s="100"/>
    </row>
    <row r="4150" spans="24:26">
      <c r="X4150" s="2"/>
      <c r="Y4150" s="101"/>
      <c r="Z4150" s="100"/>
    </row>
    <row r="4151" spans="24:26">
      <c r="X4151" s="2"/>
      <c r="Y4151" s="101"/>
      <c r="Z4151" s="100"/>
    </row>
    <row r="4152" spans="24:26">
      <c r="X4152" s="2"/>
      <c r="Y4152" s="101"/>
      <c r="Z4152" s="100"/>
    </row>
    <row r="4153" spans="24:26">
      <c r="X4153" s="2"/>
      <c r="Y4153" s="101"/>
      <c r="Z4153" s="100"/>
    </row>
    <row r="4154" spans="24:26">
      <c r="X4154" s="2"/>
      <c r="Y4154" s="101"/>
      <c r="Z4154" s="100"/>
    </row>
    <row r="4155" spans="24:26">
      <c r="X4155" s="2"/>
      <c r="Y4155" s="101"/>
      <c r="Z4155" s="100"/>
    </row>
    <row r="4156" spans="24:26">
      <c r="X4156" s="2"/>
      <c r="Y4156" s="101"/>
      <c r="Z4156" s="100"/>
    </row>
    <row r="4157" spans="24:26">
      <c r="X4157" s="2"/>
      <c r="Y4157" s="101"/>
      <c r="Z4157" s="100"/>
    </row>
    <row r="4158" spans="24:26">
      <c r="X4158" s="2"/>
      <c r="Y4158" s="101"/>
      <c r="Z4158" s="100"/>
    </row>
    <row r="4159" spans="24:26">
      <c r="X4159" s="2"/>
      <c r="Y4159" s="101"/>
      <c r="Z4159" s="100"/>
    </row>
    <row r="4160" spans="24:26">
      <c r="X4160" s="2"/>
      <c r="Y4160" s="101"/>
      <c r="Z4160" s="100"/>
    </row>
    <row r="4161" spans="24:26">
      <c r="X4161" s="2"/>
      <c r="Y4161" s="101"/>
      <c r="Z4161" s="100"/>
    </row>
    <row r="4162" spans="24:26">
      <c r="X4162" s="2"/>
      <c r="Y4162" s="101"/>
      <c r="Z4162" s="100"/>
    </row>
    <row r="4163" spans="24:26">
      <c r="X4163" s="2"/>
      <c r="Y4163" s="101"/>
      <c r="Z4163" s="100"/>
    </row>
    <row r="4164" spans="24:26">
      <c r="X4164" s="2"/>
      <c r="Y4164" s="101"/>
      <c r="Z4164" s="100"/>
    </row>
    <row r="4165" spans="24:26">
      <c r="X4165" s="2"/>
      <c r="Y4165" s="101"/>
      <c r="Z4165" s="100"/>
    </row>
    <row r="4166" spans="24:26">
      <c r="X4166" s="2"/>
      <c r="Y4166" s="101"/>
      <c r="Z4166" s="100"/>
    </row>
    <row r="4167" spans="24:26">
      <c r="X4167" s="2"/>
      <c r="Y4167" s="101"/>
      <c r="Z4167" s="100"/>
    </row>
    <row r="4168" spans="24:26">
      <c r="X4168" s="2"/>
      <c r="Y4168" s="101"/>
      <c r="Z4168" s="100"/>
    </row>
    <row r="4169" spans="24:26">
      <c r="X4169" s="2"/>
      <c r="Y4169" s="101"/>
      <c r="Z4169" s="100"/>
    </row>
    <row r="4170" spans="24:26">
      <c r="X4170" s="2"/>
      <c r="Y4170" s="101"/>
      <c r="Z4170" s="100"/>
    </row>
    <row r="4171" spans="24:26">
      <c r="X4171" s="2"/>
      <c r="Y4171" s="101"/>
      <c r="Z4171" s="100"/>
    </row>
    <row r="4172" spans="24:26">
      <c r="X4172" s="2"/>
      <c r="Y4172" s="101"/>
      <c r="Z4172" s="100"/>
    </row>
    <row r="4173" spans="24:26">
      <c r="X4173" s="2"/>
      <c r="Y4173" s="101"/>
      <c r="Z4173" s="100"/>
    </row>
    <row r="4174" spans="24:26">
      <c r="X4174" s="2"/>
      <c r="Y4174" s="101"/>
      <c r="Z4174" s="100"/>
    </row>
    <row r="4175" spans="24:26">
      <c r="X4175" s="2"/>
      <c r="Y4175" s="101"/>
      <c r="Z4175" s="100"/>
    </row>
    <row r="4176" spans="24:26">
      <c r="X4176" s="2"/>
      <c r="Y4176" s="101"/>
      <c r="Z4176" s="100"/>
    </row>
    <row r="4177" spans="24:26">
      <c r="X4177" s="2"/>
      <c r="Y4177" s="101"/>
      <c r="Z4177" s="100"/>
    </row>
    <row r="4178" spans="24:26">
      <c r="X4178" s="2"/>
      <c r="Y4178" s="101"/>
      <c r="Z4178" s="100"/>
    </row>
    <row r="4179" spans="24:26">
      <c r="X4179" s="2"/>
      <c r="Y4179" s="101"/>
      <c r="Z4179" s="100"/>
    </row>
    <row r="4180" spans="24:26">
      <c r="X4180" s="2"/>
      <c r="Y4180" s="101"/>
      <c r="Z4180" s="100"/>
    </row>
    <row r="4181" spans="24:26">
      <c r="X4181" s="2"/>
      <c r="Y4181" s="101"/>
      <c r="Z4181" s="100"/>
    </row>
    <row r="4182" spans="24:26">
      <c r="X4182" s="2"/>
      <c r="Y4182" s="101"/>
      <c r="Z4182" s="100"/>
    </row>
    <row r="4183" spans="24:26">
      <c r="X4183" s="2"/>
      <c r="Y4183" s="101"/>
      <c r="Z4183" s="100"/>
    </row>
    <row r="4184" spans="24:26">
      <c r="X4184" s="2"/>
      <c r="Y4184" s="101"/>
      <c r="Z4184" s="100"/>
    </row>
    <row r="4185" spans="24:26">
      <c r="X4185" s="2"/>
      <c r="Y4185" s="101"/>
      <c r="Z4185" s="100"/>
    </row>
    <row r="4186" spans="24:26">
      <c r="X4186" s="2"/>
      <c r="Y4186" s="101"/>
      <c r="Z4186" s="100"/>
    </row>
    <row r="4187" spans="24:26">
      <c r="X4187" s="2"/>
      <c r="Y4187" s="101"/>
      <c r="Z4187" s="100"/>
    </row>
    <row r="4188" spans="24:26">
      <c r="X4188" s="2"/>
      <c r="Y4188" s="101"/>
      <c r="Z4188" s="100"/>
    </row>
    <row r="4189" spans="24:26">
      <c r="X4189" s="2"/>
      <c r="Y4189" s="101"/>
      <c r="Z4189" s="100"/>
    </row>
    <row r="4190" spans="24:26">
      <c r="X4190" s="2"/>
      <c r="Y4190" s="101"/>
      <c r="Z4190" s="100"/>
    </row>
    <row r="4191" spans="24:26">
      <c r="X4191" s="2"/>
      <c r="Y4191" s="101"/>
      <c r="Z4191" s="100"/>
    </row>
    <row r="4192" spans="24:26">
      <c r="X4192" s="2"/>
      <c r="Y4192" s="101"/>
      <c r="Z4192" s="100"/>
    </row>
    <row r="4193" spans="24:26">
      <c r="X4193" s="2"/>
      <c r="Y4193" s="101"/>
      <c r="Z4193" s="100"/>
    </row>
    <row r="4194" spans="24:26">
      <c r="X4194" s="2"/>
      <c r="Y4194" s="101"/>
      <c r="Z4194" s="100"/>
    </row>
    <row r="4195" spans="24:26">
      <c r="X4195" s="2"/>
      <c r="Y4195" s="101"/>
      <c r="Z4195" s="100"/>
    </row>
    <row r="4196" spans="24:26">
      <c r="X4196" s="2"/>
      <c r="Y4196" s="101"/>
      <c r="Z4196" s="100"/>
    </row>
    <row r="4197" spans="24:26">
      <c r="X4197" s="2"/>
      <c r="Y4197" s="101"/>
      <c r="Z4197" s="100"/>
    </row>
    <row r="4198" spans="24:26">
      <c r="X4198" s="2"/>
      <c r="Y4198" s="101"/>
      <c r="Z4198" s="100"/>
    </row>
    <row r="4199" spans="24:26">
      <c r="X4199" s="2"/>
      <c r="Y4199" s="101"/>
      <c r="Z4199" s="100"/>
    </row>
    <row r="4200" spans="24:26">
      <c r="X4200" s="2"/>
      <c r="Y4200" s="101"/>
      <c r="Z4200" s="100"/>
    </row>
    <row r="4201" spans="24:26">
      <c r="X4201" s="2"/>
      <c r="Y4201" s="101"/>
      <c r="Z4201" s="100"/>
    </row>
    <row r="4202" spans="24:26">
      <c r="X4202" s="2"/>
      <c r="Y4202" s="101"/>
      <c r="Z4202" s="100"/>
    </row>
    <row r="4203" spans="24:26">
      <c r="X4203" s="2"/>
      <c r="Y4203" s="101"/>
      <c r="Z4203" s="100"/>
    </row>
    <row r="4204" spans="24:26">
      <c r="X4204" s="2"/>
      <c r="Y4204" s="101"/>
      <c r="Z4204" s="100"/>
    </row>
    <row r="4205" spans="24:26">
      <c r="X4205" s="2"/>
      <c r="Y4205" s="101"/>
      <c r="Z4205" s="100"/>
    </row>
    <row r="4206" spans="24:26">
      <c r="X4206" s="2"/>
      <c r="Y4206" s="101"/>
      <c r="Z4206" s="100"/>
    </row>
    <row r="4207" spans="24:26">
      <c r="X4207" s="2"/>
      <c r="Y4207" s="101"/>
      <c r="Z4207" s="100"/>
    </row>
    <row r="4208" spans="24:26">
      <c r="X4208" s="2"/>
      <c r="Y4208" s="101"/>
      <c r="Z4208" s="100"/>
    </row>
    <row r="4209" spans="24:26">
      <c r="X4209" s="2"/>
      <c r="Y4209" s="101"/>
      <c r="Z4209" s="100"/>
    </row>
    <row r="4210" spans="24:26">
      <c r="X4210" s="2"/>
      <c r="Y4210" s="101"/>
      <c r="Z4210" s="100"/>
    </row>
    <row r="4211" spans="24:26">
      <c r="X4211" s="2"/>
      <c r="Y4211" s="101"/>
      <c r="Z4211" s="100"/>
    </row>
    <row r="4212" spans="24:26">
      <c r="X4212" s="2"/>
      <c r="Y4212" s="101"/>
      <c r="Z4212" s="100"/>
    </row>
    <row r="4213" spans="24:26">
      <c r="X4213" s="2"/>
      <c r="Y4213" s="101"/>
      <c r="Z4213" s="100"/>
    </row>
    <row r="4214" spans="24:26">
      <c r="X4214" s="2"/>
      <c r="Y4214" s="101"/>
      <c r="Z4214" s="100"/>
    </row>
    <row r="4215" spans="24:26">
      <c r="X4215" s="2"/>
      <c r="Y4215" s="101"/>
      <c r="Z4215" s="100"/>
    </row>
    <row r="4216" spans="24:26">
      <c r="X4216" s="2"/>
      <c r="Y4216" s="101"/>
      <c r="Z4216" s="100"/>
    </row>
    <row r="4217" spans="24:26">
      <c r="X4217" s="2"/>
      <c r="Y4217" s="101"/>
      <c r="Z4217" s="100"/>
    </row>
    <row r="4218" spans="24:26">
      <c r="X4218" s="2"/>
      <c r="Y4218" s="101"/>
      <c r="Z4218" s="100"/>
    </row>
    <row r="4219" spans="24:26">
      <c r="X4219" s="2"/>
      <c r="Y4219" s="101"/>
      <c r="Z4219" s="100"/>
    </row>
    <row r="4220" spans="24:26">
      <c r="X4220" s="2"/>
      <c r="Y4220" s="101"/>
      <c r="Z4220" s="100"/>
    </row>
    <row r="4221" spans="24:26">
      <c r="X4221" s="2"/>
      <c r="Y4221" s="101"/>
      <c r="Z4221" s="100"/>
    </row>
    <row r="4222" spans="24:26">
      <c r="X4222" s="2"/>
      <c r="Y4222" s="101"/>
      <c r="Z4222" s="100"/>
    </row>
    <row r="4223" spans="24:26">
      <c r="X4223" s="2"/>
      <c r="Y4223" s="101"/>
      <c r="Z4223" s="100"/>
    </row>
    <row r="4224" spans="24:26">
      <c r="X4224" s="2"/>
      <c r="Y4224" s="101"/>
      <c r="Z4224" s="100"/>
    </row>
    <row r="4225" spans="24:26">
      <c r="X4225" s="2"/>
      <c r="Y4225" s="101"/>
      <c r="Z4225" s="100"/>
    </row>
    <row r="4226" spans="24:26">
      <c r="X4226" s="2"/>
      <c r="Y4226" s="101"/>
      <c r="Z4226" s="100"/>
    </row>
    <row r="4227" spans="24:26">
      <c r="X4227" s="2"/>
      <c r="Y4227" s="101"/>
      <c r="Z4227" s="100"/>
    </row>
    <row r="4228" spans="24:26">
      <c r="X4228" s="2"/>
      <c r="Y4228" s="101"/>
      <c r="Z4228" s="100"/>
    </row>
    <row r="4229" spans="24:26">
      <c r="X4229" s="2"/>
      <c r="Y4229" s="101"/>
      <c r="Z4229" s="100"/>
    </row>
    <row r="4230" spans="24:26">
      <c r="X4230" s="2"/>
      <c r="Y4230" s="101"/>
      <c r="Z4230" s="100"/>
    </row>
    <row r="4231" spans="24:26">
      <c r="X4231" s="2"/>
      <c r="Y4231" s="101"/>
      <c r="Z4231" s="100"/>
    </row>
    <row r="4232" spans="24:26">
      <c r="X4232" s="2"/>
      <c r="Y4232" s="101"/>
      <c r="Z4232" s="100"/>
    </row>
    <row r="4233" spans="24:26">
      <c r="X4233" s="2"/>
      <c r="Y4233" s="101"/>
      <c r="Z4233" s="100"/>
    </row>
    <row r="4234" spans="24:26">
      <c r="X4234" s="2"/>
      <c r="Y4234" s="101"/>
      <c r="Z4234" s="100"/>
    </row>
    <row r="4235" spans="24:26">
      <c r="X4235" s="2"/>
      <c r="Y4235" s="101"/>
      <c r="Z4235" s="100"/>
    </row>
    <row r="4236" spans="24:26">
      <c r="X4236" s="2"/>
      <c r="Y4236" s="101"/>
      <c r="Z4236" s="100"/>
    </row>
    <row r="4237" spans="24:26">
      <c r="X4237" s="2"/>
      <c r="Y4237" s="101"/>
      <c r="Z4237" s="100"/>
    </row>
    <row r="4238" spans="24:26">
      <c r="X4238" s="2"/>
      <c r="Y4238" s="101"/>
      <c r="Z4238" s="100"/>
    </row>
    <row r="4239" spans="24:26">
      <c r="X4239" s="2"/>
      <c r="Y4239" s="101"/>
      <c r="Z4239" s="100"/>
    </row>
    <row r="4240" spans="24:26">
      <c r="X4240" s="2"/>
      <c r="Y4240" s="101"/>
      <c r="Z4240" s="100"/>
    </row>
    <row r="4241" spans="24:26">
      <c r="X4241" s="2"/>
      <c r="Y4241" s="101"/>
      <c r="Z4241" s="100"/>
    </row>
    <row r="4242" spans="24:26">
      <c r="X4242" s="2"/>
      <c r="Y4242" s="101"/>
      <c r="Z4242" s="100"/>
    </row>
    <row r="4243" spans="24:26">
      <c r="X4243" s="2"/>
      <c r="Y4243" s="101"/>
      <c r="Z4243" s="100"/>
    </row>
    <row r="4244" spans="24:26">
      <c r="X4244" s="2"/>
      <c r="Y4244" s="101"/>
      <c r="Z4244" s="100"/>
    </row>
    <row r="4245" spans="24:26">
      <c r="X4245" s="2"/>
      <c r="Y4245" s="101"/>
      <c r="Z4245" s="100"/>
    </row>
    <row r="4246" spans="24:26">
      <c r="X4246" s="2"/>
      <c r="Y4246" s="101"/>
      <c r="Z4246" s="100"/>
    </row>
    <row r="4247" spans="24:26">
      <c r="X4247" s="2"/>
      <c r="Y4247" s="101"/>
      <c r="Z4247" s="100"/>
    </row>
    <row r="4248" spans="24:26">
      <c r="X4248" s="2"/>
      <c r="Y4248" s="101"/>
      <c r="Z4248" s="100"/>
    </row>
    <row r="4249" spans="24:26">
      <c r="X4249" s="2"/>
      <c r="Y4249" s="101"/>
      <c r="Z4249" s="100"/>
    </row>
    <row r="4250" spans="24:26">
      <c r="X4250" s="2"/>
      <c r="Y4250" s="101"/>
      <c r="Z4250" s="100"/>
    </row>
    <row r="4251" spans="24:26">
      <c r="X4251" s="2"/>
      <c r="Y4251" s="101"/>
      <c r="Z4251" s="100"/>
    </row>
    <row r="4252" spans="24:26">
      <c r="X4252" s="2"/>
      <c r="Y4252" s="101"/>
      <c r="Z4252" s="100"/>
    </row>
    <row r="4253" spans="24:26">
      <c r="X4253" s="2"/>
      <c r="Y4253" s="101"/>
      <c r="Z4253" s="100"/>
    </row>
    <row r="4254" spans="24:26">
      <c r="X4254" s="2"/>
      <c r="Y4254" s="101"/>
      <c r="Z4254" s="100"/>
    </row>
    <row r="4255" spans="24:26">
      <c r="X4255" s="2"/>
      <c r="Y4255" s="101"/>
      <c r="Z4255" s="100"/>
    </row>
    <row r="4256" spans="24:26">
      <c r="X4256" s="2"/>
      <c r="Y4256" s="101"/>
      <c r="Z4256" s="100"/>
    </row>
    <row r="4257" spans="24:26">
      <c r="X4257" s="2"/>
      <c r="Y4257" s="101"/>
      <c r="Z4257" s="100"/>
    </row>
    <row r="4258" spans="24:26">
      <c r="X4258" s="2"/>
      <c r="Y4258" s="101"/>
      <c r="Z4258" s="100"/>
    </row>
    <row r="4259" spans="24:26">
      <c r="X4259" s="2"/>
      <c r="Y4259" s="101"/>
      <c r="Z4259" s="100"/>
    </row>
    <row r="4260" spans="24:26">
      <c r="X4260" s="2"/>
      <c r="Y4260" s="101"/>
      <c r="Z4260" s="100"/>
    </row>
    <row r="4261" spans="24:26">
      <c r="X4261" s="2"/>
      <c r="Y4261" s="101"/>
      <c r="Z4261" s="100"/>
    </row>
    <row r="4262" spans="24:26">
      <c r="X4262" s="2"/>
      <c r="Y4262" s="101"/>
      <c r="Z4262" s="100"/>
    </row>
    <row r="4263" spans="24:26">
      <c r="X4263" s="2"/>
      <c r="Y4263" s="101"/>
      <c r="Z4263" s="100"/>
    </row>
    <row r="4264" spans="24:26">
      <c r="X4264" s="2"/>
      <c r="Y4264" s="101"/>
      <c r="Z4264" s="100"/>
    </row>
    <row r="4265" spans="24:26">
      <c r="X4265" s="2"/>
      <c r="Y4265" s="101"/>
      <c r="Z4265" s="100"/>
    </row>
    <row r="4266" spans="24:26">
      <c r="X4266" s="2"/>
      <c r="Y4266" s="101"/>
      <c r="Z4266" s="100"/>
    </row>
    <row r="4267" spans="24:26">
      <c r="X4267" s="2"/>
      <c r="Y4267" s="101"/>
      <c r="Z4267" s="100"/>
    </row>
    <row r="4268" spans="24:26">
      <c r="X4268" s="2"/>
      <c r="Y4268" s="101"/>
      <c r="Z4268" s="100"/>
    </row>
    <row r="4269" spans="24:26">
      <c r="X4269" s="2"/>
      <c r="Y4269" s="101"/>
      <c r="Z4269" s="100"/>
    </row>
    <row r="4270" spans="24:26">
      <c r="X4270" s="2"/>
      <c r="Y4270" s="101"/>
      <c r="Z4270" s="100"/>
    </row>
    <row r="4271" spans="24:26">
      <c r="X4271" s="2"/>
      <c r="Y4271" s="101"/>
      <c r="Z4271" s="100"/>
    </row>
    <row r="4272" spans="24:26">
      <c r="X4272" s="2"/>
      <c r="Y4272" s="101"/>
      <c r="Z4272" s="100"/>
    </row>
    <row r="4273" spans="24:26">
      <c r="X4273" s="2"/>
      <c r="Y4273" s="101"/>
      <c r="Z4273" s="100"/>
    </row>
    <row r="4274" spans="24:26">
      <c r="X4274" s="2"/>
      <c r="Y4274" s="101"/>
      <c r="Z4274" s="100"/>
    </row>
    <row r="4275" spans="24:26">
      <c r="X4275" s="2"/>
      <c r="Y4275" s="101"/>
      <c r="Z4275" s="100"/>
    </row>
    <row r="4276" spans="24:26">
      <c r="X4276" s="2"/>
      <c r="Y4276" s="101"/>
      <c r="Z4276" s="100"/>
    </row>
    <row r="4277" spans="24:26">
      <c r="X4277" s="2"/>
      <c r="Y4277" s="101"/>
      <c r="Z4277" s="100"/>
    </row>
    <row r="4278" spans="24:26">
      <c r="X4278" s="2"/>
      <c r="Y4278" s="101"/>
      <c r="Z4278" s="100"/>
    </row>
    <row r="4279" spans="24:26">
      <c r="X4279" s="2"/>
      <c r="Y4279" s="101"/>
      <c r="Z4279" s="100"/>
    </row>
    <row r="4280" spans="24:26">
      <c r="X4280" s="2"/>
      <c r="Y4280" s="101"/>
      <c r="Z4280" s="100"/>
    </row>
    <row r="4281" spans="24:26">
      <c r="X4281" s="2"/>
      <c r="Y4281" s="101"/>
      <c r="Z4281" s="100"/>
    </row>
    <row r="4282" spans="24:26">
      <c r="X4282" s="2"/>
      <c r="Y4282" s="101"/>
      <c r="Z4282" s="100"/>
    </row>
    <row r="4283" spans="24:26">
      <c r="X4283" s="2"/>
      <c r="Y4283" s="101"/>
      <c r="Z4283" s="100"/>
    </row>
    <row r="4284" spans="24:26">
      <c r="X4284" s="2"/>
      <c r="Y4284" s="101"/>
      <c r="Z4284" s="100"/>
    </row>
    <row r="4285" spans="24:26">
      <c r="X4285" s="2"/>
      <c r="Y4285" s="101"/>
      <c r="Z4285" s="100"/>
    </row>
    <row r="4286" spans="24:26">
      <c r="X4286" s="2"/>
      <c r="Y4286" s="101"/>
      <c r="Z4286" s="100"/>
    </row>
    <row r="4287" spans="24:26">
      <c r="X4287" s="2"/>
      <c r="Y4287" s="101"/>
      <c r="Z4287" s="100"/>
    </row>
    <row r="4288" spans="24:26">
      <c r="X4288" s="2"/>
      <c r="Y4288" s="101"/>
      <c r="Z4288" s="100"/>
    </row>
    <row r="4289" spans="24:26">
      <c r="X4289" s="2"/>
      <c r="Y4289" s="101"/>
      <c r="Z4289" s="100"/>
    </row>
    <row r="4290" spans="24:26">
      <c r="X4290" s="2"/>
      <c r="Y4290" s="101"/>
      <c r="Z4290" s="100"/>
    </row>
    <row r="4291" spans="24:26">
      <c r="X4291" s="2"/>
      <c r="Y4291" s="101"/>
      <c r="Z4291" s="100"/>
    </row>
    <row r="4292" spans="24:26">
      <c r="X4292" s="2"/>
      <c r="Y4292" s="101"/>
      <c r="Z4292" s="100"/>
    </row>
    <row r="4293" spans="24:26">
      <c r="X4293" s="2"/>
      <c r="Y4293" s="101"/>
      <c r="Z4293" s="100"/>
    </row>
    <row r="4294" spans="24:26">
      <c r="X4294" s="2"/>
      <c r="Y4294" s="101"/>
      <c r="Z4294" s="100"/>
    </row>
    <row r="4295" spans="24:26">
      <c r="X4295" s="2"/>
      <c r="Y4295" s="101"/>
      <c r="Z4295" s="100"/>
    </row>
    <row r="4296" spans="24:26">
      <c r="X4296" s="2"/>
      <c r="Y4296" s="101"/>
      <c r="Z4296" s="100"/>
    </row>
    <row r="4297" spans="24:26">
      <c r="X4297" s="2"/>
      <c r="Y4297" s="101"/>
      <c r="Z4297" s="100"/>
    </row>
    <row r="4298" spans="24:26">
      <c r="X4298" s="2"/>
      <c r="Y4298" s="101"/>
      <c r="Z4298" s="100"/>
    </row>
    <row r="4299" spans="24:26">
      <c r="X4299" s="2"/>
      <c r="Y4299" s="101"/>
      <c r="Z4299" s="100"/>
    </row>
    <row r="4300" spans="24:26">
      <c r="X4300" s="2"/>
      <c r="Y4300" s="101"/>
      <c r="Z4300" s="100"/>
    </row>
    <row r="4301" spans="24:26">
      <c r="X4301" s="2"/>
      <c r="Y4301" s="101"/>
      <c r="Z4301" s="100"/>
    </row>
    <row r="4302" spans="24:26">
      <c r="X4302" s="2"/>
      <c r="Y4302" s="101"/>
      <c r="Z4302" s="100"/>
    </row>
    <row r="4303" spans="24:26">
      <c r="X4303" s="2"/>
      <c r="Y4303" s="101"/>
      <c r="Z4303" s="100"/>
    </row>
    <row r="4304" spans="24:26">
      <c r="X4304" s="2"/>
      <c r="Y4304" s="101"/>
      <c r="Z4304" s="100"/>
    </row>
    <row r="4305" spans="24:26">
      <c r="X4305" s="2"/>
      <c r="Y4305" s="101"/>
      <c r="Z4305" s="100"/>
    </row>
    <row r="4306" spans="24:26">
      <c r="X4306" s="2"/>
      <c r="Y4306" s="101"/>
      <c r="Z4306" s="100"/>
    </row>
    <row r="4307" spans="24:26">
      <c r="X4307" s="2"/>
      <c r="Y4307" s="101"/>
      <c r="Z4307" s="100"/>
    </row>
    <row r="4308" spans="24:26">
      <c r="X4308" s="2"/>
      <c r="Y4308" s="101"/>
      <c r="Z4308" s="100"/>
    </row>
    <row r="4309" spans="24:26">
      <c r="X4309" s="2"/>
      <c r="Y4309" s="101"/>
      <c r="Z4309" s="100"/>
    </row>
    <row r="4310" spans="24:26">
      <c r="X4310" s="2"/>
      <c r="Y4310" s="101"/>
      <c r="Z4310" s="100"/>
    </row>
    <row r="4311" spans="24:26">
      <c r="X4311" s="2"/>
      <c r="Y4311" s="101"/>
      <c r="Z4311" s="100"/>
    </row>
    <row r="4312" spans="24:26">
      <c r="X4312" s="2"/>
      <c r="Y4312" s="101"/>
      <c r="Z4312" s="100"/>
    </row>
    <row r="4313" spans="24:26">
      <c r="X4313" s="2"/>
      <c r="Y4313" s="101"/>
      <c r="Z4313" s="100"/>
    </row>
    <row r="4314" spans="24:26">
      <c r="X4314" s="2"/>
      <c r="Y4314" s="101"/>
      <c r="Z4314" s="100"/>
    </row>
    <row r="4315" spans="24:26">
      <c r="X4315" s="2"/>
      <c r="Y4315" s="101"/>
      <c r="Z4315" s="100"/>
    </row>
    <row r="4316" spans="24:26">
      <c r="X4316" s="2"/>
      <c r="Y4316" s="101"/>
      <c r="Z4316" s="100"/>
    </row>
    <row r="4317" spans="24:26">
      <c r="X4317" s="2"/>
      <c r="Y4317" s="101"/>
      <c r="Z4317" s="100"/>
    </row>
    <row r="4318" spans="24:26">
      <c r="X4318" s="2"/>
      <c r="Y4318" s="101"/>
      <c r="Z4318" s="100"/>
    </row>
    <row r="4319" spans="24:26">
      <c r="X4319" s="2"/>
      <c r="Y4319" s="101"/>
      <c r="Z4319" s="100"/>
    </row>
    <row r="4320" spans="24:26">
      <c r="X4320" s="2"/>
      <c r="Y4320" s="101"/>
      <c r="Z4320" s="100"/>
    </row>
    <row r="4321" spans="24:26">
      <c r="X4321" s="2"/>
      <c r="Y4321" s="101"/>
      <c r="Z4321" s="100"/>
    </row>
    <row r="4322" spans="24:26">
      <c r="X4322" s="2"/>
      <c r="Y4322" s="101"/>
      <c r="Z4322" s="100"/>
    </row>
    <row r="4323" spans="24:26">
      <c r="X4323" s="2"/>
      <c r="Y4323" s="101"/>
      <c r="Z4323" s="100"/>
    </row>
    <row r="4324" spans="24:26">
      <c r="X4324" s="2"/>
      <c r="Y4324" s="101"/>
      <c r="Z4324" s="100"/>
    </row>
    <row r="4325" spans="24:26">
      <c r="X4325" s="2"/>
      <c r="Y4325" s="101"/>
      <c r="Z4325" s="100"/>
    </row>
    <row r="4326" spans="24:26">
      <c r="X4326" s="2"/>
      <c r="Y4326" s="101"/>
      <c r="Z4326" s="100"/>
    </row>
    <row r="4327" spans="24:26">
      <c r="X4327" s="2"/>
      <c r="Y4327" s="101"/>
      <c r="Z4327" s="100"/>
    </row>
    <row r="4328" spans="24:26">
      <c r="X4328" s="2"/>
      <c r="Y4328" s="101"/>
      <c r="Z4328" s="100"/>
    </row>
    <row r="4329" spans="24:26">
      <c r="X4329" s="2"/>
      <c r="Y4329" s="101"/>
      <c r="Z4329" s="100"/>
    </row>
    <row r="4330" spans="24:26">
      <c r="X4330" s="2"/>
      <c r="Y4330" s="101"/>
      <c r="Z4330" s="100"/>
    </row>
    <row r="4331" spans="24:26">
      <c r="X4331" s="2"/>
      <c r="Y4331" s="101"/>
      <c r="Z4331" s="100"/>
    </row>
    <row r="4332" spans="24:26">
      <c r="X4332" s="2"/>
      <c r="Y4332" s="101"/>
      <c r="Z4332" s="100"/>
    </row>
    <row r="4333" spans="24:26">
      <c r="X4333" s="2"/>
      <c r="Y4333" s="101"/>
      <c r="Z4333" s="100"/>
    </row>
    <row r="4334" spans="24:26">
      <c r="X4334" s="2"/>
      <c r="Y4334" s="101"/>
      <c r="Z4334" s="100"/>
    </row>
    <row r="4335" spans="24:26">
      <c r="X4335" s="2"/>
      <c r="Y4335" s="101"/>
      <c r="Z4335" s="100"/>
    </row>
    <row r="4336" spans="24:26">
      <c r="X4336" s="2"/>
      <c r="Y4336" s="101"/>
      <c r="Z4336" s="100"/>
    </row>
    <row r="4337" spans="24:26">
      <c r="X4337" s="2"/>
      <c r="Y4337" s="101"/>
      <c r="Z4337" s="100"/>
    </row>
    <row r="4338" spans="24:26">
      <c r="X4338" s="2"/>
      <c r="Y4338" s="101"/>
      <c r="Z4338" s="100"/>
    </row>
    <row r="4339" spans="24:26">
      <c r="X4339" s="2"/>
      <c r="Y4339" s="101"/>
      <c r="Z4339" s="100"/>
    </row>
    <row r="4340" spans="24:26">
      <c r="X4340" s="2"/>
      <c r="Y4340" s="101"/>
      <c r="Z4340" s="100"/>
    </row>
    <row r="4341" spans="24:26">
      <c r="X4341" s="2"/>
      <c r="Y4341" s="101"/>
      <c r="Z4341" s="100"/>
    </row>
    <row r="4342" spans="24:26">
      <c r="X4342" s="2"/>
      <c r="Y4342" s="101"/>
      <c r="Z4342" s="100"/>
    </row>
    <row r="4343" spans="24:26">
      <c r="X4343" s="2"/>
      <c r="Y4343" s="101"/>
      <c r="Z4343" s="100"/>
    </row>
    <row r="4344" spans="24:26">
      <c r="X4344" s="2"/>
      <c r="Y4344" s="101"/>
      <c r="Z4344" s="100"/>
    </row>
    <row r="4345" spans="24:26">
      <c r="X4345" s="2"/>
      <c r="Y4345" s="101"/>
      <c r="Z4345" s="100"/>
    </row>
    <row r="4346" spans="24:26">
      <c r="X4346" s="2"/>
      <c r="Y4346" s="101"/>
      <c r="Z4346" s="100"/>
    </row>
    <row r="4347" spans="24:26">
      <c r="X4347" s="2"/>
      <c r="Y4347" s="101"/>
      <c r="Z4347" s="100"/>
    </row>
    <row r="4348" spans="24:26">
      <c r="X4348" s="2"/>
      <c r="Y4348" s="101"/>
      <c r="Z4348" s="100"/>
    </row>
    <row r="4349" spans="24:26">
      <c r="X4349" s="2"/>
      <c r="Y4349" s="101"/>
      <c r="Z4349" s="100"/>
    </row>
    <row r="4350" spans="24:26">
      <c r="X4350" s="2"/>
      <c r="Y4350" s="101"/>
      <c r="Z4350" s="100"/>
    </row>
    <row r="4351" spans="24:26">
      <c r="X4351" s="2"/>
      <c r="Y4351" s="101"/>
      <c r="Z4351" s="100"/>
    </row>
    <row r="4352" spans="24:26">
      <c r="X4352" s="2"/>
      <c r="Y4352" s="101"/>
      <c r="Z4352" s="100"/>
    </row>
    <row r="4353" spans="24:26">
      <c r="X4353" s="2"/>
      <c r="Y4353" s="101"/>
      <c r="Z4353" s="100"/>
    </row>
    <row r="4354" spans="24:26">
      <c r="X4354" s="2"/>
      <c r="Y4354" s="101"/>
      <c r="Z4354" s="100"/>
    </row>
    <row r="4355" spans="24:26">
      <c r="X4355" s="2"/>
      <c r="Y4355" s="101"/>
      <c r="Z4355" s="100"/>
    </row>
    <row r="4356" spans="24:26">
      <c r="X4356" s="2"/>
      <c r="Y4356" s="101"/>
      <c r="Z4356" s="100"/>
    </row>
    <row r="4357" spans="24:26">
      <c r="X4357" s="2"/>
      <c r="Y4357" s="101"/>
      <c r="Z4357" s="100"/>
    </row>
    <row r="4358" spans="24:26">
      <c r="X4358" s="2"/>
      <c r="Y4358" s="101"/>
      <c r="Z4358" s="100"/>
    </row>
    <row r="4359" spans="24:26">
      <c r="X4359" s="2"/>
      <c r="Y4359" s="101"/>
      <c r="Z4359" s="100"/>
    </row>
    <row r="4360" spans="24:26">
      <c r="X4360" s="2"/>
      <c r="Y4360" s="101"/>
      <c r="Z4360" s="100"/>
    </row>
    <row r="4361" spans="24:26">
      <c r="X4361" s="2"/>
      <c r="Y4361" s="101"/>
      <c r="Z4361" s="100"/>
    </row>
    <row r="4362" spans="24:26">
      <c r="X4362" s="2"/>
      <c r="Y4362" s="101"/>
      <c r="Z4362" s="100"/>
    </row>
    <row r="4363" spans="24:26">
      <c r="X4363" s="2"/>
      <c r="Y4363" s="101"/>
      <c r="Z4363" s="100"/>
    </row>
    <row r="4364" spans="24:26">
      <c r="X4364" s="2"/>
      <c r="Y4364" s="101"/>
      <c r="Z4364" s="100"/>
    </row>
    <row r="4365" spans="24:26">
      <c r="X4365" s="2"/>
      <c r="Y4365" s="101"/>
      <c r="Z4365" s="100"/>
    </row>
    <row r="4366" spans="24:26">
      <c r="X4366" s="2"/>
      <c r="Y4366" s="101"/>
      <c r="Z4366" s="100"/>
    </row>
    <row r="4367" spans="24:26">
      <c r="X4367" s="2"/>
      <c r="Y4367" s="101"/>
      <c r="Z4367" s="100"/>
    </row>
    <row r="4368" spans="24:26">
      <c r="X4368" s="2"/>
      <c r="Y4368" s="101"/>
      <c r="Z4368" s="100"/>
    </row>
    <row r="4369" spans="24:26">
      <c r="X4369" s="2"/>
      <c r="Y4369" s="101"/>
      <c r="Z4369" s="100"/>
    </row>
    <row r="4370" spans="24:26">
      <c r="X4370" s="2"/>
      <c r="Y4370" s="101"/>
      <c r="Z4370" s="100"/>
    </row>
    <row r="4371" spans="24:26">
      <c r="X4371" s="2"/>
      <c r="Y4371" s="101"/>
      <c r="Z4371" s="100"/>
    </row>
    <row r="4372" spans="24:26">
      <c r="X4372" s="2"/>
      <c r="Y4372" s="101"/>
      <c r="Z4372" s="100"/>
    </row>
    <row r="4373" spans="24:26">
      <c r="X4373" s="2"/>
      <c r="Y4373" s="101"/>
      <c r="Z4373" s="100"/>
    </row>
    <row r="4374" spans="24:26">
      <c r="X4374" s="2"/>
      <c r="Y4374" s="101"/>
      <c r="Z4374" s="100"/>
    </row>
    <row r="4375" spans="24:26">
      <c r="X4375" s="2"/>
      <c r="Y4375" s="101"/>
      <c r="Z4375" s="100"/>
    </row>
    <row r="4376" spans="24:26">
      <c r="X4376" s="2"/>
      <c r="Y4376" s="101"/>
      <c r="Z4376" s="100"/>
    </row>
    <row r="4377" spans="24:26">
      <c r="X4377" s="2"/>
      <c r="Y4377" s="101"/>
      <c r="Z4377" s="100"/>
    </row>
    <row r="4378" spans="24:26">
      <c r="X4378" s="2"/>
      <c r="Y4378" s="101"/>
      <c r="Z4378" s="100"/>
    </row>
    <row r="4379" spans="24:26">
      <c r="X4379" s="2"/>
      <c r="Y4379" s="101"/>
      <c r="Z4379" s="100"/>
    </row>
    <row r="4380" spans="24:26">
      <c r="X4380" s="2"/>
      <c r="Y4380" s="101"/>
      <c r="Z4380" s="100"/>
    </row>
    <row r="4381" spans="24:26">
      <c r="X4381" s="2"/>
      <c r="Y4381" s="101"/>
      <c r="Z4381" s="100"/>
    </row>
    <row r="4382" spans="24:26">
      <c r="X4382" s="2"/>
      <c r="Y4382" s="101"/>
      <c r="Z4382" s="100"/>
    </row>
    <row r="4383" spans="24:26">
      <c r="X4383" s="2"/>
      <c r="Y4383" s="101"/>
      <c r="Z4383" s="100"/>
    </row>
    <row r="4384" spans="24:26">
      <c r="X4384" s="2"/>
      <c r="Y4384" s="101"/>
      <c r="Z4384" s="100"/>
    </row>
    <row r="4385" spans="24:26">
      <c r="X4385" s="2"/>
      <c r="Y4385" s="101"/>
      <c r="Z4385" s="100"/>
    </row>
    <row r="4386" spans="24:26">
      <c r="X4386" s="2"/>
      <c r="Y4386" s="101"/>
      <c r="Z4386" s="100"/>
    </row>
    <row r="4387" spans="24:26">
      <c r="X4387" s="2"/>
      <c r="Y4387" s="101"/>
      <c r="Z4387" s="100"/>
    </row>
    <row r="4388" spans="24:26">
      <c r="X4388" s="2"/>
      <c r="Y4388" s="101"/>
      <c r="Z4388" s="100"/>
    </row>
    <row r="4389" spans="24:26">
      <c r="X4389" s="2"/>
      <c r="Y4389" s="101"/>
      <c r="Z4389" s="100"/>
    </row>
    <row r="4390" spans="24:26">
      <c r="X4390" s="2"/>
      <c r="Y4390" s="101"/>
      <c r="Z4390" s="100"/>
    </row>
    <row r="4391" spans="24:26">
      <c r="X4391" s="2"/>
      <c r="Y4391" s="101"/>
      <c r="Z4391" s="100"/>
    </row>
    <row r="4392" spans="24:26">
      <c r="X4392" s="2"/>
      <c r="Y4392" s="101"/>
      <c r="Z4392" s="100"/>
    </row>
    <row r="4393" spans="24:26">
      <c r="X4393" s="2"/>
      <c r="Y4393" s="101"/>
      <c r="Z4393" s="100"/>
    </row>
    <row r="4394" spans="24:26">
      <c r="X4394" s="2"/>
      <c r="Y4394" s="101"/>
      <c r="Z4394" s="100"/>
    </row>
    <row r="4395" spans="24:26">
      <c r="X4395" s="2"/>
      <c r="Y4395" s="101"/>
      <c r="Z4395" s="100"/>
    </row>
    <row r="4396" spans="24:26">
      <c r="X4396" s="2"/>
      <c r="Y4396" s="101"/>
      <c r="Z4396" s="100"/>
    </row>
    <row r="4397" spans="24:26">
      <c r="X4397" s="2"/>
      <c r="Y4397" s="101"/>
      <c r="Z4397" s="100"/>
    </row>
    <row r="4398" spans="24:26">
      <c r="X4398" s="2"/>
      <c r="Y4398" s="101"/>
      <c r="Z4398" s="100"/>
    </row>
    <row r="4399" spans="24:26">
      <c r="X4399" s="2"/>
      <c r="Y4399" s="101"/>
      <c r="Z4399" s="100"/>
    </row>
    <row r="4400" spans="24:26">
      <c r="X4400" s="2"/>
      <c r="Y4400" s="101"/>
      <c r="Z4400" s="100"/>
    </row>
    <row r="4401" spans="24:26">
      <c r="X4401" s="2"/>
      <c r="Y4401" s="101"/>
      <c r="Z4401" s="100"/>
    </row>
    <row r="4402" spans="24:26">
      <c r="X4402" s="2"/>
      <c r="Y4402" s="101"/>
      <c r="Z4402" s="100"/>
    </row>
    <row r="4403" spans="24:26">
      <c r="X4403" s="2"/>
      <c r="Y4403" s="101"/>
      <c r="Z4403" s="100"/>
    </row>
    <row r="4404" spans="24:26">
      <c r="X4404" s="2"/>
      <c r="Y4404" s="101"/>
      <c r="Z4404" s="100"/>
    </row>
    <row r="4405" spans="24:26">
      <c r="X4405" s="2"/>
      <c r="Y4405" s="101"/>
      <c r="Z4405" s="100"/>
    </row>
    <row r="4406" spans="24:26">
      <c r="X4406" s="2"/>
      <c r="Y4406" s="101"/>
      <c r="Z4406" s="100"/>
    </row>
    <row r="4407" spans="24:26">
      <c r="X4407" s="2"/>
      <c r="Y4407" s="101"/>
      <c r="Z4407" s="100"/>
    </row>
    <row r="4408" spans="24:26">
      <c r="X4408" s="2"/>
      <c r="Y4408" s="101"/>
      <c r="Z4408" s="100"/>
    </row>
    <row r="4409" spans="24:26">
      <c r="X4409" s="2"/>
      <c r="Y4409" s="101"/>
      <c r="Z4409" s="100"/>
    </row>
    <row r="4410" spans="24:26">
      <c r="X4410" s="2"/>
      <c r="Y4410" s="101"/>
      <c r="Z4410" s="100"/>
    </row>
    <row r="4411" spans="24:26">
      <c r="X4411" s="2"/>
      <c r="Y4411" s="101"/>
      <c r="Z4411" s="100"/>
    </row>
    <row r="4412" spans="24:26">
      <c r="X4412" s="2"/>
      <c r="Y4412" s="101"/>
      <c r="Z4412" s="100"/>
    </row>
    <row r="4413" spans="24:26">
      <c r="X4413" s="2"/>
      <c r="Y4413" s="101"/>
      <c r="Z4413" s="100"/>
    </row>
    <row r="4414" spans="24:26">
      <c r="X4414" s="2"/>
      <c r="Y4414" s="101"/>
      <c r="Z4414" s="100"/>
    </row>
    <row r="4415" spans="24:26">
      <c r="X4415" s="2"/>
      <c r="Y4415" s="101"/>
      <c r="Z4415" s="100"/>
    </row>
    <row r="4416" spans="24:26">
      <c r="X4416" s="2"/>
      <c r="Y4416" s="101"/>
      <c r="Z4416" s="100"/>
    </row>
    <row r="4417" spans="24:26">
      <c r="X4417" s="2"/>
      <c r="Y4417" s="101"/>
      <c r="Z4417" s="100"/>
    </row>
    <row r="4418" spans="24:26">
      <c r="X4418" s="2"/>
      <c r="Y4418" s="101"/>
      <c r="Z4418" s="100"/>
    </row>
    <row r="4419" spans="24:26">
      <c r="X4419" s="2"/>
      <c r="Y4419" s="101"/>
      <c r="Z4419" s="100"/>
    </row>
    <row r="4420" spans="24:26">
      <c r="X4420" s="2"/>
      <c r="Y4420" s="101"/>
      <c r="Z4420" s="100"/>
    </row>
    <row r="4421" spans="24:26">
      <c r="X4421" s="2"/>
      <c r="Y4421" s="101"/>
      <c r="Z4421" s="100"/>
    </row>
    <row r="4422" spans="24:26">
      <c r="X4422" s="2"/>
      <c r="Y4422" s="101"/>
      <c r="Z4422" s="100"/>
    </row>
    <row r="4423" spans="24:26">
      <c r="X4423" s="2"/>
      <c r="Y4423" s="101"/>
      <c r="Z4423" s="100"/>
    </row>
    <row r="4424" spans="24:26">
      <c r="X4424" s="2"/>
      <c r="Y4424" s="101"/>
      <c r="Z4424" s="100"/>
    </row>
    <row r="4425" spans="24:26">
      <c r="X4425" s="2"/>
      <c r="Y4425" s="101"/>
      <c r="Z4425" s="100"/>
    </row>
    <row r="4426" spans="24:26">
      <c r="X4426" s="2"/>
      <c r="Y4426" s="101"/>
      <c r="Z4426" s="100"/>
    </row>
    <row r="4427" spans="24:26">
      <c r="X4427" s="2"/>
      <c r="Y4427" s="101"/>
      <c r="Z4427" s="100"/>
    </row>
    <row r="4428" spans="24:26">
      <c r="X4428" s="2"/>
      <c r="Y4428" s="101"/>
      <c r="Z4428" s="100"/>
    </row>
    <row r="4429" spans="24:26">
      <c r="X4429" s="2"/>
      <c r="Y4429" s="101"/>
      <c r="Z4429" s="100"/>
    </row>
    <row r="4430" spans="24:26">
      <c r="X4430" s="2"/>
      <c r="Y4430" s="101"/>
      <c r="Z4430" s="100"/>
    </row>
    <row r="4431" spans="24:26">
      <c r="X4431" s="2"/>
      <c r="Y4431" s="101"/>
      <c r="Z4431" s="100"/>
    </row>
    <row r="4432" spans="24:26">
      <c r="X4432" s="2"/>
      <c r="Y4432" s="101"/>
      <c r="Z4432" s="100"/>
    </row>
    <row r="4433" spans="24:26">
      <c r="X4433" s="2"/>
      <c r="Y4433" s="101"/>
      <c r="Z4433" s="100"/>
    </row>
    <row r="4434" spans="24:26">
      <c r="X4434" s="2"/>
      <c r="Y4434" s="101"/>
      <c r="Z4434" s="100"/>
    </row>
    <row r="4435" spans="24:26">
      <c r="X4435" s="2"/>
      <c r="Y4435" s="101"/>
      <c r="Z4435" s="100"/>
    </row>
    <row r="4436" spans="24:26">
      <c r="X4436" s="2"/>
      <c r="Y4436" s="101"/>
      <c r="Z4436" s="100"/>
    </row>
    <row r="4437" spans="24:26">
      <c r="X4437" s="2"/>
      <c r="Y4437" s="101"/>
      <c r="Z4437" s="100"/>
    </row>
    <row r="4438" spans="24:26">
      <c r="X4438" s="2"/>
      <c r="Y4438" s="101"/>
      <c r="Z4438" s="100"/>
    </row>
    <row r="4439" spans="24:26">
      <c r="X4439" s="2"/>
      <c r="Y4439" s="101"/>
      <c r="Z4439" s="100"/>
    </row>
    <row r="4440" spans="24:26">
      <c r="X4440" s="2"/>
      <c r="Y4440" s="101"/>
      <c r="Z4440" s="100"/>
    </row>
    <row r="4441" spans="24:26">
      <c r="X4441" s="2"/>
      <c r="Y4441" s="101"/>
      <c r="Z4441" s="100"/>
    </row>
    <row r="4442" spans="24:26">
      <c r="X4442" s="2"/>
      <c r="Y4442" s="101"/>
      <c r="Z4442" s="100"/>
    </row>
    <row r="4443" spans="24:26">
      <c r="X4443" s="2"/>
      <c r="Y4443" s="101"/>
      <c r="Z4443" s="100"/>
    </row>
    <row r="4444" spans="24:26">
      <c r="X4444" s="2"/>
      <c r="Y4444" s="101"/>
      <c r="Z4444" s="100"/>
    </row>
    <row r="4445" spans="24:26">
      <c r="X4445" s="2"/>
      <c r="Y4445" s="101"/>
      <c r="Z4445" s="100"/>
    </row>
    <row r="4446" spans="24:26">
      <c r="X4446" s="2"/>
      <c r="Y4446" s="101"/>
      <c r="Z4446" s="100"/>
    </row>
    <row r="4447" spans="24:26">
      <c r="X4447" s="2"/>
      <c r="Y4447" s="101"/>
      <c r="Z4447" s="100"/>
    </row>
    <row r="4448" spans="24:26">
      <c r="X4448" s="2"/>
      <c r="Y4448" s="101"/>
      <c r="Z4448" s="100"/>
    </row>
    <row r="4449" spans="24:26">
      <c r="X4449" s="2"/>
      <c r="Y4449" s="101"/>
      <c r="Z4449" s="100"/>
    </row>
    <row r="4450" spans="24:26">
      <c r="X4450" s="2"/>
      <c r="Y4450" s="101"/>
      <c r="Z4450" s="100"/>
    </row>
    <row r="4451" spans="24:26">
      <c r="X4451" s="2"/>
      <c r="Y4451" s="101"/>
      <c r="Z4451" s="100"/>
    </row>
    <row r="4452" spans="24:26">
      <c r="X4452" s="2"/>
      <c r="Y4452" s="101"/>
      <c r="Z4452" s="100"/>
    </row>
    <row r="4453" spans="24:26">
      <c r="X4453" s="2"/>
      <c r="Y4453" s="101"/>
      <c r="Z4453" s="100"/>
    </row>
    <row r="4454" spans="24:26">
      <c r="X4454" s="2"/>
      <c r="Y4454" s="101"/>
      <c r="Z4454" s="100"/>
    </row>
    <row r="4455" spans="24:26">
      <c r="X4455" s="2"/>
      <c r="Y4455" s="101"/>
      <c r="Z4455" s="100"/>
    </row>
    <row r="4456" spans="24:26">
      <c r="X4456" s="2"/>
      <c r="Y4456" s="101"/>
      <c r="Z4456" s="100"/>
    </row>
    <row r="4457" spans="24:26">
      <c r="X4457" s="2"/>
      <c r="Y4457" s="101"/>
      <c r="Z4457" s="100"/>
    </row>
    <row r="4458" spans="24:26">
      <c r="X4458" s="2"/>
      <c r="Y4458" s="101"/>
      <c r="Z4458" s="100"/>
    </row>
    <row r="4459" spans="24:26">
      <c r="X4459" s="2"/>
      <c r="Y4459" s="101"/>
      <c r="Z4459" s="100"/>
    </row>
    <row r="4460" spans="24:26">
      <c r="X4460" s="2"/>
      <c r="Y4460" s="101"/>
      <c r="Z4460" s="100"/>
    </row>
    <row r="4461" spans="24:26">
      <c r="X4461" s="2"/>
      <c r="Y4461" s="101"/>
      <c r="Z4461" s="100"/>
    </row>
    <row r="4462" spans="24:26">
      <c r="X4462" s="2"/>
      <c r="Y4462" s="101"/>
      <c r="Z4462" s="100"/>
    </row>
    <row r="4463" spans="24:26">
      <c r="X4463" s="2"/>
      <c r="Y4463" s="101"/>
      <c r="Z4463" s="100"/>
    </row>
    <row r="4464" spans="24:26">
      <c r="X4464" s="2"/>
      <c r="Y4464" s="101"/>
      <c r="Z4464" s="100"/>
    </row>
    <row r="4465" spans="24:26">
      <c r="X4465" s="2"/>
      <c r="Y4465" s="101"/>
      <c r="Z4465" s="100"/>
    </row>
    <row r="4466" spans="24:26">
      <c r="X4466" s="2"/>
      <c r="Y4466" s="101"/>
      <c r="Z4466" s="100"/>
    </row>
    <row r="4467" spans="24:26">
      <c r="X4467" s="2"/>
      <c r="Y4467" s="101"/>
      <c r="Z4467" s="100"/>
    </row>
    <row r="4468" spans="24:26">
      <c r="X4468" s="2"/>
      <c r="Y4468" s="101"/>
      <c r="Z4468" s="100"/>
    </row>
    <row r="4469" spans="24:26">
      <c r="X4469" s="2"/>
      <c r="Y4469" s="101"/>
      <c r="Z4469" s="100"/>
    </row>
    <row r="4470" spans="24:26">
      <c r="X4470" s="2"/>
      <c r="Y4470" s="101"/>
      <c r="Z4470" s="100"/>
    </row>
    <row r="4471" spans="24:26">
      <c r="X4471" s="2"/>
      <c r="Y4471" s="101"/>
      <c r="Z4471" s="100"/>
    </row>
    <row r="4472" spans="24:26">
      <c r="X4472" s="2"/>
      <c r="Y4472" s="101"/>
      <c r="Z4472" s="100"/>
    </row>
    <row r="4473" spans="24:26">
      <c r="X4473" s="2"/>
      <c r="Y4473" s="101"/>
      <c r="Z4473" s="100"/>
    </row>
    <row r="4474" spans="24:26">
      <c r="X4474" s="2"/>
      <c r="Y4474" s="101"/>
      <c r="Z4474" s="100"/>
    </row>
    <row r="4475" spans="24:26">
      <c r="X4475" s="2"/>
      <c r="Y4475" s="101"/>
      <c r="Z4475" s="100"/>
    </row>
    <row r="4476" spans="24:26">
      <c r="X4476" s="2"/>
      <c r="Y4476" s="101"/>
      <c r="Z4476" s="100"/>
    </row>
    <row r="4477" spans="24:26">
      <c r="X4477" s="2"/>
      <c r="Y4477" s="101"/>
      <c r="Z4477" s="100"/>
    </row>
    <row r="4478" spans="24:26">
      <c r="X4478" s="2"/>
      <c r="Y4478" s="101"/>
      <c r="Z4478" s="100"/>
    </row>
    <row r="4479" spans="24:26">
      <c r="X4479" s="2"/>
      <c r="Y4479" s="101"/>
      <c r="Z4479" s="100"/>
    </row>
    <row r="4480" spans="24:26">
      <c r="X4480" s="2"/>
      <c r="Y4480" s="101"/>
      <c r="Z4480" s="100"/>
    </row>
    <row r="4481" spans="24:26">
      <c r="X4481" s="2"/>
      <c r="Y4481" s="101"/>
      <c r="Z4481" s="100"/>
    </row>
    <row r="4482" spans="24:26">
      <c r="X4482" s="2"/>
      <c r="Y4482" s="101"/>
      <c r="Z4482" s="100"/>
    </row>
    <row r="4483" spans="24:26">
      <c r="X4483" s="2"/>
      <c r="Y4483" s="101"/>
      <c r="Z4483" s="100"/>
    </row>
    <row r="4484" spans="24:26">
      <c r="X4484" s="2"/>
      <c r="Y4484" s="101"/>
      <c r="Z4484" s="100"/>
    </row>
    <row r="4485" spans="24:26">
      <c r="X4485" s="2"/>
      <c r="Y4485" s="101"/>
      <c r="Z4485" s="100"/>
    </row>
    <row r="4486" spans="24:26">
      <c r="X4486" s="2"/>
      <c r="Y4486" s="101"/>
      <c r="Z4486" s="100"/>
    </row>
    <row r="4487" spans="24:26">
      <c r="X4487" s="2"/>
      <c r="Y4487" s="101"/>
      <c r="Z4487" s="100"/>
    </row>
    <row r="4488" spans="24:26">
      <c r="X4488" s="2"/>
      <c r="Y4488" s="101"/>
      <c r="Z4488" s="100"/>
    </row>
    <row r="4489" spans="24:26">
      <c r="X4489" s="2"/>
      <c r="Y4489" s="101"/>
      <c r="Z4489" s="100"/>
    </row>
    <row r="4490" spans="24:26">
      <c r="X4490" s="2"/>
      <c r="Y4490" s="101"/>
      <c r="Z4490" s="100"/>
    </row>
    <row r="4491" spans="24:26">
      <c r="X4491" s="2"/>
      <c r="Y4491" s="101"/>
      <c r="Z4491" s="100"/>
    </row>
    <row r="4492" spans="24:26">
      <c r="X4492" s="2"/>
      <c r="Y4492" s="101"/>
      <c r="Z4492" s="100"/>
    </row>
    <row r="4493" spans="24:26">
      <c r="X4493" s="2"/>
      <c r="Y4493" s="101"/>
      <c r="Z4493" s="100"/>
    </row>
    <row r="4494" spans="24:26">
      <c r="X4494" s="2"/>
      <c r="Y4494" s="101"/>
      <c r="Z4494" s="100"/>
    </row>
    <row r="4495" spans="24:26">
      <c r="X4495" s="2"/>
      <c r="Y4495" s="101"/>
      <c r="Z4495" s="100"/>
    </row>
    <row r="4496" spans="24:26">
      <c r="X4496" s="2"/>
      <c r="Y4496" s="101"/>
      <c r="Z4496" s="100"/>
    </row>
    <row r="4497" spans="24:26">
      <c r="X4497" s="2"/>
      <c r="Y4497" s="101"/>
      <c r="Z4497" s="100"/>
    </row>
    <row r="4498" spans="24:26">
      <c r="X4498" s="2"/>
      <c r="Y4498" s="101"/>
      <c r="Z4498" s="100"/>
    </row>
    <row r="4499" spans="24:26">
      <c r="X4499" s="2"/>
      <c r="Y4499" s="101"/>
      <c r="Z4499" s="100"/>
    </row>
    <row r="4500" spans="24:26">
      <c r="X4500" s="2"/>
      <c r="Y4500" s="101"/>
      <c r="Z4500" s="100"/>
    </row>
    <row r="4501" spans="24:26">
      <c r="X4501" s="2"/>
      <c r="Y4501" s="101"/>
      <c r="Z4501" s="100"/>
    </row>
    <row r="4502" spans="24:26">
      <c r="X4502" s="2"/>
      <c r="Y4502" s="101"/>
      <c r="Z4502" s="100"/>
    </row>
    <row r="4503" spans="24:26">
      <c r="X4503" s="2"/>
      <c r="Y4503" s="101"/>
      <c r="Z4503" s="100"/>
    </row>
    <row r="4504" spans="24:26">
      <c r="X4504" s="2"/>
      <c r="Y4504" s="101"/>
      <c r="Z4504" s="100"/>
    </row>
    <row r="4505" spans="24:26">
      <c r="X4505" s="2"/>
      <c r="Y4505" s="101"/>
      <c r="Z4505" s="100"/>
    </row>
    <row r="4506" spans="24:26">
      <c r="X4506" s="2"/>
      <c r="Y4506" s="101"/>
      <c r="Z4506" s="100"/>
    </row>
    <row r="4507" spans="24:26">
      <c r="X4507" s="2"/>
      <c r="Y4507" s="101"/>
      <c r="Z4507" s="100"/>
    </row>
    <row r="4508" spans="24:26">
      <c r="X4508" s="2"/>
      <c r="Y4508" s="101"/>
      <c r="Z4508" s="100"/>
    </row>
    <row r="4509" spans="24:26">
      <c r="X4509" s="2"/>
      <c r="Y4509" s="101"/>
      <c r="Z4509" s="100"/>
    </row>
    <row r="4510" spans="24:26">
      <c r="X4510" s="2"/>
      <c r="Y4510" s="101"/>
      <c r="Z4510" s="100"/>
    </row>
    <row r="4511" spans="24:26">
      <c r="X4511" s="2"/>
      <c r="Y4511" s="101"/>
      <c r="Z4511" s="100"/>
    </row>
    <row r="4512" spans="24:26">
      <c r="X4512" s="2"/>
      <c r="Y4512" s="101"/>
      <c r="Z4512" s="100"/>
    </row>
    <row r="4513" spans="24:26">
      <c r="X4513" s="2"/>
      <c r="Y4513" s="101"/>
      <c r="Z4513" s="100"/>
    </row>
    <row r="4514" spans="24:26">
      <c r="X4514" s="2"/>
      <c r="Y4514" s="101"/>
      <c r="Z4514" s="100"/>
    </row>
    <row r="4515" spans="24:26">
      <c r="X4515" s="2"/>
      <c r="Y4515" s="101"/>
      <c r="Z4515" s="100"/>
    </row>
    <row r="4516" spans="24:26">
      <c r="X4516" s="2"/>
      <c r="Y4516" s="101"/>
      <c r="Z4516" s="100"/>
    </row>
    <row r="4517" spans="24:26">
      <c r="X4517" s="2"/>
      <c r="Y4517" s="101"/>
      <c r="Z4517" s="100"/>
    </row>
    <row r="4518" spans="24:26">
      <c r="X4518" s="2"/>
      <c r="Y4518" s="101"/>
      <c r="Z4518" s="100"/>
    </row>
    <row r="4519" spans="24:26">
      <c r="X4519" s="2"/>
      <c r="Y4519" s="101"/>
      <c r="Z4519" s="100"/>
    </row>
    <row r="4520" spans="24:26">
      <c r="X4520" s="2"/>
      <c r="Y4520" s="101"/>
      <c r="Z4520" s="100"/>
    </row>
    <row r="4521" spans="24:26">
      <c r="X4521" s="2"/>
      <c r="Y4521" s="101"/>
      <c r="Z4521" s="100"/>
    </row>
    <row r="4522" spans="24:26">
      <c r="X4522" s="2"/>
      <c r="Y4522" s="101"/>
      <c r="Z4522" s="100"/>
    </row>
    <row r="4523" spans="24:26">
      <c r="X4523" s="2"/>
      <c r="Y4523" s="101"/>
      <c r="Z4523" s="100"/>
    </row>
    <row r="4524" spans="24:26">
      <c r="X4524" s="2"/>
      <c r="Y4524" s="101"/>
      <c r="Z4524" s="100"/>
    </row>
    <row r="4525" spans="24:26">
      <c r="X4525" s="2"/>
      <c r="Y4525" s="101"/>
      <c r="Z4525" s="100"/>
    </row>
    <row r="4526" spans="24:26">
      <c r="X4526" s="2"/>
      <c r="Y4526" s="101"/>
      <c r="Z4526" s="100"/>
    </row>
    <row r="4527" spans="24:26">
      <c r="X4527" s="2"/>
      <c r="Y4527" s="101"/>
      <c r="Z4527" s="100"/>
    </row>
    <row r="4528" spans="24:26">
      <c r="X4528" s="2"/>
      <c r="Y4528" s="101"/>
      <c r="Z4528" s="100"/>
    </row>
    <row r="4529" spans="24:26">
      <c r="X4529" s="2"/>
      <c r="Y4529" s="101"/>
      <c r="Z4529" s="100"/>
    </row>
    <row r="4530" spans="24:26">
      <c r="X4530" s="2"/>
      <c r="Y4530" s="101"/>
      <c r="Z4530" s="100"/>
    </row>
    <row r="4531" spans="24:26">
      <c r="X4531" s="2"/>
      <c r="Y4531" s="101"/>
      <c r="Z4531" s="100"/>
    </row>
    <row r="4532" spans="24:26">
      <c r="X4532" s="2"/>
      <c r="Y4532" s="101"/>
      <c r="Z4532" s="100"/>
    </row>
    <row r="4533" spans="24:26">
      <c r="X4533" s="2"/>
      <c r="Y4533" s="101"/>
      <c r="Z4533" s="100"/>
    </row>
    <row r="4534" spans="24:26">
      <c r="X4534" s="2"/>
      <c r="Y4534" s="101"/>
      <c r="Z4534" s="100"/>
    </row>
    <row r="4535" spans="24:26">
      <c r="X4535" s="2"/>
      <c r="Y4535" s="101"/>
      <c r="Z4535" s="100"/>
    </row>
    <row r="4536" spans="24:26">
      <c r="X4536" s="2"/>
      <c r="Y4536" s="101"/>
      <c r="Z4536" s="100"/>
    </row>
    <row r="4537" spans="24:26">
      <c r="X4537" s="2"/>
      <c r="Y4537" s="101"/>
      <c r="Z4537" s="100"/>
    </row>
    <row r="4538" spans="24:26">
      <c r="X4538" s="2"/>
      <c r="Y4538" s="101"/>
      <c r="Z4538" s="100"/>
    </row>
    <row r="4539" spans="24:26">
      <c r="X4539" s="2"/>
      <c r="Y4539" s="101"/>
      <c r="Z4539" s="100"/>
    </row>
    <row r="4540" spans="24:26">
      <c r="X4540" s="2"/>
      <c r="Y4540" s="101"/>
      <c r="Z4540" s="100"/>
    </row>
    <row r="4541" spans="24:26">
      <c r="X4541" s="2"/>
      <c r="Y4541" s="101"/>
      <c r="Z4541" s="100"/>
    </row>
    <row r="4542" spans="24:26">
      <c r="X4542" s="2"/>
      <c r="Y4542" s="101"/>
      <c r="Z4542" s="100"/>
    </row>
    <row r="4543" spans="24:26">
      <c r="X4543" s="2"/>
      <c r="Y4543" s="101"/>
      <c r="Z4543" s="100"/>
    </row>
    <row r="4544" spans="24:26">
      <c r="X4544" s="2"/>
      <c r="Y4544" s="101"/>
      <c r="Z4544" s="100"/>
    </row>
    <row r="4545" spans="24:26">
      <c r="X4545" s="2"/>
      <c r="Y4545" s="101"/>
      <c r="Z4545" s="100"/>
    </row>
    <row r="4546" spans="24:26">
      <c r="X4546" s="2"/>
      <c r="Y4546" s="101"/>
      <c r="Z4546" s="100"/>
    </row>
    <row r="4547" spans="24:26">
      <c r="X4547" s="2"/>
      <c r="Y4547" s="101"/>
      <c r="Z4547" s="100"/>
    </row>
    <row r="4548" spans="24:26">
      <c r="X4548" s="2"/>
      <c r="Y4548" s="101"/>
      <c r="Z4548" s="100"/>
    </row>
    <row r="4549" spans="24:26">
      <c r="X4549" s="2"/>
      <c r="Y4549" s="101"/>
      <c r="Z4549" s="100"/>
    </row>
    <row r="4550" spans="24:26">
      <c r="X4550" s="2"/>
      <c r="Y4550" s="101"/>
      <c r="Z4550" s="100"/>
    </row>
    <row r="4551" spans="24:26">
      <c r="X4551" s="2"/>
      <c r="Y4551" s="101"/>
      <c r="Z4551" s="100"/>
    </row>
    <row r="4552" spans="24:26">
      <c r="X4552" s="2"/>
      <c r="Y4552" s="101"/>
      <c r="Z4552" s="100"/>
    </row>
    <row r="4553" spans="24:26">
      <c r="X4553" s="2"/>
      <c r="Y4553" s="101"/>
      <c r="Z4553" s="100"/>
    </row>
    <row r="4554" spans="24:26">
      <c r="X4554" s="2"/>
      <c r="Y4554" s="101"/>
      <c r="Z4554" s="100"/>
    </row>
    <row r="4555" spans="24:26">
      <c r="X4555" s="2"/>
      <c r="Y4555" s="101"/>
      <c r="Z4555" s="100"/>
    </row>
    <row r="4556" spans="24:26">
      <c r="X4556" s="2"/>
      <c r="Y4556" s="101"/>
      <c r="Z4556" s="100"/>
    </row>
    <row r="4557" spans="24:26">
      <c r="X4557" s="2"/>
      <c r="Y4557" s="101"/>
      <c r="Z4557" s="100"/>
    </row>
    <row r="4558" spans="24:26">
      <c r="X4558" s="2"/>
      <c r="Y4558" s="101"/>
      <c r="Z4558" s="100"/>
    </row>
    <row r="4559" spans="24:26">
      <c r="X4559" s="2"/>
      <c r="Y4559" s="101"/>
      <c r="Z4559" s="100"/>
    </row>
    <row r="4560" spans="24:26">
      <c r="X4560" s="2"/>
      <c r="Y4560" s="101"/>
      <c r="Z4560" s="100"/>
    </row>
    <row r="4561" spans="24:26">
      <c r="X4561" s="2"/>
      <c r="Y4561" s="101"/>
      <c r="Z4561" s="100"/>
    </row>
    <row r="4562" spans="24:26">
      <c r="X4562" s="2"/>
      <c r="Y4562" s="101"/>
      <c r="Z4562" s="100"/>
    </row>
    <row r="4563" spans="24:26">
      <c r="X4563" s="2"/>
      <c r="Y4563" s="101"/>
      <c r="Z4563" s="100"/>
    </row>
    <row r="4564" spans="24:26">
      <c r="X4564" s="2"/>
      <c r="Y4564" s="101"/>
      <c r="Z4564" s="100"/>
    </row>
    <row r="4565" spans="24:26">
      <c r="X4565" s="2"/>
      <c r="Y4565" s="101"/>
      <c r="Z4565" s="100"/>
    </row>
    <row r="4566" spans="24:26">
      <c r="X4566" s="2"/>
      <c r="Y4566" s="101"/>
      <c r="Z4566" s="100"/>
    </row>
    <row r="4567" spans="24:26">
      <c r="X4567" s="2"/>
      <c r="Y4567" s="101"/>
      <c r="Z4567" s="100"/>
    </row>
    <row r="4568" spans="24:26">
      <c r="X4568" s="2"/>
      <c r="Y4568" s="101"/>
      <c r="Z4568" s="100"/>
    </row>
    <row r="4569" spans="24:26">
      <c r="X4569" s="2"/>
      <c r="Y4569" s="101"/>
      <c r="Z4569" s="100"/>
    </row>
    <row r="4570" spans="24:26">
      <c r="X4570" s="2"/>
      <c r="Y4570" s="101"/>
      <c r="Z4570" s="100"/>
    </row>
    <row r="4571" spans="24:26">
      <c r="X4571" s="2"/>
      <c r="Y4571" s="101"/>
      <c r="Z4571" s="100"/>
    </row>
    <row r="4572" spans="24:26">
      <c r="X4572" s="2"/>
      <c r="Y4572" s="101"/>
      <c r="Z4572" s="100"/>
    </row>
    <row r="4573" spans="24:26">
      <c r="X4573" s="2"/>
      <c r="Y4573" s="101"/>
      <c r="Z4573" s="100"/>
    </row>
    <row r="4574" spans="24:26">
      <c r="X4574" s="2"/>
      <c r="Y4574" s="101"/>
      <c r="Z4574" s="100"/>
    </row>
    <row r="4575" spans="24:26">
      <c r="X4575" s="2"/>
      <c r="Y4575" s="101"/>
      <c r="Z4575" s="100"/>
    </row>
    <row r="4576" spans="24:26">
      <c r="X4576" s="2"/>
      <c r="Y4576" s="101"/>
      <c r="Z4576" s="100"/>
    </row>
    <row r="4577" spans="24:26">
      <c r="X4577" s="2"/>
      <c r="Y4577" s="101"/>
      <c r="Z4577" s="100"/>
    </row>
    <row r="4578" spans="24:26">
      <c r="X4578" s="2"/>
      <c r="Y4578" s="101"/>
      <c r="Z4578" s="100"/>
    </row>
    <row r="4579" spans="24:26">
      <c r="X4579" s="2"/>
      <c r="Y4579" s="101"/>
      <c r="Z4579" s="100"/>
    </row>
    <row r="4580" spans="24:26">
      <c r="X4580" s="2"/>
      <c r="Y4580" s="101"/>
      <c r="Z4580" s="100"/>
    </row>
    <row r="4581" spans="24:26">
      <c r="X4581" s="2"/>
      <c r="Y4581" s="101"/>
      <c r="Z4581" s="100"/>
    </row>
    <row r="4582" spans="24:26">
      <c r="X4582" s="2"/>
      <c r="Y4582" s="101"/>
      <c r="Z4582" s="100"/>
    </row>
    <row r="4583" spans="24:26">
      <c r="X4583" s="2"/>
      <c r="Y4583" s="101"/>
      <c r="Z4583" s="100"/>
    </row>
    <row r="4584" spans="24:26">
      <c r="X4584" s="2"/>
      <c r="Y4584" s="101"/>
      <c r="Z4584" s="100"/>
    </row>
    <row r="4585" spans="24:26">
      <c r="X4585" s="2"/>
      <c r="Y4585" s="101"/>
      <c r="Z4585" s="100"/>
    </row>
    <row r="4586" spans="24:26">
      <c r="X4586" s="2"/>
      <c r="Y4586" s="101"/>
      <c r="Z4586" s="100"/>
    </row>
    <row r="4587" spans="24:26">
      <c r="X4587" s="2"/>
      <c r="Y4587" s="101"/>
      <c r="Z4587" s="100"/>
    </row>
    <row r="4588" spans="24:26">
      <c r="X4588" s="2"/>
      <c r="Y4588" s="101"/>
      <c r="Z4588" s="100"/>
    </row>
    <row r="4589" spans="24:26">
      <c r="X4589" s="2"/>
      <c r="Y4589" s="101"/>
      <c r="Z4589" s="100"/>
    </row>
    <row r="4590" spans="24:26">
      <c r="X4590" s="2"/>
      <c r="Y4590" s="101"/>
      <c r="Z4590" s="100"/>
    </row>
    <row r="4591" spans="24:26">
      <c r="X4591" s="2"/>
      <c r="Y4591" s="101"/>
      <c r="Z4591" s="100"/>
    </row>
    <row r="4592" spans="24:26">
      <c r="X4592" s="2"/>
      <c r="Y4592" s="101"/>
      <c r="Z4592" s="100"/>
    </row>
    <row r="4593" spans="24:26">
      <c r="X4593" s="2"/>
      <c r="Y4593" s="101"/>
      <c r="Z4593" s="100"/>
    </row>
    <row r="4594" spans="24:26">
      <c r="X4594" s="2"/>
      <c r="Y4594" s="101"/>
      <c r="Z4594" s="100"/>
    </row>
    <row r="4595" spans="24:26">
      <c r="X4595" s="2"/>
      <c r="Y4595" s="101"/>
      <c r="Z4595" s="100"/>
    </row>
    <row r="4596" spans="24:26">
      <c r="X4596" s="2"/>
      <c r="Y4596" s="101"/>
      <c r="Z4596" s="100"/>
    </row>
    <row r="4597" spans="24:26">
      <c r="X4597" s="2"/>
      <c r="Y4597" s="101"/>
      <c r="Z4597" s="100"/>
    </row>
    <row r="4598" spans="24:26">
      <c r="X4598" s="2"/>
      <c r="Y4598" s="101"/>
      <c r="Z4598" s="100"/>
    </row>
    <row r="4599" spans="24:26">
      <c r="X4599" s="2"/>
      <c r="Y4599" s="101"/>
      <c r="Z4599" s="100"/>
    </row>
    <row r="4600" spans="24:26">
      <c r="X4600" s="2"/>
      <c r="Y4600" s="101"/>
      <c r="Z4600" s="100"/>
    </row>
    <row r="4601" spans="24:26">
      <c r="X4601" s="2"/>
      <c r="Y4601" s="101"/>
      <c r="Z4601" s="100"/>
    </row>
    <row r="4602" spans="24:26">
      <c r="X4602" s="2"/>
      <c r="Y4602" s="101"/>
      <c r="Z4602" s="100"/>
    </row>
    <row r="4603" spans="24:26">
      <c r="X4603" s="2"/>
      <c r="Y4603" s="101"/>
      <c r="Z4603" s="100"/>
    </row>
    <row r="4604" spans="24:26">
      <c r="X4604" s="2"/>
      <c r="Y4604" s="101"/>
      <c r="Z4604" s="100"/>
    </row>
    <row r="4605" spans="24:26">
      <c r="X4605" s="2"/>
      <c r="Y4605" s="101"/>
      <c r="Z4605" s="100"/>
    </row>
    <row r="4606" spans="24:26">
      <c r="X4606" s="2"/>
      <c r="Y4606" s="101"/>
      <c r="Z4606" s="100"/>
    </row>
    <row r="4607" spans="24:26">
      <c r="X4607" s="2"/>
      <c r="Y4607" s="101"/>
      <c r="Z4607" s="100"/>
    </row>
    <row r="4608" spans="24:26">
      <c r="X4608" s="2"/>
      <c r="Y4608" s="101"/>
      <c r="Z4608" s="100"/>
    </row>
    <row r="4609" spans="24:26">
      <c r="X4609" s="2"/>
      <c r="Y4609" s="101"/>
      <c r="Z4609" s="100"/>
    </row>
    <row r="4610" spans="24:26">
      <c r="X4610" s="2"/>
      <c r="Y4610" s="101"/>
      <c r="Z4610" s="100"/>
    </row>
    <row r="4611" spans="24:26">
      <c r="X4611" s="2"/>
      <c r="Y4611" s="101"/>
      <c r="Z4611" s="100"/>
    </row>
    <row r="4612" spans="24:26">
      <c r="X4612" s="2"/>
      <c r="Y4612" s="101"/>
      <c r="Z4612" s="100"/>
    </row>
    <row r="4613" spans="24:26">
      <c r="X4613" s="2"/>
      <c r="Y4613" s="101"/>
      <c r="Z4613" s="100"/>
    </row>
    <row r="4614" spans="24:26">
      <c r="X4614" s="2"/>
      <c r="Y4614" s="101"/>
      <c r="Z4614" s="100"/>
    </row>
    <row r="4615" spans="24:26">
      <c r="X4615" s="2"/>
      <c r="Y4615" s="101"/>
      <c r="Z4615" s="100"/>
    </row>
    <row r="4616" spans="24:26">
      <c r="X4616" s="2"/>
      <c r="Y4616" s="101"/>
      <c r="Z4616" s="100"/>
    </row>
    <row r="4617" spans="24:26">
      <c r="X4617" s="2"/>
      <c r="Y4617" s="101"/>
      <c r="Z4617" s="100"/>
    </row>
    <row r="4618" spans="24:26">
      <c r="X4618" s="2"/>
      <c r="Y4618" s="101"/>
      <c r="Z4618" s="100"/>
    </row>
    <row r="4619" spans="24:26">
      <c r="X4619" s="2"/>
      <c r="Y4619" s="101"/>
      <c r="Z4619" s="100"/>
    </row>
    <row r="4620" spans="24:26">
      <c r="X4620" s="2"/>
      <c r="Y4620" s="101"/>
      <c r="Z4620" s="100"/>
    </row>
    <row r="4621" spans="24:26">
      <c r="X4621" s="2"/>
      <c r="Y4621" s="101"/>
      <c r="Z4621" s="100"/>
    </row>
    <row r="4622" spans="24:26">
      <c r="X4622" s="2"/>
      <c r="Y4622" s="101"/>
      <c r="Z4622" s="100"/>
    </row>
    <row r="4623" spans="24:26">
      <c r="X4623" s="2"/>
      <c r="Y4623" s="101"/>
      <c r="Z4623" s="100"/>
    </row>
    <row r="4624" spans="24:26">
      <c r="X4624" s="2"/>
      <c r="Y4624" s="101"/>
      <c r="Z4624" s="100"/>
    </row>
    <row r="4625" spans="24:26">
      <c r="X4625" s="2"/>
      <c r="Y4625" s="101"/>
      <c r="Z4625" s="100"/>
    </row>
    <row r="4626" spans="24:26">
      <c r="X4626" s="2"/>
      <c r="Y4626" s="101"/>
      <c r="Z4626" s="100"/>
    </row>
    <row r="4627" spans="24:26">
      <c r="X4627" s="2"/>
      <c r="Y4627" s="101"/>
      <c r="Z4627" s="100"/>
    </row>
    <row r="4628" spans="24:26">
      <c r="X4628" s="2"/>
      <c r="Y4628" s="101"/>
      <c r="Z4628" s="100"/>
    </row>
    <row r="4629" spans="24:26">
      <c r="X4629" s="2"/>
      <c r="Y4629" s="101"/>
      <c r="Z4629" s="100"/>
    </row>
    <row r="4630" spans="24:26">
      <c r="X4630" s="2"/>
      <c r="Y4630" s="101"/>
      <c r="Z4630" s="100"/>
    </row>
    <row r="4631" spans="24:26">
      <c r="X4631" s="2"/>
      <c r="Y4631" s="101"/>
      <c r="Z4631" s="100"/>
    </row>
    <row r="4632" spans="24:26">
      <c r="X4632" s="2"/>
      <c r="Y4632" s="101"/>
      <c r="Z4632" s="100"/>
    </row>
    <row r="4633" spans="24:26">
      <c r="X4633" s="2"/>
      <c r="Y4633" s="101"/>
      <c r="Z4633" s="100"/>
    </row>
    <row r="4634" spans="24:26">
      <c r="X4634" s="2"/>
      <c r="Y4634" s="101"/>
      <c r="Z4634" s="100"/>
    </row>
    <row r="4635" spans="24:26">
      <c r="X4635" s="2"/>
      <c r="Y4635" s="101"/>
      <c r="Z4635" s="100"/>
    </row>
    <row r="4636" spans="24:26">
      <c r="X4636" s="2"/>
      <c r="Y4636" s="101"/>
      <c r="Z4636" s="100"/>
    </row>
    <row r="4637" spans="24:26">
      <c r="X4637" s="2"/>
      <c r="Y4637" s="101"/>
      <c r="Z4637" s="100"/>
    </row>
    <row r="4638" spans="24:26">
      <c r="X4638" s="2"/>
      <c r="Y4638" s="101"/>
      <c r="Z4638" s="100"/>
    </row>
    <row r="4639" spans="24:26">
      <c r="X4639" s="2"/>
      <c r="Y4639" s="101"/>
      <c r="Z4639" s="100"/>
    </row>
    <row r="4640" spans="24:26">
      <c r="X4640" s="2"/>
      <c r="Y4640" s="101"/>
      <c r="Z4640" s="100"/>
    </row>
    <row r="4641" spans="24:26">
      <c r="X4641" s="2"/>
      <c r="Y4641" s="101"/>
      <c r="Z4641" s="100"/>
    </row>
    <row r="4642" spans="24:26">
      <c r="X4642" s="2"/>
      <c r="Y4642" s="101"/>
      <c r="Z4642" s="100"/>
    </row>
    <row r="4643" spans="24:26">
      <c r="X4643" s="2"/>
      <c r="Y4643" s="101"/>
      <c r="Z4643" s="100"/>
    </row>
    <row r="4644" spans="24:26">
      <c r="X4644" s="2"/>
      <c r="Y4644" s="101"/>
      <c r="Z4644" s="100"/>
    </row>
    <row r="4645" spans="24:26">
      <c r="X4645" s="2"/>
      <c r="Y4645" s="101"/>
      <c r="Z4645" s="100"/>
    </row>
    <row r="4646" spans="24:26">
      <c r="X4646" s="2"/>
      <c r="Y4646" s="101"/>
      <c r="Z4646" s="100"/>
    </row>
    <row r="4647" spans="24:26">
      <c r="X4647" s="2"/>
      <c r="Y4647" s="101"/>
      <c r="Z4647" s="100"/>
    </row>
    <row r="4648" spans="24:26">
      <c r="X4648" s="2"/>
      <c r="Y4648" s="101"/>
      <c r="Z4648" s="100"/>
    </row>
    <row r="4649" spans="24:26">
      <c r="X4649" s="2"/>
      <c r="Y4649" s="101"/>
      <c r="Z4649" s="100"/>
    </row>
    <row r="4650" spans="24:26">
      <c r="X4650" s="2"/>
      <c r="Y4650" s="101"/>
      <c r="Z4650" s="100"/>
    </row>
    <row r="4651" spans="24:26">
      <c r="X4651" s="2"/>
      <c r="Y4651" s="101"/>
      <c r="Z4651" s="100"/>
    </row>
    <row r="4652" spans="24:26">
      <c r="X4652" s="2"/>
      <c r="Y4652" s="101"/>
      <c r="Z4652" s="100"/>
    </row>
    <row r="4653" spans="24:26">
      <c r="X4653" s="2"/>
      <c r="Y4653" s="101"/>
      <c r="Z4653" s="100"/>
    </row>
    <row r="4654" spans="24:26">
      <c r="X4654" s="2"/>
      <c r="Y4654" s="101"/>
      <c r="Z4654" s="100"/>
    </row>
    <row r="4655" spans="24:26">
      <c r="X4655" s="2"/>
      <c r="Y4655" s="101"/>
      <c r="Z4655" s="100"/>
    </row>
    <row r="4656" spans="24:26">
      <c r="X4656" s="2"/>
      <c r="Y4656" s="101"/>
      <c r="Z4656" s="100"/>
    </row>
    <row r="4657" spans="24:26">
      <c r="X4657" s="2"/>
      <c r="Y4657" s="101"/>
      <c r="Z4657" s="100"/>
    </row>
    <row r="4658" spans="24:26">
      <c r="X4658" s="2"/>
      <c r="Y4658" s="101"/>
      <c r="Z4658" s="100"/>
    </row>
    <row r="4659" spans="24:26">
      <c r="X4659" s="2"/>
      <c r="Y4659" s="101"/>
      <c r="Z4659" s="100"/>
    </row>
    <row r="4660" spans="24:26">
      <c r="X4660" s="2"/>
      <c r="Y4660" s="101"/>
      <c r="Z4660" s="100"/>
    </row>
    <row r="4661" spans="24:26">
      <c r="X4661" s="2"/>
      <c r="Y4661" s="101"/>
      <c r="Z4661" s="100"/>
    </row>
    <row r="4662" spans="24:26">
      <c r="X4662" s="2"/>
      <c r="Y4662" s="101"/>
      <c r="Z4662" s="100"/>
    </row>
    <row r="4663" spans="24:26">
      <c r="X4663" s="2"/>
      <c r="Y4663" s="101"/>
      <c r="Z4663" s="100"/>
    </row>
    <row r="4664" spans="24:26">
      <c r="X4664" s="2"/>
      <c r="Y4664" s="101"/>
      <c r="Z4664" s="100"/>
    </row>
    <row r="4665" spans="24:26">
      <c r="X4665" s="2"/>
      <c r="Y4665" s="101"/>
      <c r="Z4665" s="100"/>
    </row>
    <row r="4666" spans="24:26">
      <c r="X4666" s="2"/>
      <c r="Y4666" s="101"/>
      <c r="Z4666" s="100"/>
    </row>
    <row r="4667" spans="24:26">
      <c r="X4667" s="2"/>
      <c r="Y4667" s="101"/>
      <c r="Z4667" s="100"/>
    </row>
    <row r="4668" spans="24:26">
      <c r="X4668" s="2"/>
      <c r="Y4668" s="101"/>
      <c r="Z4668" s="100"/>
    </row>
    <row r="4669" spans="24:26">
      <c r="X4669" s="2"/>
      <c r="Y4669" s="101"/>
      <c r="Z4669" s="100"/>
    </row>
    <row r="4670" spans="24:26">
      <c r="X4670" s="2"/>
      <c r="Y4670" s="101"/>
      <c r="Z4670" s="100"/>
    </row>
    <row r="4671" spans="24:26">
      <c r="X4671" s="2"/>
      <c r="Y4671" s="101"/>
      <c r="Z4671" s="100"/>
    </row>
    <row r="4672" spans="24:26">
      <c r="X4672" s="2"/>
      <c r="Y4672" s="101"/>
      <c r="Z4672" s="100"/>
    </row>
    <row r="4673" spans="24:26">
      <c r="X4673" s="2"/>
      <c r="Y4673" s="101"/>
      <c r="Z4673" s="100"/>
    </row>
    <row r="4674" spans="24:26">
      <c r="X4674" s="2"/>
      <c r="Y4674" s="101"/>
      <c r="Z4674" s="100"/>
    </row>
    <row r="4675" spans="24:26">
      <c r="X4675" s="2"/>
      <c r="Y4675" s="101"/>
      <c r="Z4675" s="100"/>
    </row>
    <row r="4676" spans="24:26">
      <c r="X4676" s="2"/>
      <c r="Y4676" s="101"/>
      <c r="Z4676" s="100"/>
    </row>
    <row r="4677" spans="24:26">
      <c r="X4677" s="2"/>
      <c r="Y4677" s="101"/>
      <c r="Z4677" s="100"/>
    </row>
    <row r="4678" spans="24:26">
      <c r="X4678" s="2"/>
      <c r="Y4678" s="101"/>
      <c r="Z4678" s="100"/>
    </row>
    <row r="4679" spans="24:26">
      <c r="X4679" s="2"/>
      <c r="Y4679" s="101"/>
      <c r="Z4679" s="100"/>
    </row>
    <row r="4680" spans="24:26">
      <c r="X4680" s="2"/>
      <c r="Y4680" s="101"/>
      <c r="Z4680" s="100"/>
    </row>
    <row r="4681" spans="24:26">
      <c r="X4681" s="2"/>
      <c r="Y4681" s="101"/>
      <c r="Z4681" s="100"/>
    </row>
    <row r="4682" spans="24:26">
      <c r="X4682" s="2"/>
      <c r="Y4682" s="101"/>
      <c r="Z4682" s="100"/>
    </row>
    <row r="4683" spans="24:26">
      <c r="X4683" s="2"/>
      <c r="Y4683" s="101"/>
      <c r="Z4683" s="100"/>
    </row>
    <row r="4684" spans="24:26">
      <c r="X4684" s="2"/>
      <c r="Y4684" s="101"/>
      <c r="Z4684" s="100"/>
    </row>
    <row r="4685" spans="24:26">
      <c r="X4685" s="2"/>
      <c r="Y4685" s="101"/>
      <c r="Z4685" s="100"/>
    </row>
    <row r="4686" spans="24:26">
      <c r="X4686" s="2"/>
      <c r="Y4686" s="101"/>
      <c r="Z4686" s="100"/>
    </row>
    <row r="4687" spans="24:26">
      <c r="X4687" s="2"/>
      <c r="Y4687" s="101"/>
      <c r="Z4687" s="100"/>
    </row>
    <row r="4688" spans="24:26">
      <c r="X4688" s="2"/>
      <c r="Y4688" s="101"/>
      <c r="Z4688" s="100"/>
    </row>
    <row r="4689" spans="24:26">
      <c r="X4689" s="2"/>
      <c r="Y4689" s="101"/>
      <c r="Z4689" s="100"/>
    </row>
    <row r="4690" spans="24:26">
      <c r="X4690" s="2"/>
      <c r="Y4690" s="101"/>
      <c r="Z4690" s="100"/>
    </row>
    <row r="4691" spans="24:26">
      <c r="X4691" s="2"/>
      <c r="Y4691" s="101"/>
      <c r="Z4691" s="100"/>
    </row>
    <row r="4692" spans="24:26">
      <c r="X4692" s="2"/>
      <c r="Y4692" s="101"/>
      <c r="Z4692" s="100"/>
    </row>
    <row r="4693" spans="24:26">
      <c r="X4693" s="2"/>
      <c r="Y4693" s="101"/>
      <c r="Z4693" s="100"/>
    </row>
    <row r="4694" spans="24:26">
      <c r="X4694" s="2"/>
      <c r="Y4694" s="101"/>
      <c r="Z4694" s="100"/>
    </row>
    <row r="4695" spans="24:26">
      <c r="X4695" s="2"/>
      <c r="Y4695" s="101"/>
      <c r="Z4695" s="100"/>
    </row>
    <row r="4696" spans="24:26">
      <c r="X4696" s="2"/>
      <c r="Y4696" s="101"/>
      <c r="Z4696" s="100"/>
    </row>
    <row r="4697" spans="24:26">
      <c r="X4697" s="2"/>
      <c r="Y4697" s="101"/>
      <c r="Z4697" s="100"/>
    </row>
    <row r="4698" spans="24:26">
      <c r="X4698" s="2"/>
      <c r="Y4698" s="101"/>
      <c r="Z4698" s="100"/>
    </row>
    <row r="4699" spans="24:26">
      <c r="X4699" s="2"/>
      <c r="Y4699" s="101"/>
      <c r="Z4699" s="100"/>
    </row>
    <row r="4700" spans="24:26">
      <c r="X4700" s="2"/>
      <c r="Y4700" s="101"/>
      <c r="Z4700" s="100"/>
    </row>
    <row r="4701" spans="24:26">
      <c r="X4701" s="2"/>
      <c r="Y4701" s="101"/>
      <c r="Z4701" s="100"/>
    </row>
    <row r="4702" spans="24:26">
      <c r="X4702" s="2"/>
      <c r="Y4702" s="101"/>
      <c r="Z4702" s="100"/>
    </row>
    <row r="4703" spans="24:26">
      <c r="X4703" s="2"/>
      <c r="Y4703" s="101"/>
      <c r="Z4703" s="100"/>
    </row>
    <row r="4704" spans="24:26">
      <c r="X4704" s="2"/>
      <c r="Y4704" s="101"/>
      <c r="Z4704" s="100"/>
    </row>
    <row r="4705" spans="24:26">
      <c r="X4705" s="2"/>
      <c r="Y4705" s="101"/>
      <c r="Z4705" s="100"/>
    </row>
    <row r="4706" spans="24:26">
      <c r="X4706" s="2"/>
      <c r="Y4706" s="101"/>
      <c r="Z4706" s="100"/>
    </row>
    <row r="4707" spans="24:26">
      <c r="X4707" s="2"/>
      <c r="Y4707" s="101"/>
      <c r="Z4707" s="100"/>
    </row>
    <row r="4708" spans="24:26">
      <c r="X4708" s="2"/>
      <c r="Y4708" s="101"/>
      <c r="Z4708" s="100"/>
    </row>
    <row r="4709" spans="24:26">
      <c r="X4709" s="2"/>
      <c r="Y4709" s="101"/>
      <c r="Z4709" s="100"/>
    </row>
    <row r="4710" spans="24:26">
      <c r="X4710" s="2"/>
      <c r="Y4710" s="101"/>
      <c r="Z4710" s="100"/>
    </row>
    <row r="4711" spans="24:26">
      <c r="X4711" s="2"/>
      <c r="Y4711" s="101"/>
      <c r="Z4711" s="100"/>
    </row>
    <row r="4712" spans="24:26">
      <c r="X4712" s="2"/>
      <c r="Y4712" s="101"/>
      <c r="Z4712" s="100"/>
    </row>
    <row r="4713" spans="24:26">
      <c r="X4713" s="2"/>
      <c r="Y4713" s="101"/>
      <c r="Z4713" s="100"/>
    </row>
    <row r="4714" spans="24:26">
      <c r="X4714" s="2"/>
      <c r="Y4714" s="101"/>
      <c r="Z4714" s="100"/>
    </row>
    <row r="4715" spans="24:26">
      <c r="X4715" s="2"/>
      <c r="Y4715" s="101"/>
      <c r="Z4715" s="100"/>
    </row>
    <row r="4716" spans="24:26">
      <c r="X4716" s="2"/>
      <c r="Y4716" s="101"/>
      <c r="Z4716" s="100"/>
    </row>
    <row r="4717" spans="24:26">
      <c r="X4717" s="2"/>
      <c r="Y4717" s="101"/>
      <c r="Z4717" s="100"/>
    </row>
    <row r="4718" spans="24:26">
      <c r="X4718" s="2"/>
      <c r="Y4718" s="101"/>
      <c r="Z4718" s="100"/>
    </row>
    <row r="4719" spans="24:26">
      <c r="X4719" s="2"/>
      <c r="Y4719" s="101"/>
      <c r="Z4719" s="100"/>
    </row>
    <row r="4720" spans="24:26">
      <c r="X4720" s="2"/>
      <c r="Y4720" s="101"/>
      <c r="Z4720" s="100"/>
    </row>
    <row r="4721" spans="24:26">
      <c r="X4721" s="2"/>
      <c r="Y4721" s="101"/>
      <c r="Z4721" s="100"/>
    </row>
    <row r="4722" spans="24:26">
      <c r="X4722" s="2"/>
      <c r="Y4722" s="101"/>
      <c r="Z4722" s="100"/>
    </row>
    <row r="4723" spans="24:26">
      <c r="X4723" s="2"/>
      <c r="Y4723" s="101"/>
      <c r="Z4723" s="100"/>
    </row>
    <row r="4724" spans="24:26">
      <c r="X4724" s="2"/>
      <c r="Y4724" s="101"/>
      <c r="Z4724" s="100"/>
    </row>
    <row r="4725" spans="24:26">
      <c r="X4725" s="2"/>
      <c r="Y4725" s="101"/>
      <c r="Z4725" s="100"/>
    </row>
    <row r="4726" spans="24:26">
      <c r="X4726" s="2"/>
      <c r="Y4726" s="101"/>
      <c r="Z4726" s="100"/>
    </row>
    <row r="4727" spans="24:26">
      <c r="X4727" s="2"/>
      <c r="Y4727" s="101"/>
      <c r="Z4727" s="100"/>
    </row>
    <row r="4728" spans="24:26">
      <c r="X4728" s="2"/>
      <c r="Y4728" s="101"/>
      <c r="Z4728" s="100"/>
    </row>
    <row r="4729" spans="24:26">
      <c r="X4729" s="2"/>
      <c r="Y4729" s="101"/>
      <c r="Z4729" s="100"/>
    </row>
    <row r="4730" spans="24:26">
      <c r="X4730" s="2"/>
      <c r="Y4730" s="101"/>
      <c r="Z4730" s="100"/>
    </row>
    <row r="4731" spans="24:26">
      <c r="X4731" s="2"/>
      <c r="Y4731" s="101"/>
      <c r="Z4731" s="100"/>
    </row>
    <row r="4732" spans="24:26">
      <c r="X4732" s="2"/>
      <c r="Y4732" s="101"/>
      <c r="Z4732" s="100"/>
    </row>
    <row r="4733" spans="24:26">
      <c r="X4733" s="2"/>
      <c r="Y4733" s="101"/>
      <c r="Z4733" s="100"/>
    </row>
    <row r="4734" spans="24:26">
      <c r="X4734" s="2"/>
      <c r="Y4734" s="101"/>
      <c r="Z4734" s="100"/>
    </row>
    <row r="4735" spans="24:26">
      <c r="X4735" s="2"/>
      <c r="Y4735" s="101"/>
      <c r="Z4735" s="100"/>
    </row>
    <row r="4736" spans="24:26">
      <c r="X4736" s="2"/>
      <c r="Y4736" s="101"/>
      <c r="Z4736" s="100"/>
    </row>
    <row r="4737" spans="24:26">
      <c r="X4737" s="2"/>
      <c r="Y4737" s="101"/>
      <c r="Z4737" s="100"/>
    </row>
    <row r="4738" spans="24:26">
      <c r="X4738" s="2"/>
      <c r="Y4738" s="101"/>
      <c r="Z4738" s="100"/>
    </row>
    <row r="4739" spans="24:26">
      <c r="X4739" s="2"/>
      <c r="Y4739" s="101"/>
      <c r="Z4739" s="100"/>
    </row>
    <row r="4740" spans="24:26">
      <c r="X4740" s="2"/>
      <c r="Y4740" s="101"/>
      <c r="Z4740" s="100"/>
    </row>
    <row r="4741" spans="24:26">
      <c r="X4741" s="2"/>
      <c r="Y4741" s="101"/>
      <c r="Z4741" s="100"/>
    </row>
    <row r="4742" spans="24:26">
      <c r="X4742" s="2"/>
      <c r="Y4742" s="101"/>
      <c r="Z4742" s="100"/>
    </row>
    <row r="4743" spans="24:26">
      <c r="X4743" s="2"/>
      <c r="Y4743" s="101"/>
      <c r="Z4743" s="100"/>
    </row>
    <row r="4744" spans="24:26">
      <c r="X4744" s="2"/>
      <c r="Y4744" s="101"/>
      <c r="Z4744" s="100"/>
    </row>
    <row r="4745" spans="24:26">
      <c r="X4745" s="2"/>
      <c r="Y4745" s="101"/>
      <c r="Z4745" s="100"/>
    </row>
    <row r="4746" spans="24:26">
      <c r="X4746" s="2"/>
      <c r="Y4746" s="101"/>
      <c r="Z4746" s="100"/>
    </row>
    <row r="4747" spans="24:26">
      <c r="X4747" s="2"/>
      <c r="Y4747" s="101"/>
      <c r="Z4747" s="100"/>
    </row>
    <row r="4748" spans="24:26">
      <c r="X4748" s="2"/>
      <c r="Y4748" s="101"/>
      <c r="Z4748" s="100"/>
    </row>
    <row r="4749" spans="24:26">
      <c r="X4749" s="2"/>
      <c r="Y4749" s="101"/>
      <c r="Z4749" s="100"/>
    </row>
    <row r="4750" spans="24:26">
      <c r="X4750" s="2"/>
      <c r="Y4750" s="101"/>
      <c r="Z4750" s="100"/>
    </row>
    <row r="4751" spans="24:26">
      <c r="X4751" s="2"/>
      <c r="Y4751" s="101"/>
      <c r="Z4751" s="100"/>
    </row>
    <row r="4752" spans="24:26">
      <c r="X4752" s="2"/>
      <c r="Y4752" s="101"/>
      <c r="Z4752" s="100"/>
    </row>
    <row r="4753" spans="24:26">
      <c r="X4753" s="2"/>
      <c r="Y4753" s="101"/>
      <c r="Z4753" s="100"/>
    </row>
    <row r="4754" spans="24:26">
      <c r="X4754" s="2"/>
      <c r="Y4754" s="101"/>
      <c r="Z4754" s="100"/>
    </row>
    <row r="4755" spans="24:26">
      <c r="X4755" s="2"/>
      <c r="Y4755" s="101"/>
      <c r="Z4755" s="100"/>
    </row>
    <row r="4756" spans="24:26">
      <c r="X4756" s="2"/>
      <c r="Y4756" s="101"/>
      <c r="Z4756" s="100"/>
    </row>
    <row r="4757" spans="24:26">
      <c r="X4757" s="2"/>
      <c r="Y4757" s="101"/>
      <c r="Z4757" s="100"/>
    </row>
    <row r="4758" spans="24:26">
      <c r="X4758" s="2"/>
      <c r="Y4758" s="101"/>
      <c r="Z4758" s="100"/>
    </row>
    <row r="4759" spans="24:26">
      <c r="X4759" s="2"/>
      <c r="Y4759" s="101"/>
      <c r="Z4759" s="100"/>
    </row>
    <row r="4760" spans="24:26">
      <c r="X4760" s="2"/>
      <c r="Y4760" s="101"/>
      <c r="Z4760" s="100"/>
    </row>
    <row r="4761" spans="24:26">
      <c r="X4761" s="2"/>
      <c r="Y4761" s="101"/>
      <c r="Z4761" s="100"/>
    </row>
    <row r="4762" spans="24:26">
      <c r="X4762" s="2"/>
      <c r="Y4762" s="101"/>
      <c r="Z4762" s="100"/>
    </row>
    <row r="4763" spans="24:26">
      <c r="X4763" s="2"/>
      <c r="Y4763" s="101"/>
      <c r="Z4763" s="100"/>
    </row>
    <row r="4764" spans="24:26">
      <c r="X4764" s="2"/>
      <c r="Y4764" s="101"/>
      <c r="Z4764" s="100"/>
    </row>
    <row r="4765" spans="24:26">
      <c r="X4765" s="2"/>
      <c r="Y4765" s="101"/>
      <c r="Z4765" s="100"/>
    </row>
    <row r="4766" spans="24:26">
      <c r="X4766" s="2"/>
      <c r="Y4766" s="101"/>
      <c r="Z4766" s="100"/>
    </row>
    <row r="4767" spans="24:26">
      <c r="X4767" s="2"/>
      <c r="Y4767" s="101"/>
      <c r="Z4767" s="100"/>
    </row>
    <row r="4768" spans="24:26">
      <c r="X4768" s="2"/>
      <c r="Y4768" s="101"/>
      <c r="Z4768" s="100"/>
    </row>
    <row r="4769" spans="24:26">
      <c r="X4769" s="2"/>
      <c r="Y4769" s="101"/>
      <c r="Z4769" s="100"/>
    </row>
    <row r="4770" spans="24:26">
      <c r="X4770" s="2"/>
      <c r="Y4770" s="101"/>
      <c r="Z4770" s="100"/>
    </row>
    <row r="4771" spans="24:26">
      <c r="X4771" s="2"/>
      <c r="Y4771" s="101"/>
      <c r="Z4771" s="100"/>
    </row>
    <row r="4772" spans="24:26">
      <c r="X4772" s="2"/>
      <c r="Y4772" s="101"/>
      <c r="Z4772" s="100"/>
    </row>
    <row r="4773" spans="24:26">
      <c r="X4773" s="2"/>
      <c r="Y4773" s="101"/>
      <c r="Z4773" s="100"/>
    </row>
    <row r="4774" spans="24:26">
      <c r="X4774" s="2"/>
      <c r="Y4774" s="101"/>
      <c r="Z4774" s="100"/>
    </row>
    <row r="4775" spans="24:26">
      <c r="X4775" s="2"/>
      <c r="Y4775" s="101"/>
      <c r="Z4775" s="100"/>
    </row>
    <row r="4776" spans="24:26">
      <c r="X4776" s="2"/>
      <c r="Y4776" s="101"/>
      <c r="Z4776" s="100"/>
    </row>
    <row r="4777" spans="24:26">
      <c r="X4777" s="2"/>
      <c r="Y4777" s="101"/>
      <c r="Z4777" s="100"/>
    </row>
    <row r="4778" spans="24:26">
      <c r="X4778" s="2"/>
      <c r="Y4778" s="101"/>
      <c r="Z4778" s="100"/>
    </row>
    <row r="4779" spans="24:26">
      <c r="X4779" s="2"/>
      <c r="Y4779" s="101"/>
      <c r="Z4779" s="100"/>
    </row>
    <row r="4780" spans="24:26">
      <c r="X4780" s="2"/>
      <c r="Y4780" s="101"/>
      <c r="Z4780" s="100"/>
    </row>
    <row r="4781" spans="24:26">
      <c r="X4781" s="2"/>
      <c r="Y4781" s="101"/>
      <c r="Z4781" s="100"/>
    </row>
    <row r="4782" spans="24:26">
      <c r="X4782" s="2"/>
      <c r="Y4782" s="101"/>
      <c r="Z4782" s="100"/>
    </row>
    <row r="4783" spans="24:26">
      <c r="X4783" s="2"/>
      <c r="Y4783" s="101"/>
      <c r="Z4783" s="100"/>
    </row>
    <row r="4784" spans="24:26">
      <c r="X4784" s="2"/>
      <c r="Y4784" s="101"/>
      <c r="Z4784" s="100"/>
    </row>
    <row r="4785" spans="24:26">
      <c r="X4785" s="2"/>
      <c r="Y4785" s="101"/>
      <c r="Z4785" s="100"/>
    </row>
    <row r="4786" spans="24:26">
      <c r="X4786" s="2"/>
      <c r="Y4786" s="101"/>
      <c r="Z4786" s="100"/>
    </row>
    <row r="4787" spans="24:26">
      <c r="X4787" s="2"/>
      <c r="Y4787" s="101"/>
      <c r="Z4787" s="100"/>
    </row>
    <row r="4788" spans="24:26">
      <c r="X4788" s="2"/>
      <c r="Y4788" s="101"/>
      <c r="Z4788" s="100"/>
    </row>
    <row r="4789" spans="24:26">
      <c r="X4789" s="2"/>
      <c r="Y4789" s="101"/>
      <c r="Z4789" s="100"/>
    </row>
    <row r="4790" spans="24:26">
      <c r="X4790" s="2"/>
      <c r="Y4790" s="101"/>
      <c r="Z4790" s="100"/>
    </row>
    <row r="4791" spans="24:26">
      <c r="X4791" s="2"/>
      <c r="Y4791" s="101"/>
      <c r="Z4791" s="100"/>
    </row>
    <row r="4792" spans="24:26">
      <c r="X4792" s="2"/>
      <c r="Y4792" s="101"/>
      <c r="Z4792" s="100"/>
    </row>
    <row r="4793" spans="24:26">
      <c r="X4793" s="2"/>
      <c r="Y4793" s="101"/>
      <c r="Z4793" s="100"/>
    </row>
    <row r="4794" spans="24:26">
      <c r="X4794" s="2"/>
      <c r="Y4794" s="101"/>
      <c r="Z4794" s="100"/>
    </row>
    <row r="4795" spans="24:26">
      <c r="X4795" s="2"/>
      <c r="Y4795" s="101"/>
      <c r="Z4795" s="100"/>
    </row>
    <row r="4796" spans="24:26">
      <c r="X4796" s="2"/>
      <c r="Y4796" s="101"/>
      <c r="Z4796" s="100"/>
    </row>
    <row r="4797" spans="24:26">
      <c r="X4797" s="2"/>
      <c r="Y4797" s="101"/>
      <c r="Z4797" s="100"/>
    </row>
    <row r="4798" spans="24:26">
      <c r="X4798" s="2"/>
      <c r="Y4798" s="101"/>
      <c r="Z4798" s="100"/>
    </row>
    <row r="4799" spans="24:26">
      <c r="X4799" s="2"/>
      <c r="Y4799" s="101"/>
      <c r="Z4799" s="100"/>
    </row>
    <row r="4800" spans="24:26">
      <c r="X4800" s="2"/>
      <c r="Y4800" s="101"/>
      <c r="Z4800" s="100"/>
    </row>
    <row r="4801" spans="24:26">
      <c r="X4801" s="2"/>
      <c r="Y4801" s="101"/>
      <c r="Z4801" s="100"/>
    </row>
    <row r="4802" spans="24:26">
      <c r="X4802" s="2"/>
      <c r="Y4802" s="101"/>
      <c r="Z4802" s="100"/>
    </row>
    <row r="4803" spans="24:26">
      <c r="X4803" s="2"/>
      <c r="Y4803" s="101"/>
      <c r="Z4803" s="100"/>
    </row>
    <row r="4804" spans="24:26">
      <c r="X4804" s="2"/>
      <c r="Y4804" s="101"/>
      <c r="Z4804" s="100"/>
    </row>
    <row r="4805" spans="24:26">
      <c r="X4805" s="2"/>
      <c r="Y4805" s="101"/>
      <c r="Z4805" s="100"/>
    </row>
    <row r="4806" spans="24:26">
      <c r="X4806" s="2"/>
      <c r="Y4806" s="101"/>
      <c r="Z4806" s="100"/>
    </row>
    <row r="4807" spans="24:26">
      <c r="X4807" s="2"/>
      <c r="Y4807" s="101"/>
      <c r="Z4807" s="100"/>
    </row>
    <row r="4808" spans="24:26">
      <c r="X4808" s="2"/>
      <c r="Y4808" s="101"/>
      <c r="Z4808" s="100"/>
    </row>
    <row r="4809" spans="24:26">
      <c r="X4809" s="2"/>
      <c r="Y4809" s="101"/>
      <c r="Z4809" s="100"/>
    </row>
    <row r="4810" spans="24:26">
      <c r="X4810" s="2"/>
      <c r="Y4810" s="101"/>
      <c r="Z4810" s="100"/>
    </row>
    <row r="4811" spans="24:26">
      <c r="X4811" s="2"/>
      <c r="Y4811" s="101"/>
      <c r="Z4811" s="100"/>
    </row>
    <row r="4812" spans="24:26">
      <c r="X4812" s="2"/>
      <c r="Y4812" s="101"/>
      <c r="Z4812" s="100"/>
    </row>
    <row r="4813" spans="24:26">
      <c r="X4813" s="2"/>
      <c r="Y4813" s="101"/>
      <c r="Z4813" s="100"/>
    </row>
    <row r="4814" spans="24:26">
      <c r="X4814" s="2"/>
      <c r="Y4814" s="101"/>
      <c r="Z4814" s="100"/>
    </row>
    <row r="4815" spans="24:26">
      <c r="X4815" s="2"/>
      <c r="Y4815" s="101"/>
      <c r="Z4815" s="100"/>
    </row>
    <row r="4816" spans="24:26">
      <c r="X4816" s="2"/>
      <c r="Y4816" s="101"/>
      <c r="Z4816" s="100"/>
    </row>
    <row r="4817" spans="24:26">
      <c r="X4817" s="2"/>
      <c r="Y4817" s="101"/>
      <c r="Z4817" s="100"/>
    </row>
    <row r="4818" spans="24:26">
      <c r="X4818" s="2"/>
      <c r="Y4818" s="101"/>
      <c r="Z4818" s="100"/>
    </row>
    <row r="4819" spans="24:26">
      <c r="X4819" s="2"/>
      <c r="Y4819" s="101"/>
      <c r="Z4819" s="100"/>
    </row>
    <row r="4820" spans="24:26">
      <c r="X4820" s="2"/>
      <c r="Y4820" s="101"/>
      <c r="Z4820" s="100"/>
    </row>
    <row r="4821" spans="24:26">
      <c r="X4821" s="2"/>
      <c r="Y4821" s="101"/>
      <c r="Z4821" s="100"/>
    </row>
    <row r="4822" spans="24:26">
      <c r="X4822" s="2"/>
      <c r="Y4822" s="101"/>
      <c r="Z4822" s="100"/>
    </row>
    <row r="4823" spans="24:26">
      <c r="X4823" s="2"/>
      <c r="Y4823" s="101"/>
      <c r="Z4823" s="100"/>
    </row>
    <row r="4824" spans="24:26">
      <c r="X4824" s="2"/>
      <c r="Y4824" s="101"/>
      <c r="Z4824" s="100"/>
    </row>
    <row r="4825" spans="24:26">
      <c r="X4825" s="2"/>
      <c r="Y4825" s="101"/>
      <c r="Z4825" s="100"/>
    </row>
    <row r="4826" spans="24:26">
      <c r="X4826" s="2"/>
      <c r="Y4826" s="101"/>
      <c r="Z4826" s="100"/>
    </row>
    <row r="4827" spans="24:26">
      <c r="X4827" s="2"/>
      <c r="Y4827" s="101"/>
      <c r="Z4827" s="100"/>
    </row>
    <row r="4828" spans="24:26">
      <c r="X4828" s="2"/>
      <c r="Y4828" s="101"/>
      <c r="Z4828" s="100"/>
    </row>
    <row r="4829" spans="24:26">
      <c r="X4829" s="2"/>
      <c r="Y4829" s="101"/>
      <c r="Z4829" s="100"/>
    </row>
    <row r="4830" spans="24:26">
      <c r="X4830" s="2"/>
      <c r="Y4830" s="101"/>
      <c r="Z4830" s="100"/>
    </row>
    <row r="4831" spans="24:26">
      <c r="X4831" s="2"/>
      <c r="Y4831" s="101"/>
      <c r="Z4831" s="100"/>
    </row>
    <row r="4832" spans="24:26">
      <c r="X4832" s="2"/>
      <c r="Y4832" s="101"/>
      <c r="Z4832" s="100"/>
    </row>
    <row r="4833" spans="24:26">
      <c r="X4833" s="2"/>
      <c r="Y4833" s="101"/>
      <c r="Z4833" s="100"/>
    </row>
    <row r="4834" spans="24:26">
      <c r="X4834" s="2"/>
      <c r="Y4834" s="101"/>
      <c r="Z4834" s="100"/>
    </row>
    <row r="4835" spans="24:26">
      <c r="X4835" s="2"/>
      <c r="Y4835" s="101"/>
      <c r="Z4835" s="100"/>
    </row>
    <row r="4836" spans="24:26">
      <c r="X4836" s="2"/>
      <c r="Y4836" s="101"/>
      <c r="Z4836" s="100"/>
    </row>
    <row r="4837" spans="24:26">
      <c r="X4837" s="2"/>
      <c r="Y4837" s="101"/>
      <c r="Z4837" s="100"/>
    </row>
    <row r="4838" spans="24:26">
      <c r="X4838" s="2"/>
      <c r="Y4838" s="101"/>
      <c r="Z4838" s="100"/>
    </row>
    <row r="4839" spans="24:26">
      <c r="X4839" s="2"/>
      <c r="Y4839" s="101"/>
      <c r="Z4839" s="100"/>
    </row>
    <row r="4840" spans="24:26">
      <c r="X4840" s="2"/>
      <c r="Y4840" s="101"/>
      <c r="Z4840" s="100"/>
    </row>
    <row r="4841" spans="24:26">
      <c r="X4841" s="2"/>
      <c r="Y4841" s="101"/>
      <c r="Z4841" s="100"/>
    </row>
    <row r="4842" spans="24:26">
      <c r="X4842" s="2"/>
      <c r="Y4842" s="101"/>
      <c r="Z4842" s="100"/>
    </row>
    <row r="4843" spans="24:26">
      <c r="X4843" s="2"/>
      <c r="Y4843" s="101"/>
      <c r="Z4843" s="100"/>
    </row>
    <row r="4844" spans="24:26">
      <c r="X4844" s="2"/>
      <c r="Y4844" s="101"/>
      <c r="Z4844" s="100"/>
    </row>
    <row r="4845" spans="24:26">
      <c r="X4845" s="2"/>
      <c r="Y4845" s="101"/>
      <c r="Z4845" s="100"/>
    </row>
    <row r="4846" spans="24:26">
      <c r="X4846" s="2"/>
      <c r="Y4846" s="101"/>
      <c r="Z4846" s="100"/>
    </row>
    <row r="4847" spans="24:26">
      <c r="X4847" s="2"/>
      <c r="Y4847" s="101"/>
      <c r="Z4847" s="100"/>
    </row>
    <row r="4848" spans="24:26">
      <c r="X4848" s="2"/>
      <c r="Y4848" s="101"/>
      <c r="Z4848" s="100"/>
    </row>
    <row r="4849" spans="24:26">
      <c r="X4849" s="2"/>
      <c r="Y4849" s="101"/>
      <c r="Z4849" s="100"/>
    </row>
    <row r="4850" spans="24:26">
      <c r="X4850" s="2"/>
      <c r="Y4850" s="101"/>
      <c r="Z4850" s="100"/>
    </row>
    <row r="4851" spans="24:26">
      <c r="X4851" s="2"/>
      <c r="Y4851" s="101"/>
      <c r="Z4851" s="100"/>
    </row>
    <row r="4852" spans="24:26">
      <c r="X4852" s="2"/>
      <c r="Y4852" s="101"/>
      <c r="Z4852" s="100"/>
    </row>
    <row r="4853" spans="24:26">
      <c r="X4853" s="2"/>
      <c r="Y4853" s="101"/>
      <c r="Z4853" s="100"/>
    </row>
    <row r="4854" spans="24:26">
      <c r="X4854" s="2"/>
      <c r="Y4854" s="101"/>
      <c r="Z4854" s="100"/>
    </row>
    <row r="4855" spans="24:26">
      <c r="X4855" s="2"/>
      <c r="Y4855" s="101"/>
      <c r="Z4855" s="100"/>
    </row>
    <row r="4856" spans="24:26">
      <c r="X4856" s="2"/>
      <c r="Y4856" s="101"/>
      <c r="Z4856" s="100"/>
    </row>
    <row r="4857" spans="24:26">
      <c r="X4857" s="2"/>
      <c r="Y4857" s="101"/>
      <c r="Z4857" s="100"/>
    </row>
    <row r="4858" spans="24:26">
      <c r="X4858" s="2"/>
      <c r="Y4858" s="101"/>
      <c r="Z4858" s="100"/>
    </row>
    <row r="4859" spans="24:26">
      <c r="X4859" s="2"/>
      <c r="Y4859" s="101"/>
      <c r="Z4859" s="100"/>
    </row>
    <row r="4860" spans="24:26">
      <c r="X4860" s="2"/>
      <c r="Y4860" s="101"/>
      <c r="Z4860" s="100"/>
    </row>
    <row r="4861" spans="24:26">
      <c r="X4861" s="2"/>
      <c r="Y4861" s="101"/>
      <c r="Z4861" s="100"/>
    </row>
    <row r="4862" spans="24:26">
      <c r="X4862" s="2"/>
      <c r="Y4862" s="101"/>
      <c r="Z4862" s="100"/>
    </row>
    <row r="4863" spans="24:26">
      <c r="X4863" s="2"/>
      <c r="Y4863" s="101"/>
      <c r="Z4863" s="100"/>
    </row>
    <row r="4864" spans="24:26">
      <c r="X4864" s="2"/>
      <c r="Y4864" s="101"/>
      <c r="Z4864" s="100"/>
    </row>
    <row r="4865" spans="24:26">
      <c r="X4865" s="2"/>
      <c r="Y4865" s="101"/>
      <c r="Z4865" s="100"/>
    </row>
    <row r="4866" spans="24:26">
      <c r="X4866" s="2"/>
      <c r="Y4866" s="101"/>
      <c r="Z4866" s="100"/>
    </row>
    <row r="4867" spans="24:26">
      <c r="X4867" s="2"/>
      <c r="Y4867" s="101"/>
      <c r="Z4867" s="100"/>
    </row>
    <row r="4868" spans="24:26">
      <c r="X4868" s="2"/>
      <c r="Y4868" s="101"/>
      <c r="Z4868" s="100"/>
    </row>
    <row r="4869" spans="24:26">
      <c r="X4869" s="2"/>
      <c r="Y4869" s="101"/>
      <c r="Z4869" s="100"/>
    </row>
    <row r="4870" spans="24:26">
      <c r="X4870" s="2"/>
      <c r="Y4870" s="101"/>
      <c r="Z4870" s="100"/>
    </row>
    <row r="4871" spans="24:26">
      <c r="X4871" s="2"/>
      <c r="Y4871" s="101"/>
      <c r="Z4871" s="100"/>
    </row>
    <row r="4872" spans="24:26">
      <c r="X4872" s="2"/>
      <c r="Y4872" s="101"/>
      <c r="Z4872" s="100"/>
    </row>
    <row r="4873" spans="24:26">
      <c r="X4873" s="2"/>
      <c r="Y4873" s="101"/>
      <c r="Z4873" s="100"/>
    </row>
    <row r="4874" spans="24:26">
      <c r="X4874" s="2"/>
      <c r="Y4874" s="101"/>
      <c r="Z4874" s="100"/>
    </row>
    <row r="4875" spans="24:26">
      <c r="X4875" s="2"/>
      <c r="Y4875" s="101"/>
      <c r="Z4875" s="100"/>
    </row>
    <row r="4876" spans="24:26">
      <c r="X4876" s="2"/>
      <c r="Y4876" s="101"/>
      <c r="Z4876" s="100"/>
    </row>
    <row r="4877" spans="24:26">
      <c r="X4877" s="2"/>
      <c r="Y4877" s="101"/>
      <c r="Z4877" s="100"/>
    </row>
    <row r="4878" spans="24:26">
      <c r="X4878" s="2"/>
      <c r="Y4878" s="101"/>
      <c r="Z4878" s="100"/>
    </row>
    <row r="4879" spans="24:26">
      <c r="X4879" s="2"/>
      <c r="Y4879" s="101"/>
      <c r="Z4879" s="100"/>
    </row>
    <row r="4880" spans="24:26">
      <c r="X4880" s="2"/>
      <c r="Y4880" s="101"/>
      <c r="Z4880" s="100"/>
    </row>
    <row r="4881" spans="24:26">
      <c r="X4881" s="2"/>
      <c r="Y4881" s="101"/>
      <c r="Z4881" s="100"/>
    </row>
    <row r="4882" spans="24:26">
      <c r="X4882" s="2"/>
      <c r="Y4882" s="101"/>
      <c r="Z4882" s="100"/>
    </row>
    <row r="4883" spans="24:26">
      <c r="X4883" s="2"/>
      <c r="Y4883" s="101"/>
      <c r="Z4883" s="100"/>
    </row>
    <row r="4884" spans="24:26">
      <c r="X4884" s="2"/>
      <c r="Y4884" s="101"/>
      <c r="Z4884" s="100"/>
    </row>
    <row r="4885" spans="24:26">
      <c r="X4885" s="2"/>
      <c r="Y4885" s="101"/>
      <c r="Z4885" s="100"/>
    </row>
    <row r="4886" spans="24:26">
      <c r="X4886" s="2"/>
      <c r="Y4886" s="101"/>
      <c r="Z4886" s="100"/>
    </row>
    <row r="4887" spans="24:26">
      <c r="X4887" s="2"/>
      <c r="Y4887" s="101"/>
      <c r="Z4887" s="100"/>
    </row>
    <row r="4888" spans="24:26">
      <c r="X4888" s="2"/>
      <c r="Y4888" s="101"/>
      <c r="Z4888" s="100"/>
    </row>
    <row r="4889" spans="24:26">
      <c r="X4889" s="2"/>
      <c r="Y4889" s="101"/>
      <c r="Z4889" s="100"/>
    </row>
    <row r="4890" spans="24:26">
      <c r="X4890" s="2"/>
      <c r="Y4890" s="101"/>
      <c r="Z4890" s="100"/>
    </row>
    <row r="4891" spans="24:26">
      <c r="X4891" s="2"/>
      <c r="Y4891" s="101"/>
      <c r="Z4891" s="100"/>
    </row>
    <row r="4892" spans="24:26">
      <c r="X4892" s="2"/>
      <c r="Y4892" s="101"/>
      <c r="Z4892" s="100"/>
    </row>
    <row r="4893" spans="24:26">
      <c r="X4893" s="2"/>
      <c r="Y4893" s="101"/>
      <c r="Z4893" s="100"/>
    </row>
    <row r="4894" spans="24:26">
      <c r="X4894" s="2"/>
      <c r="Y4894" s="101"/>
      <c r="Z4894" s="100"/>
    </row>
    <row r="4895" spans="24:26">
      <c r="X4895" s="2"/>
      <c r="Y4895" s="101"/>
      <c r="Z4895" s="100"/>
    </row>
    <row r="4896" spans="24:26">
      <c r="X4896" s="2"/>
      <c r="Y4896" s="101"/>
      <c r="Z4896" s="100"/>
    </row>
    <row r="4897" spans="24:26">
      <c r="X4897" s="2"/>
      <c r="Y4897" s="101"/>
      <c r="Z4897" s="100"/>
    </row>
    <row r="4898" spans="24:26">
      <c r="X4898" s="2"/>
      <c r="Y4898" s="101"/>
      <c r="Z4898" s="100"/>
    </row>
    <row r="4899" spans="24:26">
      <c r="X4899" s="2"/>
      <c r="Y4899" s="101"/>
      <c r="Z4899" s="100"/>
    </row>
    <row r="4900" spans="24:26">
      <c r="X4900" s="2"/>
      <c r="Y4900" s="101"/>
      <c r="Z4900" s="100"/>
    </row>
    <row r="4901" spans="24:26">
      <c r="X4901" s="2"/>
      <c r="Y4901" s="101"/>
      <c r="Z4901" s="100"/>
    </row>
    <row r="4902" spans="24:26">
      <c r="X4902" s="2"/>
      <c r="Y4902" s="101"/>
      <c r="Z4902" s="100"/>
    </row>
    <row r="4903" spans="24:26">
      <c r="X4903" s="2"/>
      <c r="Y4903" s="101"/>
      <c r="Z4903" s="100"/>
    </row>
    <row r="4904" spans="24:26">
      <c r="X4904" s="2"/>
      <c r="Y4904" s="101"/>
      <c r="Z4904" s="100"/>
    </row>
    <row r="4905" spans="24:26">
      <c r="X4905" s="2"/>
      <c r="Y4905" s="101"/>
      <c r="Z4905" s="100"/>
    </row>
    <row r="4906" spans="24:26">
      <c r="X4906" s="2"/>
      <c r="Y4906" s="101"/>
      <c r="Z4906" s="100"/>
    </row>
    <row r="4907" spans="24:26">
      <c r="X4907" s="2"/>
      <c r="Y4907" s="101"/>
      <c r="Z4907" s="100"/>
    </row>
    <row r="4908" spans="24:26">
      <c r="X4908" s="2"/>
      <c r="Y4908" s="101"/>
      <c r="Z4908" s="100"/>
    </row>
    <row r="4909" spans="24:26">
      <c r="X4909" s="2"/>
      <c r="Y4909" s="101"/>
      <c r="Z4909" s="100"/>
    </row>
    <row r="4910" spans="24:26">
      <c r="X4910" s="2"/>
      <c r="Y4910" s="101"/>
      <c r="Z4910" s="100"/>
    </row>
    <row r="4911" spans="24:26">
      <c r="X4911" s="2"/>
      <c r="Y4911" s="101"/>
      <c r="Z4911" s="100"/>
    </row>
    <row r="4912" spans="24:26">
      <c r="X4912" s="2"/>
      <c r="Y4912" s="101"/>
      <c r="Z4912" s="100"/>
    </row>
    <row r="4913" spans="24:26">
      <c r="X4913" s="2"/>
      <c r="Y4913" s="101"/>
      <c r="Z4913" s="100"/>
    </row>
    <row r="4914" spans="24:26">
      <c r="X4914" s="2"/>
      <c r="Y4914" s="101"/>
      <c r="Z4914" s="100"/>
    </row>
    <row r="4915" spans="24:26">
      <c r="X4915" s="2"/>
      <c r="Y4915" s="101"/>
      <c r="Z4915" s="100"/>
    </row>
    <row r="4916" spans="24:26">
      <c r="X4916" s="2"/>
      <c r="Y4916" s="101"/>
      <c r="Z4916" s="100"/>
    </row>
    <row r="4917" spans="24:26">
      <c r="X4917" s="2"/>
      <c r="Y4917" s="101"/>
      <c r="Z4917" s="100"/>
    </row>
    <row r="4918" spans="24:26">
      <c r="X4918" s="2"/>
      <c r="Y4918" s="101"/>
      <c r="Z4918" s="100"/>
    </row>
    <row r="4919" spans="24:26">
      <c r="X4919" s="2"/>
      <c r="Y4919" s="101"/>
      <c r="Z4919" s="100"/>
    </row>
    <row r="4920" spans="24:26">
      <c r="X4920" s="2"/>
      <c r="Y4920" s="101"/>
      <c r="Z4920" s="100"/>
    </row>
    <row r="4921" spans="24:26">
      <c r="X4921" s="2"/>
      <c r="Y4921" s="101"/>
      <c r="Z4921" s="100"/>
    </row>
    <row r="4922" spans="24:26">
      <c r="X4922" s="2"/>
      <c r="Y4922" s="101"/>
      <c r="Z4922" s="100"/>
    </row>
    <row r="4923" spans="24:26">
      <c r="X4923" s="2"/>
      <c r="Y4923" s="101"/>
      <c r="Z4923" s="100"/>
    </row>
    <row r="4924" spans="24:26">
      <c r="X4924" s="2"/>
      <c r="Y4924" s="101"/>
      <c r="Z4924" s="100"/>
    </row>
    <row r="4925" spans="24:26">
      <c r="X4925" s="2"/>
      <c r="Y4925" s="101"/>
      <c r="Z4925" s="100"/>
    </row>
    <row r="4926" spans="24:26">
      <c r="X4926" s="2"/>
      <c r="Y4926" s="101"/>
      <c r="Z4926" s="100"/>
    </row>
    <row r="4927" spans="24:26">
      <c r="X4927" s="2"/>
      <c r="Y4927" s="101"/>
      <c r="Z4927" s="100"/>
    </row>
    <row r="4928" spans="24:26">
      <c r="X4928" s="2"/>
      <c r="Y4928" s="101"/>
      <c r="Z4928" s="100"/>
    </row>
    <row r="4929" spans="24:26">
      <c r="X4929" s="2"/>
      <c r="Y4929" s="101"/>
      <c r="Z4929" s="100"/>
    </row>
    <row r="4930" spans="24:26">
      <c r="X4930" s="2"/>
      <c r="Y4930" s="101"/>
      <c r="Z4930" s="100"/>
    </row>
    <row r="4931" spans="24:26">
      <c r="X4931" s="2"/>
      <c r="Y4931" s="101"/>
      <c r="Z4931" s="100"/>
    </row>
    <row r="4932" spans="24:26">
      <c r="X4932" s="2"/>
      <c r="Y4932" s="101"/>
      <c r="Z4932" s="100"/>
    </row>
    <row r="4933" spans="24:26">
      <c r="X4933" s="2"/>
      <c r="Y4933" s="101"/>
      <c r="Z4933" s="100"/>
    </row>
    <row r="4934" spans="24:26">
      <c r="X4934" s="2"/>
      <c r="Y4934" s="101"/>
      <c r="Z4934" s="100"/>
    </row>
    <row r="4935" spans="24:26">
      <c r="X4935" s="2"/>
      <c r="Y4935" s="101"/>
      <c r="Z4935" s="100"/>
    </row>
    <row r="4936" spans="24:26">
      <c r="X4936" s="2"/>
      <c r="Y4936" s="101"/>
      <c r="Z4936" s="100"/>
    </row>
    <row r="4937" spans="24:26">
      <c r="X4937" s="2"/>
      <c r="Y4937" s="101"/>
      <c r="Z4937" s="100"/>
    </row>
    <row r="4938" spans="24:26">
      <c r="X4938" s="2"/>
      <c r="Y4938" s="101"/>
      <c r="Z4938" s="100"/>
    </row>
    <row r="4939" spans="24:26">
      <c r="X4939" s="2"/>
      <c r="Y4939" s="101"/>
      <c r="Z4939" s="100"/>
    </row>
    <row r="4940" spans="24:26">
      <c r="X4940" s="2"/>
      <c r="Y4940" s="101"/>
      <c r="Z4940" s="100"/>
    </row>
    <row r="4941" spans="24:26">
      <c r="X4941" s="2"/>
      <c r="Y4941" s="101"/>
      <c r="Z4941" s="100"/>
    </row>
    <row r="4942" spans="24:26">
      <c r="X4942" s="2"/>
      <c r="Y4942" s="101"/>
      <c r="Z4942" s="100"/>
    </row>
    <row r="4943" spans="24:26">
      <c r="X4943" s="2"/>
      <c r="Y4943" s="101"/>
      <c r="Z4943" s="100"/>
    </row>
    <row r="4944" spans="24:26">
      <c r="X4944" s="2"/>
      <c r="Y4944" s="101"/>
      <c r="Z4944" s="100"/>
    </row>
    <row r="4945" spans="24:26">
      <c r="X4945" s="2"/>
      <c r="Y4945" s="101"/>
      <c r="Z4945" s="100"/>
    </row>
    <row r="4946" spans="24:26">
      <c r="X4946" s="2"/>
      <c r="Y4946" s="101"/>
      <c r="Z4946" s="100"/>
    </row>
    <row r="4947" spans="24:26">
      <c r="X4947" s="2"/>
      <c r="Y4947" s="101"/>
      <c r="Z4947" s="100"/>
    </row>
    <row r="4948" spans="24:26">
      <c r="X4948" s="2"/>
      <c r="Y4948" s="101"/>
      <c r="Z4948" s="100"/>
    </row>
    <row r="4949" spans="24:26">
      <c r="X4949" s="2"/>
      <c r="Y4949" s="101"/>
      <c r="Z4949" s="100"/>
    </row>
    <row r="4950" spans="24:26">
      <c r="X4950" s="2"/>
      <c r="Y4950" s="101"/>
      <c r="Z4950" s="100"/>
    </row>
    <row r="4951" spans="24:26">
      <c r="X4951" s="2"/>
      <c r="Y4951" s="101"/>
      <c r="Z4951" s="100"/>
    </row>
    <row r="4952" spans="24:26">
      <c r="X4952" s="2"/>
      <c r="Y4952" s="101"/>
      <c r="Z4952" s="100"/>
    </row>
    <row r="4953" spans="24:26">
      <c r="X4953" s="2"/>
      <c r="Y4953" s="101"/>
      <c r="Z4953" s="100"/>
    </row>
    <row r="4954" spans="24:26">
      <c r="X4954" s="2"/>
      <c r="Y4954" s="101"/>
      <c r="Z4954" s="100"/>
    </row>
    <row r="4955" spans="24:26">
      <c r="X4955" s="2"/>
      <c r="Y4955" s="101"/>
      <c r="Z4955" s="100"/>
    </row>
    <row r="4956" spans="24:26">
      <c r="X4956" s="2"/>
      <c r="Y4956" s="101"/>
      <c r="Z4956" s="100"/>
    </row>
    <row r="4957" spans="24:26">
      <c r="X4957" s="2"/>
      <c r="Y4957" s="101"/>
      <c r="Z4957" s="100"/>
    </row>
    <row r="4958" spans="24:26">
      <c r="X4958" s="2"/>
      <c r="Y4958" s="101"/>
      <c r="Z4958" s="100"/>
    </row>
    <row r="4959" spans="24:26">
      <c r="X4959" s="2"/>
      <c r="Y4959" s="101"/>
      <c r="Z4959" s="100"/>
    </row>
    <row r="4960" spans="24:26">
      <c r="X4960" s="2"/>
      <c r="Y4960" s="101"/>
      <c r="Z4960" s="100"/>
    </row>
    <row r="4961" spans="24:26">
      <c r="X4961" s="2"/>
      <c r="Y4961" s="101"/>
      <c r="Z4961" s="100"/>
    </row>
    <row r="4962" spans="24:26">
      <c r="X4962" s="2"/>
      <c r="Y4962" s="101"/>
      <c r="Z4962" s="100"/>
    </row>
    <row r="4963" spans="24:26">
      <c r="X4963" s="2"/>
      <c r="Y4963" s="101"/>
      <c r="Z4963" s="100"/>
    </row>
    <row r="4964" spans="24:26">
      <c r="X4964" s="2"/>
      <c r="Y4964" s="101"/>
      <c r="Z4964" s="100"/>
    </row>
    <row r="4965" spans="24:26">
      <c r="X4965" s="2"/>
      <c r="Y4965" s="101"/>
      <c r="Z4965" s="100"/>
    </row>
    <row r="4966" spans="24:26">
      <c r="X4966" s="2"/>
      <c r="Y4966" s="101"/>
      <c r="Z4966" s="100"/>
    </row>
    <row r="4967" spans="24:26">
      <c r="X4967" s="2"/>
      <c r="Y4967" s="101"/>
      <c r="Z4967" s="100"/>
    </row>
    <row r="4968" spans="24:26">
      <c r="X4968" s="2"/>
      <c r="Y4968" s="101"/>
      <c r="Z4968" s="100"/>
    </row>
    <row r="4969" spans="24:26">
      <c r="X4969" s="2"/>
      <c r="Y4969" s="101"/>
      <c r="Z4969" s="100"/>
    </row>
    <row r="4970" spans="24:26">
      <c r="X4970" s="2"/>
      <c r="Y4970" s="101"/>
      <c r="Z4970" s="100"/>
    </row>
    <row r="4971" spans="24:26">
      <c r="X4971" s="2"/>
      <c r="Y4971" s="101"/>
      <c r="Z4971" s="100"/>
    </row>
    <row r="4972" spans="24:26">
      <c r="X4972" s="2"/>
      <c r="Y4972" s="101"/>
      <c r="Z4972" s="100"/>
    </row>
    <row r="4973" spans="24:26">
      <c r="X4973" s="2"/>
      <c r="Y4973" s="101"/>
      <c r="Z4973" s="100"/>
    </row>
    <row r="4974" spans="24:26">
      <c r="X4974" s="2"/>
      <c r="Y4974" s="101"/>
      <c r="Z4974" s="100"/>
    </row>
    <row r="4975" spans="24:26">
      <c r="X4975" s="2"/>
      <c r="Y4975" s="101"/>
      <c r="Z4975" s="100"/>
    </row>
    <row r="4976" spans="24:26">
      <c r="X4976" s="2"/>
      <c r="Y4976" s="101"/>
      <c r="Z4976" s="100"/>
    </row>
    <row r="4977" spans="24:26">
      <c r="X4977" s="2"/>
      <c r="Y4977" s="101"/>
      <c r="Z4977" s="100"/>
    </row>
    <row r="4978" spans="24:26">
      <c r="X4978" s="2"/>
      <c r="Y4978" s="101"/>
      <c r="Z4978" s="100"/>
    </row>
    <row r="4979" spans="24:26">
      <c r="X4979" s="2"/>
      <c r="Y4979" s="101"/>
      <c r="Z4979" s="100"/>
    </row>
    <row r="4980" spans="24:26">
      <c r="X4980" s="2"/>
      <c r="Y4980" s="101"/>
      <c r="Z4980" s="100"/>
    </row>
    <row r="4981" spans="24:26">
      <c r="X4981" s="2"/>
      <c r="Y4981" s="101"/>
      <c r="Z4981" s="100"/>
    </row>
    <row r="4982" spans="24:26">
      <c r="X4982" s="2"/>
      <c r="Y4982" s="101"/>
      <c r="Z4982" s="100"/>
    </row>
    <row r="4983" spans="24:26">
      <c r="X4983" s="2"/>
      <c r="Y4983" s="101"/>
      <c r="Z4983" s="100"/>
    </row>
    <row r="4984" spans="24:26">
      <c r="X4984" s="2"/>
      <c r="Y4984" s="101"/>
      <c r="Z4984" s="100"/>
    </row>
    <row r="4985" spans="24:26">
      <c r="X4985" s="2"/>
      <c r="Y4985" s="101"/>
      <c r="Z4985" s="100"/>
    </row>
    <row r="4986" spans="24:26">
      <c r="X4986" s="2"/>
      <c r="Y4986" s="101"/>
      <c r="Z4986" s="100"/>
    </row>
    <row r="4987" spans="24:26">
      <c r="X4987" s="2"/>
      <c r="Y4987" s="101"/>
      <c r="Z4987" s="100"/>
    </row>
    <row r="4988" spans="24:26">
      <c r="X4988" s="2"/>
      <c r="Y4988" s="101"/>
      <c r="Z4988" s="100"/>
    </row>
    <row r="4989" spans="24:26">
      <c r="X4989" s="2"/>
      <c r="Y4989" s="101"/>
      <c r="Z4989" s="100"/>
    </row>
    <row r="4990" spans="24:26">
      <c r="X4990" s="2"/>
      <c r="Y4990" s="101"/>
      <c r="Z4990" s="100"/>
    </row>
    <row r="4991" spans="24:26">
      <c r="X4991" s="2"/>
      <c r="Y4991" s="101"/>
      <c r="Z4991" s="100"/>
    </row>
    <row r="4992" spans="24:26">
      <c r="X4992" s="2"/>
      <c r="Y4992" s="101"/>
      <c r="Z4992" s="100"/>
    </row>
    <row r="4993" spans="24:26">
      <c r="X4993" s="2"/>
      <c r="Y4993" s="101"/>
      <c r="Z4993" s="100"/>
    </row>
    <row r="4994" spans="24:26">
      <c r="X4994" s="2"/>
      <c r="Y4994" s="101"/>
      <c r="Z4994" s="100"/>
    </row>
    <row r="4995" spans="24:26">
      <c r="X4995" s="2"/>
      <c r="Y4995" s="101"/>
      <c r="Z4995" s="100"/>
    </row>
    <row r="4996" spans="24:26">
      <c r="X4996" s="2"/>
      <c r="Y4996" s="101"/>
      <c r="Z4996" s="100"/>
    </row>
    <row r="4997" spans="24:26">
      <c r="X4997" s="2"/>
      <c r="Y4997" s="101"/>
      <c r="Z4997" s="100"/>
    </row>
    <row r="4998" spans="24:26">
      <c r="X4998" s="2"/>
      <c r="Y4998" s="101"/>
      <c r="Z4998" s="100"/>
    </row>
    <row r="4999" spans="24:26">
      <c r="X4999" s="2"/>
      <c r="Y4999" s="101"/>
      <c r="Z4999" s="100"/>
    </row>
    <row r="5000" spans="24:26">
      <c r="X5000" s="2"/>
      <c r="Y5000" s="101"/>
      <c r="Z5000" s="100"/>
    </row>
    <row r="5001" spans="24:26">
      <c r="X5001" s="2"/>
      <c r="Y5001" s="101"/>
      <c r="Z5001" s="100"/>
    </row>
    <row r="5002" spans="24:26">
      <c r="X5002" s="2"/>
      <c r="Y5002" s="101"/>
      <c r="Z5002" s="100"/>
    </row>
    <row r="5003" spans="24:26">
      <c r="X5003" s="2"/>
      <c r="Y5003" s="101"/>
      <c r="Z5003" s="100"/>
    </row>
    <row r="5004" spans="24:26">
      <c r="X5004" s="2"/>
      <c r="Y5004" s="101"/>
      <c r="Z5004" s="100"/>
    </row>
    <row r="5005" spans="24:26">
      <c r="X5005" s="2"/>
      <c r="Y5005" s="101"/>
      <c r="Z5005" s="100"/>
    </row>
    <row r="5006" spans="24:26">
      <c r="X5006" s="2"/>
      <c r="Y5006" s="101"/>
      <c r="Z5006" s="100"/>
    </row>
    <row r="5007" spans="24:26">
      <c r="X5007" s="2"/>
      <c r="Y5007" s="101"/>
      <c r="Z5007" s="100"/>
    </row>
    <row r="5008" spans="24:26">
      <c r="X5008" s="2"/>
      <c r="Y5008" s="101"/>
      <c r="Z5008" s="100"/>
    </row>
    <row r="5009" spans="24:26">
      <c r="X5009" s="2"/>
      <c r="Y5009" s="101"/>
      <c r="Z5009" s="100"/>
    </row>
    <row r="5010" spans="24:26">
      <c r="X5010" s="2"/>
      <c r="Y5010" s="101"/>
      <c r="Z5010" s="100"/>
    </row>
    <row r="5011" spans="24:26">
      <c r="X5011" s="2"/>
      <c r="Y5011" s="101"/>
      <c r="Z5011" s="100"/>
    </row>
    <row r="5012" spans="24:26">
      <c r="X5012" s="2"/>
      <c r="Y5012" s="101"/>
      <c r="Z5012" s="100"/>
    </row>
    <row r="5013" spans="24:26">
      <c r="X5013" s="2"/>
      <c r="Y5013" s="101"/>
      <c r="Z5013" s="100"/>
    </row>
    <row r="5014" spans="24:26">
      <c r="X5014" s="2"/>
      <c r="Y5014" s="101"/>
      <c r="Z5014" s="100"/>
    </row>
    <row r="5015" spans="24:26">
      <c r="X5015" s="2"/>
      <c r="Y5015" s="101"/>
      <c r="Z5015" s="100"/>
    </row>
    <row r="5016" spans="24:26">
      <c r="X5016" s="2"/>
      <c r="Y5016" s="101"/>
      <c r="Z5016" s="100"/>
    </row>
    <row r="5017" spans="24:26">
      <c r="X5017" s="2"/>
      <c r="Y5017" s="101"/>
      <c r="Z5017" s="100"/>
    </row>
    <row r="5018" spans="24:26">
      <c r="X5018" s="2"/>
      <c r="Y5018" s="101"/>
      <c r="Z5018" s="100"/>
    </row>
    <row r="5019" spans="24:26">
      <c r="X5019" s="2"/>
      <c r="Y5019" s="101"/>
      <c r="Z5019" s="100"/>
    </row>
    <row r="5020" spans="24:26">
      <c r="X5020" s="2"/>
      <c r="Y5020" s="101"/>
      <c r="Z5020" s="100"/>
    </row>
    <row r="5021" spans="24:26">
      <c r="X5021" s="2"/>
      <c r="Y5021" s="101"/>
      <c r="Z5021" s="100"/>
    </row>
    <row r="5022" spans="24:26">
      <c r="X5022" s="2"/>
      <c r="Y5022" s="101"/>
      <c r="Z5022" s="100"/>
    </row>
    <row r="5023" spans="24:26">
      <c r="X5023" s="2"/>
      <c r="Y5023" s="101"/>
      <c r="Z5023" s="100"/>
    </row>
    <row r="5024" spans="24:26">
      <c r="X5024" s="2"/>
      <c r="Y5024" s="101"/>
      <c r="Z5024" s="100"/>
    </row>
    <row r="5025" spans="24:26">
      <c r="X5025" s="2"/>
      <c r="Y5025" s="101"/>
      <c r="Z5025" s="100"/>
    </row>
    <row r="5026" spans="24:26">
      <c r="X5026" s="2"/>
      <c r="Y5026" s="101"/>
      <c r="Z5026" s="100"/>
    </row>
    <row r="5027" spans="24:26">
      <c r="X5027" s="2"/>
      <c r="Y5027" s="101"/>
      <c r="Z5027" s="100"/>
    </row>
    <row r="5028" spans="24:26">
      <c r="X5028" s="2"/>
      <c r="Y5028" s="101"/>
      <c r="Z5028" s="100"/>
    </row>
    <row r="5029" spans="24:26">
      <c r="X5029" s="2"/>
      <c r="Y5029" s="101"/>
      <c r="Z5029" s="100"/>
    </row>
    <row r="5030" spans="24:26">
      <c r="X5030" s="2"/>
      <c r="Y5030" s="101"/>
      <c r="Z5030" s="100"/>
    </row>
    <row r="5031" spans="24:26">
      <c r="X5031" s="2"/>
      <c r="Y5031" s="101"/>
      <c r="Z5031" s="100"/>
    </row>
    <row r="5032" spans="24:26">
      <c r="X5032" s="2"/>
      <c r="Y5032" s="101"/>
      <c r="Z5032" s="100"/>
    </row>
    <row r="5033" spans="24:26">
      <c r="X5033" s="2"/>
      <c r="Y5033" s="101"/>
      <c r="Z5033" s="100"/>
    </row>
    <row r="5034" spans="24:26">
      <c r="X5034" s="2"/>
      <c r="Y5034" s="101"/>
      <c r="Z5034" s="100"/>
    </row>
    <row r="5035" spans="24:26">
      <c r="X5035" s="2"/>
      <c r="Y5035" s="101"/>
      <c r="Z5035" s="100"/>
    </row>
    <row r="5036" spans="24:26">
      <c r="X5036" s="2"/>
      <c r="Y5036" s="101"/>
      <c r="Z5036" s="100"/>
    </row>
    <row r="5037" spans="24:26">
      <c r="X5037" s="2"/>
      <c r="Y5037" s="101"/>
      <c r="Z5037" s="100"/>
    </row>
    <row r="5038" spans="24:26">
      <c r="X5038" s="2"/>
      <c r="Y5038" s="101"/>
      <c r="Z5038" s="100"/>
    </row>
    <row r="5039" spans="24:26">
      <c r="X5039" s="2"/>
      <c r="Y5039" s="101"/>
      <c r="Z5039" s="100"/>
    </row>
    <row r="5040" spans="24:26">
      <c r="X5040" s="2"/>
      <c r="Y5040" s="101"/>
      <c r="Z5040" s="100"/>
    </row>
    <row r="5041" spans="24:26">
      <c r="X5041" s="2"/>
      <c r="Y5041" s="101"/>
      <c r="Z5041" s="100"/>
    </row>
    <row r="5042" spans="24:26">
      <c r="X5042" s="2"/>
      <c r="Y5042" s="101"/>
      <c r="Z5042" s="100"/>
    </row>
    <row r="5043" spans="24:26">
      <c r="X5043" s="2"/>
      <c r="Y5043" s="101"/>
      <c r="Z5043" s="100"/>
    </row>
    <row r="5044" spans="24:26">
      <c r="X5044" s="2"/>
      <c r="Y5044" s="101"/>
      <c r="Z5044" s="100"/>
    </row>
    <row r="5045" spans="24:26">
      <c r="X5045" s="2"/>
      <c r="Y5045" s="101"/>
      <c r="Z5045" s="100"/>
    </row>
    <row r="5046" spans="24:26">
      <c r="X5046" s="2"/>
      <c r="Y5046" s="101"/>
      <c r="Z5046" s="100"/>
    </row>
    <row r="5047" spans="24:26">
      <c r="X5047" s="2"/>
      <c r="Y5047" s="101"/>
      <c r="Z5047" s="100"/>
    </row>
    <row r="5048" spans="24:26">
      <c r="X5048" s="2"/>
      <c r="Y5048" s="101"/>
      <c r="Z5048" s="100"/>
    </row>
    <row r="5049" spans="24:26">
      <c r="X5049" s="2"/>
      <c r="Y5049" s="101"/>
      <c r="Z5049" s="100"/>
    </row>
    <row r="5050" spans="24:26">
      <c r="X5050" s="2"/>
      <c r="Y5050" s="101"/>
      <c r="Z5050" s="100"/>
    </row>
    <row r="5051" spans="24:26">
      <c r="X5051" s="2"/>
      <c r="Y5051" s="101"/>
      <c r="Z5051" s="100"/>
    </row>
    <row r="5052" spans="24:26">
      <c r="X5052" s="2"/>
      <c r="Y5052" s="101"/>
      <c r="Z5052" s="100"/>
    </row>
    <row r="5053" spans="24:26">
      <c r="X5053" s="2"/>
      <c r="Y5053" s="101"/>
      <c r="Z5053" s="100"/>
    </row>
    <row r="5054" spans="24:26">
      <c r="X5054" s="2"/>
      <c r="Y5054" s="101"/>
      <c r="Z5054" s="100"/>
    </row>
    <row r="5055" spans="24:26">
      <c r="X5055" s="2"/>
      <c r="Y5055" s="101"/>
      <c r="Z5055" s="100"/>
    </row>
    <row r="5056" spans="24:26">
      <c r="X5056" s="2"/>
      <c r="Y5056" s="101"/>
      <c r="Z5056" s="100"/>
    </row>
    <row r="5057" spans="24:26">
      <c r="X5057" s="2"/>
      <c r="Y5057" s="101"/>
      <c r="Z5057" s="100"/>
    </row>
    <row r="5058" spans="24:26">
      <c r="X5058" s="2"/>
      <c r="Y5058" s="101"/>
      <c r="Z5058" s="100"/>
    </row>
    <row r="5059" spans="24:26">
      <c r="X5059" s="2"/>
      <c r="Y5059" s="101"/>
      <c r="Z5059" s="100"/>
    </row>
    <row r="5060" spans="24:26">
      <c r="X5060" s="2"/>
      <c r="Y5060" s="101"/>
      <c r="Z5060" s="100"/>
    </row>
    <row r="5061" spans="24:26">
      <c r="X5061" s="2"/>
      <c r="Y5061" s="101"/>
      <c r="Z5061" s="100"/>
    </row>
    <row r="5062" spans="24:26">
      <c r="X5062" s="2"/>
      <c r="Y5062" s="101"/>
      <c r="Z5062" s="100"/>
    </row>
    <row r="5063" spans="24:26">
      <c r="X5063" s="2"/>
      <c r="Y5063" s="101"/>
      <c r="Z5063" s="100"/>
    </row>
    <row r="5064" spans="24:26">
      <c r="X5064" s="2"/>
      <c r="Y5064" s="101"/>
      <c r="Z5064" s="100"/>
    </row>
    <row r="5065" spans="24:26">
      <c r="X5065" s="2"/>
      <c r="Y5065" s="101"/>
      <c r="Z5065" s="100"/>
    </row>
    <row r="5066" spans="24:26">
      <c r="X5066" s="2"/>
      <c r="Y5066" s="101"/>
      <c r="Z5066" s="100"/>
    </row>
    <row r="5067" spans="24:26">
      <c r="X5067" s="2"/>
      <c r="Y5067" s="101"/>
      <c r="Z5067" s="100"/>
    </row>
    <row r="5068" spans="24:26">
      <c r="X5068" s="2"/>
      <c r="Y5068" s="101"/>
      <c r="Z5068" s="100"/>
    </row>
    <row r="5069" spans="24:26">
      <c r="X5069" s="2"/>
      <c r="Y5069" s="101"/>
      <c r="Z5069" s="100"/>
    </row>
    <row r="5070" spans="24:26">
      <c r="X5070" s="2"/>
      <c r="Y5070" s="101"/>
      <c r="Z5070" s="100"/>
    </row>
    <row r="5071" spans="24:26">
      <c r="X5071" s="2"/>
      <c r="Y5071" s="101"/>
      <c r="Z5071" s="100"/>
    </row>
    <row r="5072" spans="24:26">
      <c r="X5072" s="2"/>
      <c r="Y5072" s="101"/>
      <c r="Z5072" s="100"/>
    </row>
    <row r="5073" spans="24:26">
      <c r="X5073" s="2"/>
      <c r="Y5073" s="101"/>
      <c r="Z5073" s="100"/>
    </row>
    <row r="5074" spans="24:26">
      <c r="X5074" s="2"/>
      <c r="Y5074" s="101"/>
      <c r="Z5074" s="100"/>
    </row>
    <row r="5075" spans="24:26">
      <c r="X5075" s="2"/>
      <c r="Y5075" s="101"/>
      <c r="Z5075" s="100"/>
    </row>
    <row r="5076" spans="24:26">
      <c r="X5076" s="2"/>
      <c r="Y5076" s="101"/>
      <c r="Z5076" s="100"/>
    </row>
    <row r="5077" spans="24:26">
      <c r="X5077" s="2"/>
      <c r="Y5077" s="101"/>
      <c r="Z5077" s="100"/>
    </row>
    <row r="5078" spans="24:26">
      <c r="X5078" s="2"/>
      <c r="Y5078" s="101"/>
      <c r="Z5078" s="100"/>
    </row>
    <row r="5079" spans="24:26">
      <c r="X5079" s="2"/>
      <c r="Y5079" s="101"/>
      <c r="Z5079" s="100"/>
    </row>
    <row r="5080" spans="24:26">
      <c r="X5080" s="2"/>
      <c r="Y5080" s="101"/>
      <c r="Z5080" s="100"/>
    </row>
    <row r="5081" spans="24:26">
      <c r="X5081" s="2"/>
      <c r="Y5081" s="101"/>
      <c r="Z5081" s="100"/>
    </row>
    <row r="5082" spans="24:26">
      <c r="X5082" s="2"/>
      <c r="Y5082" s="101"/>
      <c r="Z5082" s="100"/>
    </row>
    <row r="5083" spans="24:26">
      <c r="X5083" s="2"/>
      <c r="Y5083" s="101"/>
      <c r="Z5083" s="100"/>
    </row>
    <row r="5084" spans="24:26">
      <c r="X5084" s="2"/>
      <c r="Y5084" s="101"/>
      <c r="Z5084" s="100"/>
    </row>
    <row r="5085" spans="24:26">
      <c r="X5085" s="2"/>
      <c r="Y5085" s="101"/>
      <c r="Z5085" s="100"/>
    </row>
    <row r="5086" spans="24:26">
      <c r="X5086" s="2"/>
      <c r="Y5086" s="101"/>
      <c r="Z5086" s="100"/>
    </row>
    <row r="5087" spans="24:26">
      <c r="X5087" s="2"/>
      <c r="Y5087" s="101"/>
      <c r="Z5087" s="100"/>
    </row>
    <row r="5088" spans="24:26">
      <c r="X5088" s="2"/>
      <c r="Y5088" s="101"/>
      <c r="Z5088" s="100"/>
    </row>
    <row r="5089" spans="24:26">
      <c r="X5089" s="2"/>
      <c r="Y5089" s="101"/>
      <c r="Z5089" s="100"/>
    </row>
    <row r="5090" spans="24:26">
      <c r="X5090" s="2"/>
      <c r="Y5090" s="101"/>
      <c r="Z5090" s="100"/>
    </row>
    <row r="5091" spans="24:26">
      <c r="X5091" s="2"/>
      <c r="Y5091" s="101"/>
      <c r="Z5091" s="100"/>
    </row>
    <row r="5092" spans="24:26">
      <c r="X5092" s="2"/>
      <c r="Y5092" s="101"/>
      <c r="Z5092" s="100"/>
    </row>
    <row r="5093" spans="24:26">
      <c r="X5093" s="2"/>
      <c r="Y5093" s="101"/>
      <c r="Z5093" s="100"/>
    </row>
    <row r="5094" spans="24:26">
      <c r="X5094" s="2"/>
      <c r="Y5094" s="101"/>
      <c r="Z5094" s="100"/>
    </row>
    <row r="5095" spans="24:26">
      <c r="X5095" s="2"/>
      <c r="Y5095" s="101"/>
      <c r="Z5095" s="100"/>
    </row>
    <row r="5096" spans="24:26">
      <c r="X5096" s="2"/>
      <c r="Y5096" s="101"/>
      <c r="Z5096" s="100"/>
    </row>
    <row r="5097" spans="24:26">
      <c r="X5097" s="2"/>
      <c r="Y5097" s="101"/>
      <c r="Z5097" s="100"/>
    </row>
    <row r="5098" spans="24:26">
      <c r="X5098" s="2"/>
      <c r="Y5098" s="101"/>
      <c r="Z5098" s="100"/>
    </row>
    <row r="5099" spans="24:26">
      <c r="X5099" s="2"/>
      <c r="Y5099" s="101"/>
      <c r="Z5099" s="100"/>
    </row>
    <row r="5100" spans="24:26">
      <c r="X5100" s="2"/>
      <c r="Y5100" s="101"/>
      <c r="Z5100" s="100"/>
    </row>
    <row r="5101" spans="24:26">
      <c r="X5101" s="2"/>
      <c r="Y5101" s="101"/>
      <c r="Z5101" s="100"/>
    </row>
    <row r="5102" spans="24:26">
      <c r="X5102" s="2"/>
      <c r="Y5102" s="101"/>
      <c r="Z5102" s="100"/>
    </row>
    <row r="5103" spans="24:26">
      <c r="X5103" s="2"/>
      <c r="Y5103" s="101"/>
      <c r="Z5103" s="100"/>
    </row>
    <row r="5104" spans="24:26">
      <c r="X5104" s="2"/>
      <c r="Y5104" s="101"/>
      <c r="Z5104" s="100"/>
    </row>
    <row r="5105" spans="24:26">
      <c r="X5105" s="2"/>
      <c r="Y5105" s="101"/>
      <c r="Z5105" s="100"/>
    </row>
    <row r="5106" spans="24:26">
      <c r="X5106" s="2"/>
      <c r="Y5106" s="101"/>
      <c r="Z5106" s="100"/>
    </row>
    <row r="5107" spans="24:26">
      <c r="X5107" s="2"/>
      <c r="Y5107" s="101"/>
      <c r="Z5107" s="100"/>
    </row>
    <row r="5108" spans="24:26">
      <c r="X5108" s="2"/>
      <c r="Y5108" s="101"/>
      <c r="Z5108" s="100"/>
    </row>
    <row r="5109" spans="24:26">
      <c r="X5109" s="2"/>
      <c r="Y5109" s="101"/>
      <c r="Z5109" s="100"/>
    </row>
    <row r="5110" spans="24:26">
      <c r="X5110" s="2"/>
      <c r="Y5110" s="101"/>
      <c r="Z5110" s="100"/>
    </row>
    <row r="5111" spans="24:26">
      <c r="X5111" s="2"/>
      <c r="Y5111" s="101"/>
      <c r="Z5111" s="100"/>
    </row>
    <row r="5112" spans="24:26">
      <c r="X5112" s="2"/>
      <c r="Y5112" s="101"/>
      <c r="Z5112" s="100"/>
    </row>
    <row r="5113" spans="24:26">
      <c r="X5113" s="2"/>
      <c r="Y5113" s="101"/>
      <c r="Z5113" s="100"/>
    </row>
    <row r="5114" spans="24:26">
      <c r="X5114" s="2"/>
      <c r="Y5114" s="101"/>
      <c r="Z5114" s="100"/>
    </row>
    <row r="5115" spans="24:26">
      <c r="X5115" s="2"/>
      <c r="Y5115" s="101"/>
      <c r="Z5115" s="100"/>
    </row>
    <row r="5116" spans="24:26">
      <c r="X5116" s="2"/>
      <c r="Y5116" s="101"/>
      <c r="Z5116" s="100"/>
    </row>
    <row r="5117" spans="24:26">
      <c r="X5117" s="2"/>
      <c r="Y5117" s="101"/>
      <c r="Z5117" s="100"/>
    </row>
    <row r="5118" spans="24:26">
      <c r="X5118" s="2"/>
      <c r="Y5118" s="101"/>
      <c r="Z5118" s="100"/>
    </row>
    <row r="5119" spans="24:26">
      <c r="X5119" s="2"/>
      <c r="Y5119" s="101"/>
      <c r="Z5119" s="100"/>
    </row>
    <row r="5120" spans="24:26">
      <c r="X5120" s="2"/>
      <c r="Y5120" s="101"/>
      <c r="Z5120" s="100"/>
    </row>
    <row r="5121" spans="24:26">
      <c r="X5121" s="2"/>
      <c r="Y5121" s="101"/>
      <c r="Z5121" s="100"/>
    </row>
    <row r="5122" spans="24:26">
      <c r="X5122" s="2"/>
      <c r="Y5122" s="101"/>
      <c r="Z5122" s="100"/>
    </row>
    <row r="5123" spans="24:26">
      <c r="X5123" s="2"/>
      <c r="Y5123" s="101"/>
      <c r="Z5123" s="100"/>
    </row>
    <row r="5124" spans="24:26">
      <c r="X5124" s="2"/>
      <c r="Y5124" s="101"/>
      <c r="Z5124" s="100"/>
    </row>
    <row r="5125" spans="24:26">
      <c r="X5125" s="2"/>
      <c r="Y5125" s="101"/>
      <c r="Z5125" s="100"/>
    </row>
    <row r="5126" spans="24:26">
      <c r="X5126" s="2"/>
      <c r="Y5126" s="101"/>
      <c r="Z5126" s="100"/>
    </row>
  </sheetData>
  <sortState ref="A2:Z5126">
    <sortCondition descending="1" ref="X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12"/>
  <sheetViews>
    <sheetView workbookViewId="0">
      <selection activeCell="G10" sqref="G10"/>
    </sheetView>
  </sheetViews>
  <sheetFormatPr baseColWidth="10" defaultRowHeight="15"/>
  <cols>
    <col min="2" max="2" width="13.85546875" bestFit="1" customWidth="1"/>
    <col min="4" max="4" width="11.140625" bestFit="1" customWidth="1"/>
  </cols>
  <sheetData>
    <row r="1" spans="1:4">
      <c r="B1" s="120" t="s">
        <v>91</v>
      </c>
      <c r="C1" s="120"/>
    </row>
    <row r="2" spans="1:4">
      <c r="A2" t="s">
        <v>96</v>
      </c>
      <c r="B2" t="s">
        <v>89</v>
      </c>
      <c r="C2" t="s">
        <v>90</v>
      </c>
      <c r="D2" t="s">
        <v>97</v>
      </c>
    </row>
    <row r="3" spans="1:4">
      <c r="A3">
        <v>1</v>
      </c>
      <c r="B3" s="34" t="s">
        <v>92</v>
      </c>
      <c r="C3" s="33">
        <v>5.4919999999999997E-2</v>
      </c>
      <c r="D3" s="35">
        <f>C3/10</f>
        <v>5.4919999999999995E-3</v>
      </c>
    </row>
    <row r="4" spans="1:4">
      <c r="A4">
        <v>13</v>
      </c>
      <c r="B4" t="s">
        <v>93</v>
      </c>
      <c r="C4" s="33">
        <v>8.0250000000000002E-2</v>
      </c>
      <c r="D4" s="35">
        <f t="shared" ref="D4:D12" si="0">C4/10</f>
        <v>8.0250000000000009E-3</v>
      </c>
    </row>
    <row r="5" spans="1:4">
      <c r="A5">
        <v>25</v>
      </c>
      <c r="B5" t="s">
        <v>94</v>
      </c>
      <c r="C5" s="33">
        <v>0.11006000000000001</v>
      </c>
      <c r="D5" s="35">
        <f t="shared" si="0"/>
        <v>1.1006E-2</v>
      </c>
    </row>
    <row r="6" spans="1:4">
      <c r="A6">
        <v>37</v>
      </c>
      <c r="B6" t="s">
        <v>95</v>
      </c>
      <c r="C6" s="33">
        <v>0.14094999999999999</v>
      </c>
      <c r="D6" s="35">
        <f t="shared" si="0"/>
        <v>1.4095E-2</v>
      </c>
    </row>
    <row r="7" spans="1:4">
      <c r="A7">
        <v>49</v>
      </c>
      <c r="B7" t="s">
        <v>98</v>
      </c>
      <c r="C7" s="33">
        <v>0.17427999999999999</v>
      </c>
      <c r="D7" s="35">
        <f t="shared" si="0"/>
        <v>1.7427999999999999E-2</v>
      </c>
    </row>
    <row r="8" spans="1:4">
      <c r="A8">
        <v>61</v>
      </c>
      <c r="B8" t="s">
        <v>99</v>
      </c>
      <c r="C8" s="33">
        <v>0.20837</v>
      </c>
      <c r="D8" s="35">
        <f t="shared" si="0"/>
        <v>2.0837000000000001E-2</v>
      </c>
    </row>
    <row r="9" spans="1:4">
      <c r="A9">
        <v>73</v>
      </c>
      <c r="B9" t="s">
        <v>100</v>
      </c>
      <c r="C9" s="33">
        <v>0.26062999999999997</v>
      </c>
      <c r="D9" s="35">
        <f t="shared" si="0"/>
        <v>2.6062999999999996E-2</v>
      </c>
    </row>
    <row r="10" spans="1:4">
      <c r="A10">
        <v>85</v>
      </c>
      <c r="B10" t="s">
        <v>101</v>
      </c>
      <c r="C10" s="33">
        <v>0.31801000000000001</v>
      </c>
      <c r="D10" s="35">
        <f t="shared" si="0"/>
        <v>3.1801000000000003E-2</v>
      </c>
    </row>
    <row r="11" spans="1:4">
      <c r="A11">
        <v>97</v>
      </c>
      <c r="B11" t="s">
        <v>102</v>
      </c>
      <c r="C11" s="33">
        <v>0.37837999999999999</v>
      </c>
      <c r="D11" s="35">
        <f t="shared" si="0"/>
        <v>3.7837999999999997E-2</v>
      </c>
    </row>
    <row r="12" spans="1:4">
      <c r="A12">
        <v>109</v>
      </c>
      <c r="B12" t="s">
        <v>103</v>
      </c>
      <c r="C12" s="33">
        <v>0.44656000000000001</v>
      </c>
      <c r="D12" s="35">
        <f t="shared" si="0"/>
        <v>4.4656000000000001E-2</v>
      </c>
    </row>
  </sheetData>
  <mergeCells count="1">
    <mergeCell ref="B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109"/>
  <sheetViews>
    <sheetView topLeftCell="C1" workbookViewId="0">
      <selection activeCell="C6" sqref="C6"/>
    </sheetView>
  </sheetViews>
  <sheetFormatPr baseColWidth="10" defaultRowHeight="15"/>
  <cols>
    <col min="2" max="2" width="16.28515625" customWidth="1"/>
    <col min="3" max="4" width="25.28515625" customWidth="1"/>
  </cols>
  <sheetData>
    <row r="1" spans="1:7" ht="26.25">
      <c r="A1" t="s">
        <v>19</v>
      </c>
      <c r="B1" t="s">
        <v>20</v>
      </c>
      <c r="C1" s="3" t="s">
        <v>21</v>
      </c>
      <c r="D1" s="21" t="s">
        <v>64</v>
      </c>
      <c r="E1" s="4" t="s">
        <v>22</v>
      </c>
      <c r="F1" s="20" t="s">
        <v>108</v>
      </c>
      <c r="G1" s="37" t="s">
        <v>43</v>
      </c>
    </row>
    <row r="2" spans="1:7" ht="18.75">
      <c r="A2" s="5" t="s">
        <v>23</v>
      </c>
      <c r="B2" s="4" t="s">
        <v>24</v>
      </c>
      <c r="C2" s="6" t="s">
        <v>25</v>
      </c>
      <c r="D2" s="22" t="str">
        <f>A2&amp;B2&amp;C2</f>
        <v>0 a 24E0 a 1.000.000</v>
      </c>
      <c r="E2" s="7">
        <v>2.4300000000000002</v>
      </c>
      <c r="F2" s="19">
        <f>0.99%</f>
        <v>9.8999999999999991E-3</v>
      </c>
      <c r="G2">
        <v>2.4300000000000002E-2</v>
      </c>
    </row>
    <row r="3" spans="1:7" ht="18.75">
      <c r="A3" s="5" t="s">
        <v>23</v>
      </c>
      <c r="B3" s="4" t="s">
        <v>24</v>
      </c>
      <c r="C3" s="6" t="s">
        <v>26</v>
      </c>
      <c r="D3" s="22" t="str">
        <f t="shared" ref="D3:D66" si="0">A3&amp;B3&amp;C3</f>
        <v>0 a 24E1.000.001 a 3.000.000</v>
      </c>
      <c r="E3" s="7">
        <v>1.97</v>
      </c>
      <c r="F3" s="19">
        <f t="shared" ref="F3:F66" si="1">0.99%</f>
        <v>9.8999999999999991E-3</v>
      </c>
      <c r="G3">
        <v>1.9699999999999999E-2</v>
      </c>
    </row>
    <row r="4" spans="1:7" ht="18.75">
      <c r="A4" s="5" t="s">
        <v>23</v>
      </c>
      <c r="B4" s="4" t="s">
        <v>24</v>
      </c>
      <c r="C4" s="6" t="s">
        <v>27</v>
      </c>
      <c r="D4" s="22" t="str">
        <f t="shared" si="0"/>
        <v>0 a 24E3.000.001 a 4.000.000</v>
      </c>
      <c r="E4" s="7">
        <v>1.89</v>
      </c>
      <c r="F4" s="19">
        <f t="shared" si="1"/>
        <v>9.8999999999999991E-3</v>
      </c>
      <c r="G4">
        <v>1.89E-2</v>
      </c>
    </row>
    <row r="5" spans="1:7" ht="18.75">
      <c r="A5" s="5" t="s">
        <v>23</v>
      </c>
      <c r="B5" s="4" t="s">
        <v>24</v>
      </c>
      <c r="C5" s="6" t="s">
        <v>28</v>
      </c>
      <c r="D5" s="22" t="str">
        <f t="shared" si="0"/>
        <v>0 a 24E4.000.001 a 5.000.000</v>
      </c>
      <c r="E5" s="7">
        <v>1.73</v>
      </c>
      <c r="F5" s="19">
        <f t="shared" si="1"/>
        <v>9.8999999999999991E-3</v>
      </c>
      <c r="G5">
        <v>1.7299999999999999E-2</v>
      </c>
    </row>
    <row r="6" spans="1:7" ht="18.75">
      <c r="A6" s="5" t="s">
        <v>23</v>
      </c>
      <c r="B6" s="4" t="s">
        <v>24</v>
      </c>
      <c r="C6" s="6" t="s">
        <v>29</v>
      </c>
      <c r="D6" s="22" t="str">
        <f t="shared" si="0"/>
        <v>0 a 24E5.000.001 a 7.000.000</v>
      </c>
      <c r="E6" s="7">
        <v>1.1475</v>
      </c>
      <c r="F6" s="19">
        <f t="shared" si="1"/>
        <v>9.8999999999999991E-3</v>
      </c>
      <c r="G6">
        <v>1.1474999999999999E-2</v>
      </c>
    </row>
    <row r="7" spans="1:7" ht="18.75">
      <c r="A7" s="5" t="s">
        <v>23</v>
      </c>
      <c r="B7" s="4" t="s">
        <v>24</v>
      </c>
      <c r="C7" s="6" t="s">
        <v>30</v>
      </c>
      <c r="D7" s="22" t="str">
        <f t="shared" si="0"/>
        <v>0 a 24E7.000.001 a 10.000.000</v>
      </c>
      <c r="E7" s="7">
        <v>1.1325000000000001</v>
      </c>
      <c r="F7" s="19">
        <f t="shared" si="1"/>
        <v>9.8999999999999991E-3</v>
      </c>
      <c r="G7">
        <v>1.1325E-2</v>
      </c>
    </row>
    <row r="8" spans="1:7" ht="18.75">
      <c r="A8" s="5" t="s">
        <v>23</v>
      </c>
      <c r="B8" s="4" t="s">
        <v>24</v>
      </c>
      <c r="C8" s="6" t="s">
        <v>31</v>
      </c>
      <c r="D8" s="22" t="str">
        <f t="shared" si="0"/>
        <v>0 a 24E10.000.001 a 15.000.000</v>
      </c>
      <c r="E8" s="7">
        <v>1.1174999999999999</v>
      </c>
      <c r="F8" s="19">
        <f t="shared" si="1"/>
        <v>9.8999999999999991E-3</v>
      </c>
      <c r="G8">
        <v>1.1174999999999999E-2</v>
      </c>
    </row>
    <row r="9" spans="1:7" ht="18.75">
      <c r="A9" s="5" t="s">
        <v>23</v>
      </c>
      <c r="B9" s="4" t="s">
        <v>24</v>
      </c>
      <c r="C9" s="6" t="s">
        <v>32</v>
      </c>
      <c r="D9" s="22" t="str">
        <f t="shared" si="0"/>
        <v>0 a 24E15.000.001 a 20.000.000</v>
      </c>
      <c r="E9" s="7">
        <v>1.095</v>
      </c>
      <c r="F9" s="19">
        <f t="shared" si="1"/>
        <v>9.8999999999999991E-3</v>
      </c>
      <c r="G9">
        <v>1.095E-2</v>
      </c>
    </row>
    <row r="10" spans="1:7" ht="19.5" thickBot="1">
      <c r="A10" s="5" t="s">
        <v>23</v>
      </c>
      <c r="B10" s="4" t="s">
        <v>24</v>
      </c>
      <c r="C10" s="8" t="s">
        <v>33</v>
      </c>
      <c r="D10" s="22" t="str">
        <f t="shared" si="0"/>
        <v>0 a 24EMayor a 20.000.000</v>
      </c>
      <c r="E10" s="7">
        <v>1.0649999999999999</v>
      </c>
      <c r="F10" s="19">
        <f t="shared" si="1"/>
        <v>9.8999999999999991E-3</v>
      </c>
      <c r="G10">
        <v>1.065E-2</v>
      </c>
    </row>
    <row r="11" spans="1:7" ht="18.75">
      <c r="A11" s="5" t="s">
        <v>23</v>
      </c>
      <c r="B11" s="9" t="s">
        <v>34</v>
      </c>
      <c r="C11" s="6" t="s">
        <v>25</v>
      </c>
      <c r="D11" s="22" t="str">
        <f t="shared" si="0"/>
        <v>0 a 24B0 a 1.000.000</v>
      </c>
      <c r="E11" s="10">
        <v>2.65</v>
      </c>
      <c r="F11" s="19">
        <f t="shared" si="1"/>
        <v>9.8999999999999991E-3</v>
      </c>
      <c r="G11">
        <v>2.6499999999999999E-2</v>
      </c>
    </row>
    <row r="12" spans="1:7" ht="18.75">
      <c r="A12" s="5" t="s">
        <v>23</v>
      </c>
      <c r="B12" s="9" t="s">
        <v>34</v>
      </c>
      <c r="C12" s="6" t="s">
        <v>26</v>
      </c>
      <c r="D12" s="22" t="str">
        <f t="shared" si="0"/>
        <v>0 a 24B1.000.001 a 3.000.000</v>
      </c>
      <c r="E12" s="10">
        <v>2.16</v>
      </c>
      <c r="F12" s="19">
        <f t="shared" si="1"/>
        <v>9.8999999999999991E-3</v>
      </c>
      <c r="G12">
        <v>2.1600000000000001E-2</v>
      </c>
    </row>
    <row r="13" spans="1:7" ht="18.75">
      <c r="A13" s="5" t="s">
        <v>23</v>
      </c>
      <c r="B13" s="9" t="s">
        <v>34</v>
      </c>
      <c r="C13" s="6" t="s">
        <v>27</v>
      </c>
      <c r="D13" s="22" t="str">
        <f t="shared" si="0"/>
        <v>0 a 24B3.000.001 a 4.000.000</v>
      </c>
      <c r="E13" s="10">
        <v>2.0499999999999998</v>
      </c>
      <c r="F13" s="19">
        <f t="shared" si="1"/>
        <v>9.8999999999999991E-3</v>
      </c>
      <c r="G13">
        <v>2.0499999999999997E-2</v>
      </c>
    </row>
    <row r="14" spans="1:7" ht="18.75">
      <c r="A14" s="5" t="s">
        <v>23</v>
      </c>
      <c r="B14" s="9" t="s">
        <v>34</v>
      </c>
      <c r="C14" s="6" t="s">
        <v>28</v>
      </c>
      <c r="D14" s="22" t="str">
        <f t="shared" si="0"/>
        <v>0 a 24B4.000.001 a 5.000.000</v>
      </c>
      <c r="E14" s="10">
        <v>1.88</v>
      </c>
      <c r="F14" s="19">
        <f t="shared" si="1"/>
        <v>9.8999999999999991E-3</v>
      </c>
      <c r="G14">
        <v>1.8799999999999997E-2</v>
      </c>
    </row>
    <row r="15" spans="1:7" ht="18.75">
      <c r="A15" s="5" t="s">
        <v>23</v>
      </c>
      <c r="B15" s="9" t="s">
        <v>34</v>
      </c>
      <c r="C15" s="6" t="s">
        <v>29</v>
      </c>
      <c r="D15" s="22" t="str">
        <f t="shared" si="0"/>
        <v>0 a 24B5.000.001 a 7.000.000</v>
      </c>
      <c r="E15" s="7">
        <v>1.155</v>
      </c>
      <c r="F15" s="19">
        <f t="shared" si="1"/>
        <v>9.8999999999999991E-3</v>
      </c>
      <c r="G15">
        <v>1.155E-2</v>
      </c>
    </row>
    <row r="16" spans="1:7" ht="18.75">
      <c r="A16" s="5" t="s">
        <v>23</v>
      </c>
      <c r="B16" s="9" t="s">
        <v>34</v>
      </c>
      <c r="C16" s="6" t="s">
        <v>30</v>
      </c>
      <c r="D16" s="22" t="str">
        <f t="shared" si="0"/>
        <v>0 a 24B7.000.001 a 10.000.000</v>
      </c>
      <c r="E16" s="7">
        <v>1.1400000000000001</v>
      </c>
      <c r="F16" s="19">
        <f t="shared" si="1"/>
        <v>9.8999999999999991E-3</v>
      </c>
      <c r="G16">
        <v>1.14E-2</v>
      </c>
    </row>
    <row r="17" spans="1:7" ht="18.75">
      <c r="A17" s="5" t="s">
        <v>23</v>
      </c>
      <c r="B17" s="9" t="s">
        <v>34</v>
      </c>
      <c r="C17" s="6" t="s">
        <v>31</v>
      </c>
      <c r="D17" s="22" t="str">
        <f t="shared" si="0"/>
        <v>0 a 24B10.000.001 a 15.000.000</v>
      </c>
      <c r="E17" s="7">
        <v>1.125</v>
      </c>
      <c r="F17" s="19">
        <f t="shared" si="1"/>
        <v>9.8999999999999991E-3</v>
      </c>
      <c r="G17">
        <v>1.125E-2</v>
      </c>
    </row>
    <row r="18" spans="1:7" ht="18.75">
      <c r="A18" s="5" t="s">
        <v>23</v>
      </c>
      <c r="B18" s="9" t="s">
        <v>34</v>
      </c>
      <c r="C18" s="6" t="s">
        <v>32</v>
      </c>
      <c r="D18" s="22" t="str">
        <f t="shared" si="0"/>
        <v>0 a 24B15.000.001 a 20.000.000</v>
      </c>
      <c r="E18" s="7">
        <v>1.1025</v>
      </c>
      <c r="F18" s="19">
        <f t="shared" si="1"/>
        <v>9.8999999999999991E-3</v>
      </c>
      <c r="G18">
        <v>1.1025E-2</v>
      </c>
    </row>
    <row r="19" spans="1:7" ht="19.5" thickBot="1">
      <c r="A19" s="5" t="s">
        <v>23</v>
      </c>
      <c r="B19" s="9" t="s">
        <v>34</v>
      </c>
      <c r="C19" s="8" t="s">
        <v>33</v>
      </c>
      <c r="D19" s="22" t="str">
        <f t="shared" si="0"/>
        <v>0 a 24BMayor a 20.000.000</v>
      </c>
      <c r="E19" s="7">
        <v>1.0725</v>
      </c>
      <c r="F19" s="19">
        <f t="shared" si="1"/>
        <v>9.8999999999999991E-3</v>
      </c>
      <c r="G19">
        <v>1.0725E-2</v>
      </c>
    </row>
    <row r="20" spans="1:7" ht="18.75">
      <c r="A20" s="5" t="s">
        <v>23</v>
      </c>
      <c r="B20" s="9" t="s">
        <v>35</v>
      </c>
      <c r="C20" s="6" t="s">
        <v>25</v>
      </c>
      <c r="D20" s="22" t="str">
        <f t="shared" si="0"/>
        <v>0 a 24R0 a 1.000.000</v>
      </c>
      <c r="E20" s="10">
        <v>2.75</v>
      </c>
      <c r="F20" s="19">
        <f t="shared" si="1"/>
        <v>9.8999999999999991E-3</v>
      </c>
      <c r="G20">
        <v>2.75E-2</v>
      </c>
    </row>
    <row r="21" spans="1:7" ht="18.75">
      <c r="A21" s="5" t="s">
        <v>23</v>
      </c>
      <c r="B21" s="9" t="s">
        <v>35</v>
      </c>
      <c r="C21" s="6" t="s">
        <v>26</v>
      </c>
      <c r="D21" s="22" t="str">
        <f t="shared" si="0"/>
        <v>0 a 24R1.000.001 a 3.000.000</v>
      </c>
      <c r="E21" s="10">
        <v>2.1800000000000002</v>
      </c>
      <c r="F21" s="19">
        <f t="shared" si="1"/>
        <v>9.8999999999999991E-3</v>
      </c>
      <c r="G21">
        <v>2.18E-2</v>
      </c>
    </row>
    <row r="22" spans="1:7" ht="18.75">
      <c r="A22" s="5" t="s">
        <v>23</v>
      </c>
      <c r="B22" s="9" t="s">
        <v>35</v>
      </c>
      <c r="C22" s="6" t="s">
        <v>27</v>
      </c>
      <c r="D22" s="22" t="str">
        <f t="shared" si="0"/>
        <v>0 a 24R3.000.001 a 4.000.000</v>
      </c>
      <c r="E22" s="10">
        <v>2.15</v>
      </c>
      <c r="F22" s="19">
        <f t="shared" si="1"/>
        <v>9.8999999999999991E-3</v>
      </c>
      <c r="G22">
        <v>2.1499999999999998E-2</v>
      </c>
    </row>
    <row r="23" spans="1:7" ht="18.75">
      <c r="A23" s="5" t="s">
        <v>23</v>
      </c>
      <c r="B23" s="9" t="s">
        <v>35</v>
      </c>
      <c r="C23" s="6" t="s">
        <v>28</v>
      </c>
      <c r="D23" s="22" t="str">
        <f t="shared" si="0"/>
        <v>0 a 24R4.000.001 a 5.000.000</v>
      </c>
      <c r="E23" s="10">
        <v>1.92</v>
      </c>
      <c r="F23" s="19">
        <f t="shared" si="1"/>
        <v>9.8999999999999991E-3</v>
      </c>
      <c r="G23">
        <v>1.9199999999999998E-2</v>
      </c>
    </row>
    <row r="24" spans="1:7" ht="18.75">
      <c r="A24" s="5" t="s">
        <v>23</v>
      </c>
      <c r="B24" s="9" t="s">
        <v>35</v>
      </c>
      <c r="C24" s="6" t="s">
        <v>29</v>
      </c>
      <c r="D24" s="22" t="str">
        <f t="shared" si="0"/>
        <v>0 a 24R5.000.001 a 7.000.000</v>
      </c>
      <c r="E24" s="7">
        <v>1.17</v>
      </c>
      <c r="F24" s="19">
        <f t="shared" si="1"/>
        <v>9.8999999999999991E-3</v>
      </c>
      <c r="G24">
        <v>1.1699999999999999E-2</v>
      </c>
    </row>
    <row r="25" spans="1:7" ht="18.75">
      <c r="A25" s="5" t="s">
        <v>23</v>
      </c>
      <c r="B25" s="9" t="s">
        <v>35</v>
      </c>
      <c r="C25" s="6" t="s">
        <v>30</v>
      </c>
      <c r="D25" s="22" t="str">
        <f t="shared" si="0"/>
        <v>0 a 24R7.000.001 a 10.000.000</v>
      </c>
      <c r="E25" s="7">
        <v>1.155</v>
      </c>
      <c r="F25" s="19">
        <f t="shared" si="1"/>
        <v>9.8999999999999991E-3</v>
      </c>
      <c r="G25">
        <v>1.155E-2</v>
      </c>
    </row>
    <row r="26" spans="1:7" ht="18.75">
      <c r="A26" s="5" t="s">
        <v>23</v>
      </c>
      <c r="B26" s="9" t="s">
        <v>35</v>
      </c>
      <c r="C26" s="6" t="s">
        <v>31</v>
      </c>
      <c r="D26" s="22" t="str">
        <f t="shared" si="0"/>
        <v>0 a 24R10.000.001 a 15.000.000</v>
      </c>
      <c r="E26" s="7">
        <v>1.1400000000000001</v>
      </c>
      <c r="F26" s="19">
        <f t="shared" si="1"/>
        <v>9.8999999999999991E-3</v>
      </c>
      <c r="G26">
        <v>1.14E-2</v>
      </c>
    </row>
    <row r="27" spans="1:7" ht="18.75">
      <c r="A27" s="5" t="s">
        <v>23</v>
      </c>
      <c r="B27" s="9" t="s">
        <v>35</v>
      </c>
      <c r="C27" s="6" t="s">
        <v>32</v>
      </c>
      <c r="D27" s="22" t="str">
        <f t="shared" si="0"/>
        <v>0 a 24R15.000.001 a 20.000.000</v>
      </c>
      <c r="E27" s="7">
        <v>1.1174999999999999</v>
      </c>
      <c r="F27" s="19">
        <f t="shared" si="1"/>
        <v>9.8999999999999991E-3</v>
      </c>
      <c r="G27">
        <v>1.1174999999999999E-2</v>
      </c>
    </row>
    <row r="28" spans="1:7" ht="19.5" thickBot="1">
      <c r="A28" s="5" t="s">
        <v>23</v>
      </c>
      <c r="B28" s="9" t="s">
        <v>35</v>
      </c>
      <c r="C28" s="8" t="s">
        <v>33</v>
      </c>
      <c r="D28" s="22" t="str">
        <f t="shared" si="0"/>
        <v>0 a 24RMayor a 20.000.000</v>
      </c>
      <c r="E28" s="7">
        <v>1.0874999999999999</v>
      </c>
      <c r="F28" s="19">
        <f t="shared" si="1"/>
        <v>9.8999999999999991E-3</v>
      </c>
      <c r="G28">
        <v>1.0874999999999999E-2</v>
      </c>
    </row>
    <row r="29" spans="1:7" ht="18.75">
      <c r="A29" s="5" t="s">
        <v>23</v>
      </c>
      <c r="B29" s="11" t="s">
        <v>36</v>
      </c>
      <c r="C29" s="6" t="s">
        <v>25</v>
      </c>
      <c r="D29" s="22" t="str">
        <f t="shared" si="0"/>
        <v>0 a 24M0 a 1.000.000</v>
      </c>
      <c r="E29" s="12">
        <v>2.79</v>
      </c>
      <c r="F29" s="19">
        <f t="shared" si="1"/>
        <v>9.8999999999999991E-3</v>
      </c>
      <c r="G29">
        <v>2.7900000000000001E-2</v>
      </c>
    </row>
    <row r="30" spans="1:7" ht="18.75">
      <c r="A30" s="5" t="s">
        <v>23</v>
      </c>
      <c r="B30" s="11" t="s">
        <v>36</v>
      </c>
      <c r="C30" s="6" t="s">
        <v>26</v>
      </c>
      <c r="D30" s="22" t="str">
        <f t="shared" si="0"/>
        <v>0 a 24M1.000.001 a 3.000.000</v>
      </c>
      <c r="E30" s="12">
        <v>2.2000000000000002</v>
      </c>
      <c r="F30" s="19">
        <f t="shared" si="1"/>
        <v>9.8999999999999991E-3</v>
      </c>
      <c r="G30">
        <v>2.2000000000000002E-2</v>
      </c>
    </row>
    <row r="31" spans="1:7" ht="18.75">
      <c r="A31" s="5" t="s">
        <v>23</v>
      </c>
      <c r="B31" s="11" t="s">
        <v>36</v>
      </c>
      <c r="C31" s="6" t="s">
        <v>27</v>
      </c>
      <c r="D31" s="22" t="str">
        <f t="shared" si="0"/>
        <v>0 a 24M3.000.001 a 4.000.000</v>
      </c>
      <c r="E31" s="12">
        <v>2.19</v>
      </c>
      <c r="F31" s="19">
        <f t="shared" si="1"/>
        <v>9.8999999999999991E-3</v>
      </c>
      <c r="G31">
        <v>2.1899999999999999E-2</v>
      </c>
    </row>
    <row r="32" spans="1:7" ht="18.75">
      <c r="A32" s="5" t="s">
        <v>23</v>
      </c>
      <c r="B32" s="11" t="s">
        <v>36</v>
      </c>
      <c r="C32" s="6" t="s">
        <v>28</v>
      </c>
      <c r="D32" s="22" t="str">
        <f t="shared" si="0"/>
        <v>0 a 24M4.000.001 a 5.000.000</v>
      </c>
      <c r="E32" s="12">
        <v>1.96</v>
      </c>
      <c r="F32" s="19">
        <f t="shared" si="1"/>
        <v>9.8999999999999991E-3</v>
      </c>
      <c r="G32">
        <v>1.9599999999999999E-2</v>
      </c>
    </row>
    <row r="33" spans="1:7" ht="18.75">
      <c r="A33" s="5" t="s">
        <v>23</v>
      </c>
      <c r="B33" s="11" t="s">
        <v>36</v>
      </c>
      <c r="C33" s="6" t="s">
        <v>29</v>
      </c>
      <c r="D33" s="22" t="str">
        <f t="shared" si="0"/>
        <v>0 a 24M5.000.001 a 7.000.000</v>
      </c>
      <c r="E33" s="7">
        <v>1.1775</v>
      </c>
      <c r="F33" s="19">
        <f t="shared" si="1"/>
        <v>9.8999999999999991E-3</v>
      </c>
      <c r="G33">
        <v>1.1775000000000001E-2</v>
      </c>
    </row>
    <row r="34" spans="1:7" ht="18.75">
      <c r="A34" s="5" t="s">
        <v>23</v>
      </c>
      <c r="B34" s="11" t="s">
        <v>36</v>
      </c>
      <c r="C34" s="6" t="s">
        <v>30</v>
      </c>
      <c r="D34" s="22" t="str">
        <f t="shared" si="0"/>
        <v>0 a 24M7.000.001 a 10.000.000</v>
      </c>
      <c r="E34" s="7">
        <v>1.1625000000000001</v>
      </c>
      <c r="F34" s="19">
        <f t="shared" si="1"/>
        <v>9.8999999999999991E-3</v>
      </c>
      <c r="G34">
        <v>1.1625000000000002E-2</v>
      </c>
    </row>
    <row r="35" spans="1:7" ht="18.75">
      <c r="A35" s="5" t="s">
        <v>23</v>
      </c>
      <c r="B35" s="11" t="s">
        <v>36</v>
      </c>
      <c r="C35" s="6" t="s">
        <v>31</v>
      </c>
      <c r="D35" s="22" t="str">
        <f t="shared" si="0"/>
        <v>0 a 24M10.000.001 a 15.000.000</v>
      </c>
      <c r="E35" s="7">
        <v>1.1475</v>
      </c>
      <c r="F35" s="19">
        <f t="shared" si="1"/>
        <v>9.8999999999999991E-3</v>
      </c>
      <c r="G35">
        <v>1.1474999999999999E-2</v>
      </c>
    </row>
    <row r="36" spans="1:7" ht="18.75">
      <c r="A36" s="5" t="s">
        <v>23</v>
      </c>
      <c r="B36" s="11" t="s">
        <v>36</v>
      </c>
      <c r="C36" s="6" t="s">
        <v>32</v>
      </c>
      <c r="D36" s="22" t="str">
        <f t="shared" si="0"/>
        <v>0 a 24M15.000.001 a 20.000.000</v>
      </c>
      <c r="E36" s="7">
        <v>1.125</v>
      </c>
      <c r="F36" s="19">
        <f t="shared" si="1"/>
        <v>9.8999999999999991E-3</v>
      </c>
      <c r="G36">
        <v>1.125E-2</v>
      </c>
    </row>
    <row r="37" spans="1:7" ht="19.5" thickBot="1">
      <c r="A37" s="5" t="s">
        <v>23</v>
      </c>
      <c r="B37" s="11" t="s">
        <v>36</v>
      </c>
      <c r="C37" s="8" t="s">
        <v>33</v>
      </c>
      <c r="D37" s="22" t="str">
        <f t="shared" si="0"/>
        <v>0 a 24MMayor a 20.000.000</v>
      </c>
      <c r="E37" s="7">
        <v>1.095</v>
      </c>
      <c r="F37" s="19">
        <f t="shared" si="1"/>
        <v>9.8999999999999991E-3</v>
      </c>
      <c r="G37">
        <v>1.095E-2</v>
      </c>
    </row>
    <row r="38" spans="1:7" ht="18.75">
      <c r="A38" s="5" t="s">
        <v>37</v>
      </c>
      <c r="B38" s="4" t="s">
        <v>24</v>
      </c>
      <c r="C38" s="6" t="s">
        <v>25</v>
      </c>
      <c r="D38" s="22" t="str">
        <f t="shared" si="0"/>
        <v>25 a 48E0 a 1.000.000</v>
      </c>
      <c r="E38" s="7">
        <v>2.44</v>
      </c>
      <c r="F38" s="19">
        <f t="shared" si="1"/>
        <v>9.8999999999999991E-3</v>
      </c>
      <c r="G38">
        <v>2.4399999999999998E-2</v>
      </c>
    </row>
    <row r="39" spans="1:7" ht="18.75">
      <c r="A39" s="5" t="s">
        <v>37</v>
      </c>
      <c r="B39" s="4" t="s">
        <v>24</v>
      </c>
      <c r="C39" s="6" t="s">
        <v>26</v>
      </c>
      <c r="D39" s="22" t="str">
        <f t="shared" si="0"/>
        <v>25 a 48E1.000.001 a 3.000.000</v>
      </c>
      <c r="E39" s="7">
        <v>1.98</v>
      </c>
      <c r="F39" s="19">
        <f t="shared" si="1"/>
        <v>9.8999999999999991E-3</v>
      </c>
      <c r="G39">
        <v>1.9799999999999998E-2</v>
      </c>
    </row>
    <row r="40" spans="1:7" ht="18.75">
      <c r="A40" s="5" t="s">
        <v>37</v>
      </c>
      <c r="B40" s="4" t="s">
        <v>24</v>
      </c>
      <c r="C40" s="6" t="s">
        <v>27</v>
      </c>
      <c r="D40" s="22" t="str">
        <f t="shared" si="0"/>
        <v>25 a 48E3.000.001 a 4.000.000</v>
      </c>
      <c r="E40" s="7">
        <v>1.9</v>
      </c>
      <c r="F40" s="19">
        <f t="shared" si="1"/>
        <v>9.8999999999999991E-3</v>
      </c>
      <c r="G40">
        <v>1.9E-2</v>
      </c>
    </row>
    <row r="41" spans="1:7" ht="18.75">
      <c r="A41" s="5" t="s">
        <v>37</v>
      </c>
      <c r="B41" s="4" t="s">
        <v>24</v>
      </c>
      <c r="C41" s="6" t="s">
        <v>28</v>
      </c>
      <c r="D41" s="22" t="str">
        <f t="shared" si="0"/>
        <v>25 a 48E4.000.001 a 5.000.000</v>
      </c>
      <c r="E41" s="7">
        <v>1.76</v>
      </c>
      <c r="F41" s="19">
        <f t="shared" si="1"/>
        <v>9.8999999999999991E-3</v>
      </c>
      <c r="G41">
        <v>1.7600000000000001E-2</v>
      </c>
    </row>
    <row r="42" spans="1:7" ht="18.75">
      <c r="A42" s="5" t="s">
        <v>37</v>
      </c>
      <c r="B42" s="4" t="s">
        <v>24</v>
      </c>
      <c r="C42" s="6" t="s">
        <v>29</v>
      </c>
      <c r="D42" s="22" t="str">
        <f t="shared" si="0"/>
        <v>25 a 48E5.000.001 a 7.000.000</v>
      </c>
      <c r="E42" s="7">
        <v>1.155</v>
      </c>
      <c r="F42" s="19">
        <f t="shared" si="1"/>
        <v>9.8999999999999991E-3</v>
      </c>
      <c r="G42">
        <v>1.155E-2</v>
      </c>
    </row>
    <row r="43" spans="1:7" ht="18.75">
      <c r="A43" s="5" t="s">
        <v>37</v>
      </c>
      <c r="B43" s="4" t="s">
        <v>24</v>
      </c>
      <c r="C43" s="6" t="s">
        <v>30</v>
      </c>
      <c r="D43" s="22" t="str">
        <f t="shared" si="0"/>
        <v>25 a 48E7.000.001 a 10.000.000</v>
      </c>
      <c r="E43" s="7">
        <v>1.1400000000000001</v>
      </c>
      <c r="F43" s="19">
        <f t="shared" si="1"/>
        <v>9.8999999999999991E-3</v>
      </c>
      <c r="G43">
        <v>1.14E-2</v>
      </c>
    </row>
    <row r="44" spans="1:7" ht="18.75">
      <c r="A44" s="5" t="s">
        <v>37</v>
      </c>
      <c r="B44" s="4" t="s">
        <v>24</v>
      </c>
      <c r="C44" s="6" t="s">
        <v>31</v>
      </c>
      <c r="D44" s="22" t="str">
        <f t="shared" si="0"/>
        <v>25 a 48E10.000.001 a 15.000.000</v>
      </c>
      <c r="E44" s="7">
        <v>1.125</v>
      </c>
      <c r="F44" s="19">
        <f t="shared" si="1"/>
        <v>9.8999999999999991E-3</v>
      </c>
      <c r="G44">
        <v>1.125E-2</v>
      </c>
    </row>
    <row r="45" spans="1:7" ht="18.75">
      <c r="A45" s="5" t="s">
        <v>37</v>
      </c>
      <c r="B45" s="4" t="s">
        <v>24</v>
      </c>
      <c r="C45" s="6" t="s">
        <v>32</v>
      </c>
      <c r="D45" s="22" t="str">
        <f t="shared" si="0"/>
        <v>25 a 48E15.000.001 a 20.000.000</v>
      </c>
      <c r="E45" s="7">
        <v>1.1025</v>
      </c>
      <c r="F45" s="19">
        <f t="shared" si="1"/>
        <v>9.8999999999999991E-3</v>
      </c>
      <c r="G45">
        <v>1.1025E-2</v>
      </c>
    </row>
    <row r="46" spans="1:7" ht="19.5" thickBot="1">
      <c r="A46" s="5" t="s">
        <v>37</v>
      </c>
      <c r="B46" s="4" t="s">
        <v>24</v>
      </c>
      <c r="C46" s="8" t="s">
        <v>33</v>
      </c>
      <c r="D46" s="22" t="str">
        <f t="shared" si="0"/>
        <v>25 a 48EMayor a 20.000.000</v>
      </c>
      <c r="E46" s="7">
        <v>1.0725</v>
      </c>
      <c r="F46" s="19">
        <f t="shared" si="1"/>
        <v>9.8999999999999991E-3</v>
      </c>
      <c r="G46">
        <v>1.0725E-2</v>
      </c>
    </row>
    <row r="47" spans="1:7" ht="18.75">
      <c r="A47" s="5" t="s">
        <v>37</v>
      </c>
      <c r="B47" s="9" t="s">
        <v>34</v>
      </c>
      <c r="C47" s="6" t="s">
        <v>25</v>
      </c>
      <c r="D47" s="22" t="str">
        <f t="shared" si="0"/>
        <v>25 a 48B0 a 1.000.000</v>
      </c>
      <c r="E47" s="10">
        <v>2.66</v>
      </c>
      <c r="F47" s="19">
        <f t="shared" si="1"/>
        <v>9.8999999999999991E-3</v>
      </c>
      <c r="G47">
        <v>2.6600000000000002E-2</v>
      </c>
    </row>
    <row r="48" spans="1:7" ht="18.75">
      <c r="A48" s="5" t="s">
        <v>37</v>
      </c>
      <c r="B48" s="9" t="s">
        <v>34</v>
      </c>
      <c r="C48" s="6" t="s">
        <v>26</v>
      </c>
      <c r="D48" s="22" t="str">
        <f t="shared" si="0"/>
        <v>25 a 48B1.000.001 a 3.000.000</v>
      </c>
      <c r="E48" s="10">
        <v>2.17</v>
      </c>
      <c r="F48" s="19">
        <f t="shared" si="1"/>
        <v>9.8999999999999991E-3</v>
      </c>
      <c r="G48">
        <v>2.1700000000000001E-2</v>
      </c>
    </row>
    <row r="49" spans="1:7" ht="18.75">
      <c r="A49" s="5" t="s">
        <v>37</v>
      </c>
      <c r="B49" s="9" t="s">
        <v>34</v>
      </c>
      <c r="C49" s="6" t="s">
        <v>27</v>
      </c>
      <c r="D49" s="22" t="str">
        <f t="shared" si="0"/>
        <v>25 a 48B3.000.001 a 4.000.000</v>
      </c>
      <c r="E49" s="10">
        <v>2.06</v>
      </c>
      <c r="F49" s="19">
        <f t="shared" si="1"/>
        <v>9.8999999999999991E-3</v>
      </c>
      <c r="G49">
        <v>2.06E-2</v>
      </c>
    </row>
    <row r="50" spans="1:7" ht="18.75">
      <c r="A50" s="5" t="s">
        <v>37</v>
      </c>
      <c r="B50" s="9" t="s">
        <v>34</v>
      </c>
      <c r="C50" s="6" t="s">
        <v>28</v>
      </c>
      <c r="D50" s="22" t="str">
        <f t="shared" si="0"/>
        <v>25 a 48B4.000.001 a 5.000.000</v>
      </c>
      <c r="E50" s="10">
        <v>1.91</v>
      </c>
      <c r="F50" s="19">
        <f t="shared" si="1"/>
        <v>9.8999999999999991E-3</v>
      </c>
      <c r="G50">
        <v>1.9099999999999999E-2</v>
      </c>
    </row>
    <row r="51" spans="1:7" ht="18.75">
      <c r="A51" s="5" t="s">
        <v>37</v>
      </c>
      <c r="B51" s="9" t="s">
        <v>34</v>
      </c>
      <c r="C51" s="6" t="s">
        <v>29</v>
      </c>
      <c r="D51" s="22" t="str">
        <f t="shared" si="0"/>
        <v>25 a 48B5.000.001 a 7.000.000</v>
      </c>
      <c r="E51" s="7">
        <v>1.1625000000000001</v>
      </c>
      <c r="F51" s="19">
        <f t="shared" si="1"/>
        <v>9.8999999999999991E-3</v>
      </c>
      <c r="G51">
        <v>1.1625000000000002E-2</v>
      </c>
    </row>
    <row r="52" spans="1:7" ht="18.75">
      <c r="A52" s="5" t="s">
        <v>37</v>
      </c>
      <c r="B52" s="9" t="s">
        <v>34</v>
      </c>
      <c r="C52" s="6" t="s">
        <v>30</v>
      </c>
      <c r="D52" s="22" t="str">
        <f t="shared" si="0"/>
        <v>25 a 48B7.000.001 a 10.000.000</v>
      </c>
      <c r="E52" s="7">
        <v>1.1475</v>
      </c>
      <c r="F52" s="19">
        <f t="shared" si="1"/>
        <v>9.8999999999999991E-3</v>
      </c>
      <c r="G52">
        <v>1.1474999999999999E-2</v>
      </c>
    </row>
    <row r="53" spans="1:7" ht="18.75">
      <c r="A53" s="5" t="s">
        <v>37</v>
      </c>
      <c r="B53" s="9" t="s">
        <v>34</v>
      </c>
      <c r="C53" s="6" t="s">
        <v>31</v>
      </c>
      <c r="D53" s="22" t="str">
        <f t="shared" si="0"/>
        <v>25 a 48B10.000.001 a 15.000.000</v>
      </c>
      <c r="E53" s="7">
        <v>1.1325000000000001</v>
      </c>
      <c r="F53" s="19">
        <f t="shared" si="1"/>
        <v>9.8999999999999991E-3</v>
      </c>
      <c r="G53">
        <v>1.1325E-2</v>
      </c>
    </row>
    <row r="54" spans="1:7" ht="18.75">
      <c r="A54" s="5" t="s">
        <v>37</v>
      </c>
      <c r="B54" s="9" t="s">
        <v>34</v>
      </c>
      <c r="C54" s="6" t="s">
        <v>32</v>
      </c>
      <c r="D54" s="22" t="str">
        <f t="shared" si="0"/>
        <v>25 a 48B15.000.001 a 20.000.000</v>
      </c>
      <c r="E54" s="7">
        <v>1.1099999999999999</v>
      </c>
      <c r="F54" s="19">
        <f t="shared" si="1"/>
        <v>9.8999999999999991E-3</v>
      </c>
      <c r="G54">
        <v>1.1099999999999999E-2</v>
      </c>
    </row>
    <row r="55" spans="1:7" ht="19.5" thickBot="1">
      <c r="A55" s="5" t="s">
        <v>37</v>
      </c>
      <c r="B55" s="9" t="s">
        <v>34</v>
      </c>
      <c r="C55" s="8" t="s">
        <v>33</v>
      </c>
      <c r="D55" s="22" t="str">
        <f t="shared" si="0"/>
        <v>25 a 48BMayor a 20.000.000</v>
      </c>
      <c r="E55" s="7">
        <v>1.08</v>
      </c>
      <c r="F55" s="19">
        <f t="shared" si="1"/>
        <v>9.8999999999999991E-3</v>
      </c>
      <c r="G55">
        <v>1.0800000000000001E-2</v>
      </c>
    </row>
    <row r="56" spans="1:7" ht="18.75">
      <c r="A56" s="5" t="s">
        <v>37</v>
      </c>
      <c r="B56" s="9" t="s">
        <v>35</v>
      </c>
      <c r="C56" s="6" t="s">
        <v>25</v>
      </c>
      <c r="D56" s="22" t="str">
        <f t="shared" si="0"/>
        <v>25 a 48R0 a 1.000.000</v>
      </c>
      <c r="E56" s="10">
        <v>2.76</v>
      </c>
      <c r="F56" s="19">
        <f t="shared" si="1"/>
        <v>9.8999999999999991E-3</v>
      </c>
      <c r="G56">
        <v>2.76E-2</v>
      </c>
    </row>
    <row r="57" spans="1:7" ht="18.75">
      <c r="A57" s="5" t="s">
        <v>37</v>
      </c>
      <c r="B57" s="9" t="s">
        <v>35</v>
      </c>
      <c r="C57" s="6" t="s">
        <v>26</v>
      </c>
      <c r="D57" s="22" t="str">
        <f t="shared" si="0"/>
        <v>25 a 48R1.000.001 a 3.000.000</v>
      </c>
      <c r="E57" s="10">
        <v>2.19</v>
      </c>
      <c r="F57" s="19">
        <f t="shared" si="1"/>
        <v>9.8999999999999991E-3</v>
      </c>
      <c r="G57">
        <v>2.1899999999999999E-2</v>
      </c>
    </row>
    <row r="58" spans="1:7" ht="18.75">
      <c r="A58" s="5" t="s">
        <v>37</v>
      </c>
      <c r="B58" s="9" t="s">
        <v>35</v>
      </c>
      <c r="C58" s="6" t="s">
        <v>27</v>
      </c>
      <c r="D58" s="22" t="str">
        <f t="shared" si="0"/>
        <v>25 a 48R3.000.001 a 4.000.000</v>
      </c>
      <c r="E58" s="10">
        <v>2.16</v>
      </c>
      <c r="F58" s="19">
        <f t="shared" si="1"/>
        <v>9.8999999999999991E-3</v>
      </c>
      <c r="G58">
        <v>2.1600000000000001E-2</v>
      </c>
    </row>
    <row r="59" spans="1:7" ht="18.75">
      <c r="A59" s="5" t="s">
        <v>37</v>
      </c>
      <c r="B59" s="9" t="s">
        <v>35</v>
      </c>
      <c r="C59" s="6" t="s">
        <v>28</v>
      </c>
      <c r="D59" s="22" t="str">
        <f t="shared" si="0"/>
        <v>25 a 48R4.000.001 a 5.000.000</v>
      </c>
      <c r="E59" s="10">
        <v>1.95</v>
      </c>
      <c r="F59" s="19">
        <f t="shared" si="1"/>
        <v>9.8999999999999991E-3</v>
      </c>
      <c r="G59">
        <v>1.95E-2</v>
      </c>
    </row>
    <row r="60" spans="1:7" ht="18.75">
      <c r="A60" s="5" t="s">
        <v>37</v>
      </c>
      <c r="B60" s="9" t="s">
        <v>35</v>
      </c>
      <c r="C60" s="6" t="s">
        <v>29</v>
      </c>
      <c r="D60" s="22" t="str">
        <f t="shared" si="0"/>
        <v>25 a 48R5.000.001 a 7.000.000</v>
      </c>
      <c r="E60" s="7">
        <v>1.1775</v>
      </c>
      <c r="F60" s="19">
        <f t="shared" si="1"/>
        <v>9.8999999999999991E-3</v>
      </c>
      <c r="G60">
        <v>1.1775000000000001E-2</v>
      </c>
    </row>
    <row r="61" spans="1:7" ht="18.75">
      <c r="A61" s="5" t="s">
        <v>37</v>
      </c>
      <c r="B61" s="9" t="s">
        <v>35</v>
      </c>
      <c r="C61" s="6" t="s">
        <v>30</v>
      </c>
      <c r="D61" s="22" t="str">
        <f t="shared" si="0"/>
        <v>25 a 48R7.000.001 a 10.000.000</v>
      </c>
      <c r="E61" s="7">
        <v>1.1625000000000001</v>
      </c>
      <c r="F61" s="19">
        <f t="shared" si="1"/>
        <v>9.8999999999999991E-3</v>
      </c>
      <c r="G61">
        <v>1.1625000000000002E-2</v>
      </c>
    </row>
    <row r="62" spans="1:7" ht="18.75">
      <c r="A62" s="5" t="s">
        <v>37</v>
      </c>
      <c r="B62" s="9" t="s">
        <v>35</v>
      </c>
      <c r="C62" s="6" t="s">
        <v>31</v>
      </c>
      <c r="D62" s="22" t="str">
        <f t="shared" si="0"/>
        <v>25 a 48R10.000.001 a 15.000.000</v>
      </c>
      <c r="E62" s="7">
        <v>1.1475</v>
      </c>
      <c r="F62" s="19">
        <f t="shared" si="1"/>
        <v>9.8999999999999991E-3</v>
      </c>
      <c r="G62">
        <v>1.1474999999999999E-2</v>
      </c>
    </row>
    <row r="63" spans="1:7" ht="18.75">
      <c r="A63" s="5" t="s">
        <v>37</v>
      </c>
      <c r="B63" s="9" t="s">
        <v>35</v>
      </c>
      <c r="C63" s="6" t="s">
        <v>32</v>
      </c>
      <c r="D63" s="22" t="str">
        <f t="shared" si="0"/>
        <v>25 a 48R15.000.001 a 20.000.000</v>
      </c>
      <c r="E63" s="7">
        <v>1.125</v>
      </c>
      <c r="F63" s="19">
        <f t="shared" si="1"/>
        <v>9.8999999999999991E-3</v>
      </c>
      <c r="G63">
        <v>1.125E-2</v>
      </c>
    </row>
    <row r="64" spans="1:7" ht="19.5" thickBot="1">
      <c r="A64" s="5" t="s">
        <v>37</v>
      </c>
      <c r="B64" s="9" t="s">
        <v>35</v>
      </c>
      <c r="C64" s="8" t="s">
        <v>33</v>
      </c>
      <c r="D64" s="22" t="str">
        <f t="shared" si="0"/>
        <v>25 a 48RMayor a 20.000.000</v>
      </c>
      <c r="E64" s="7">
        <v>1.095</v>
      </c>
      <c r="F64" s="19">
        <f t="shared" si="1"/>
        <v>9.8999999999999991E-3</v>
      </c>
      <c r="G64">
        <v>1.095E-2</v>
      </c>
    </row>
    <row r="65" spans="1:7" ht="18.75">
      <c r="A65" s="5" t="s">
        <v>37</v>
      </c>
      <c r="B65" s="11" t="s">
        <v>36</v>
      </c>
      <c r="C65" s="6" t="s">
        <v>25</v>
      </c>
      <c r="D65" s="22" t="str">
        <f t="shared" si="0"/>
        <v>25 a 48M0 a 1.000.000</v>
      </c>
      <c r="E65" s="12">
        <v>2.79</v>
      </c>
      <c r="F65" s="19">
        <f t="shared" si="1"/>
        <v>9.8999999999999991E-3</v>
      </c>
      <c r="G65">
        <v>2.7900000000000001E-2</v>
      </c>
    </row>
    <row r="66" spans="1:7" ht="18.75">
      <c r="A66" s="5" t="s">
        <v>37</v>
      </c>
      <c r="B66" s="11" t="s">
        <v>36</v>
      </c>
      <c r="C66" s="6" t="s">
        <v>26</v>
      </c>
      <c r="D66" s="22" t="str">
        <f t="shared" si="0"/>
        <v>25 a 48M1.000.001 a 3.000.000</v>
      </c>
      <c r="E66" s="12">
        <v>2.21</v>
      </c>
      <c r="F66" s="19">
        <f t="shared" si="1"/>
        <v>9.8999999999999991E-3</v>
      </c>
      <c r="G66">
        <v>2.2099999999999998E-2</v>
      </c>
    </row>
    <row r="67" spans="1:7" ht="18.75">
      <c r="A67" s="5" t="s">
        <v>37</v>
      </c>
      <c r="B67" s="11" t="s">
        <v>36</v>
      </c>
      <c r="C67" s="6" t="s">
        <v>27</v>
      </c>
      <c r="D67" s="22" t="str">
        <f t="shared" ref="D67:D109" si="2">A67&amp;B67&amp;C67</f>
        <v>25 a 48M3.000.001 a 4.000.000</v>
      </c>
      <c r="E67" s="12">
        <v>2.2000000000000002</v>
      </c>
      <c r="F67" s="19">
        <f t="shared" ref="F67:F109" si="3">0.99%</f>
        <v>9.8999999999999991E-3</v>
      </c>
      <c r="G67">
        <v>2.2000000000000002E-2</v>
      </c>
    </row>
    <row r="68" spans="1:7" ht="18.75">
      <c r="A68" s="5" t="s">
        <v>37</v>
      </c>
      <c r="B68" s="11" t="s">
        <v>36</v>
      </c>
      <c r="C68" s="6" t="s">
        <v>28</v>
      </c>
      <c r="D68" s="22" t="str">
        <f t="shared" si="2"/>
        <v>25 a 48M4.000.001 a 5.000.000</v>
      </c>
      <c r="E68" s="12">
        <v>1.99</v>
      </c>
      <c r="F68" s="19">
        <f t="shared" si="3"/>
        <v>9.8999999999999991E-3</v>
      </c>
      <c r="G68">
        <v>1.9900000000000001E-2</v>
      </c>
    </row>
    <row r="69" spans="1:7" ht="18.75">
      <c r="A69" s="5" t="s">
        <v>37</v>
      </c>
      <c r="B69" s="11" t="s">
        <v>36</v>
      </c>
      <c r="C69" s="6" t="s">
        <v>29</v>
      </c>
      <c r="D69" s="22" t="str">
        <f t="shared" si="2"/>
        <v>25 a 48M5.000.001 a 7.000.000</v>
      </c>
      <c r="E69" s="7">
        <v>1.1850000000000001</v>
      </c>
      <c r="F69" s="19">
        <f t="shared" si="3"/>
        <v>9.8999999999999991E-3</v>
      </c>
      <c r="G69">
        <v>1.1850000000000001E-2</v>
      </c>
    </row>
    <row r="70" spans="1:7" ht="18.75">
      <c r="A70" s="5" t="s">
        <v>37</v>
      </c>
      <c r="B70" s="11" t="s">
        <v>36</v>
      </c>
      <c r="C70" s="6" t="s">
        <v>30</v>
      </c>
      <c r="D70" s="22" t="str">
        <f t="shared" si="2"/>
        <v>25 a 48M7.000.001 a 10.000.000</v>
      </c>
      <c r="E70" s="7">
        <v>1.17</v>
      </c>
      <c r="F70" s="19">
        <f t="shared" si="3"/>
        <v>9.8999999999999991E-3</v>
      </c>
      <c r="G70">
        <v>1.1699999999999999E-2</v>
      </c>
    </row>
    <row r="71" spans="1:7" ht="18.75">
      <c r="A71" s="5" t="s">
        <v>37</v>
      </c>
      <c r="B71" s="11" t="s">
        <v>36</v>
      </c>
      <c r="C71" s="6" t="s">
        <v>31</v>
      </c>
      <c r="D71" s="22" t="str">
        <f t="shared" si="2"/>
        <v>25 a 48M10.000.001 a 15.000.000</v>
      </c>
      <c r="E71" s="7">
        <v>1.155</v>
      </c>
      <c r="F71" s="19">
        <f t="shared" si="3"/>
        <v>9.8999999999999991E-3</v>
      </c>
      <c r="G71">
        <v>1.155E-2</v>
      </c>
    </row>
    <row r="72" spans="1:7" ht="18.75">
      <c r="A72" s="5" t="s">
        <v>37</v>
      </c>
      <c r="B72" s="11" t="s">
        <v>36</v>
      </c>
      <c r="C72" s="6" t="s">
        <v>32</v>
      </c>
      <c r="D72" s="22" t="str">
        <f t="shared" si="2"/>
        <v>25 a 48M15.000.001 a 20.000.000</v>
      </c>
      <c r="E72" s="7">
        <v>1.1325000000000001</v>
      </c>
      <c r="F72" s="19">
        <f t="shared" si="3"/>
        <v>9.8999999999999991E-3</v>
      </c>
      <c r="G72">
        <v>1.1325E-2</v>
      </c>
    </row>
    <row r="73" spans="1:7" ht="19.5" thickBot="1">
      <c r="A73" s="5" t="s">
        <v>37</v>
      </c>
      <c r="B73" s="11" t="s">
        <v>36</v>
      </c>
      <c r="C73" s="8" t="s">
        <v>33</v>
      </c>
      <c r="D73" s="22" t="str">
        <f t="shared" si="2"/>
        <v>25 a 48MMayor a 20.000.000</v>
      </c>
      <c r="E73" s="7">
        <v>1.1025</v>
      </c>
      <c r="F73" s="19">
        <f t="shared" si="3"/>
        <v>9.8999999999999991E-3</v>
      </c>
      <c r="G73">
        <v>1.1025E-2</v>
      </c>
    </row>
    <row r="74" spans="1:7" ht="18.75">
      <c r="A74" s="5" t="s">
        <v>38</v>
      </c>
      <c r="B74" s="4" t="s">
        <v>24</v>
      </c>
      <c r="C74" s="6" t="s">
        <v>25</v>
      </c>
      <c r="D74" s="22" t="str">
        <f t="shared" si="2"/>
        <v>49 o masE0 a 1.000.000</v>
      </c>
      <c r="E74" s="13">
        <v>2.4500000000000002</v>
      </c>
      <c r="F74" s="19">
        <f t="shared" si="3"/>
        <v>9.8999999999999991E-3</v>
      </c>
      <c r="G74">
        <v>2.4500000000000001E-2</v>
      </c>
    </row>
    <row r="75" spans="1:7" ht="18.75">
      <c r="A75" s="5" t="s">
        <v>38</v>
      </c>
      <c r="B75" s="4" t="s">
        <v>24</v>
      </c>
      <c r="C75" s="6" t="s">
        <v>26</v>
      </c>
      <c r="D75" s="22" t="str">
        <f t="shared" si="2"/>
        <v>49 o masE1.000.001 a 3.000.000</v>
      </c>
      <c r="E75" s="14">
        <v>1.99</v>
      </c>
      <c r="F75" s="19">
        <f t="shared" si="3"/>
        <v>9.8999999999999991E-3</v>
      </c>
      <c r="G75">
        <v>1.9900000000000001E-2</v>
      </c>
    </row>
    <row r="76" spans="1:7" ht="18.75">
      <c r="A76" s="5" t="s">
        <v>38</v>
      </c>
      <c r="B76" s="4" t="s">
        <v>24</v>
      </c>
      <c r="C76" s="6" t="s">
        <v>27</v>
      </c>
      <c r="D76" s="22" t="str">
        <f t="shared" si="2"/>
        <v>49 o masE3.000.001 a 4.000.000</v>
      </c>
      <c r="E76" s="14">
        <v>1.91</v>
      </c>
      <c r="F76" s="19">
        <f t="shared" si="3"/>
        <v>9.8999999999999991E-3</v>
      </c>
      <c r="G76">
        <v>1.9099999999999999E-2</v>
      </c>
    </row>
    <row r="77" spans="1:7" ht="18.75">
      <c r="A77" s="5" t="s">
        <v>38</v>
      </c>
      <c r="B77" s="4" t="s">
        <v>24</v>
      </c>
      <c r="C77" s="6" t="s">
        <v>28</v>
      </c>
      <c r="D77" s="22" t="str">
        <f t="shared" si="2"/>
        <v>49 o masE4.000.001 a 5.000.000</v>
      </c>
      <c r="E77" s="7">
        <v>1.8</v>
      </c>
      <c r="F77" s="19">
        <f t="shared" si="3"/>
        <v>9.8999999999999991E-3</v>
      </c>
      <c r="G77">
        <v>1.8000000000000002E-2</v>
      </c>
    </row>
    <row r="78" spans="1:7" ht="18.75">
      <c r="A78" s="5" t="s">
        <v>38</v>
      </c>
      <c r="B78" s="4" t="s">
        <v>24</v>
      </c>
      <c r="C78" s="6" t="s">
        <v>29</v>
      </c>
      <c r="D78" s="22" t="str">
        <f t="shared" si="2"/>
        <v>49 o masE5.000.001 a 7.000.000</v>
      </c>
      <c r="E78" s="7">
        <v>1.1625000000000001</v>
      </c>
      <c r="F78" s="19">
        <f t="shared" si="3"/>
        <v>9.8999999999999991E-3</v>
      </c>
      <c r="G78">
        <v>1.1625000000000002E-2</v>
      </c>
    </row>
    <row r="79" spans="1:7" ht="18.75">
      <c r="A79" s="5" t="s">
        <v>38</v>
      </c>
      <c r="B79" s="4" t="s">
        <v>24</v>
      </c>
      <c r="C79" s="6" t="s">
        <v>30</v>
      </c>
      <c r="D79" s="22" t="str">
        <f t="shared" si="2"/>
        <v>49 o masE7.000.001 a 10.000.000</v>
      </c>
      <c r="E79" s="7">
        <v>1.1475</v>
      </c>
      <c r="F79" s="19">
        <f t="shared" si="3"/>
        <v>9.8999999999999991E-3</v>
      </c>
      <c r="G79">
        <v>1.1474999999999999E-2</v>
      </c>
    </row>
    <row r="80" spans="1:7" ht="18.75">
      <c r="A80" s="5" t="s">
        <v>38</v>
      </c>
      <c r="B80" s="4" t="s">
        <v>24</v>
      </c>
      <c r="C80" s="6" t="s">
        <v>31</v>
      </c>
      <c r="D80" s="22" t="str">
        <f t="shared" si="2"/>
        <v>49 o masE10.000.001 a 15.000.000</v>
      </c>
      <c r="E80" s="7">
        <v>1.1325000000000001</v>
      </c>
      <c r="F80" s="19">
        <f t="shared" si="3"/>
        <v>9.8999999999999991E-3</v>
      </c>
      <c r="G80">
        <v>1.1325E-2</v>
      </c>
    </row>
    <row r="81" spans="1:7" ht="18.75">
      <c r="A81" s="5" t="s">
        <v>38</v>
      </c>
      <c r="B81" s="4" t="s">
        <v>24</v>
      </c>
      <c r="C81" s="6" t="s">
        <v>32</v>
      </c>
      <c r="D81" s="22" t="str">
        <f t="shared" si="2"/>
        <v>49 o masE15.000.001 a 20.000.000</v>
      </c>
      <c r="E81" s="7">
        <v>1.1099999999999999</v>
      </c>
      <c r="F81" s="19">
        <f t="shared" si="3"/>
        <v>9.8999999999999991E-3</v>
      </c>
      <c r="G81">
        <v>1.1099999999999999E-2</v>
      </c>
    </row>
    <row r="82" spans="1:7" ht="19.5" thickBot="1">
      <c r="A82" s="5" t="s">
        <v>38</v>
      </c>
      <c r="B82" s="4" t="s">
        <v>24</v>
      </c>
      <c r="C82" s="8" t="s">
        <v>33</v>
      </c>
      <c r="D82" s="22" t="str">
        <f t="shared" si="2"/>
        <v>49 o masEMayor a 20.000.000</v>
      </c>
      <c r="E82" s="7">
        <v>1.08</v>
      </c>
      <c r="F82" s="19">
        <f t="shared" si="3"/>
        <v>9.8999999999999991E-3</v>
      </c>
      <c r="G82">
        <v>1.0800000000000001E-2</v>
      </c>
    </row>
    <row r="83" spans="1:7" ht="18.75">
      <c r="A83" s="5" t="s">
        <v>38</v>
      </c>
      <c r="B83" s="9" t="s">
        <v>34</v>
      </c>
      <c r="C83" s="6" t="s">
        <v>25</v>
      </c>
      <c r="D83" s="22" t="str">
        <f t="shared" si="2"/>
        <v>49 o masB0 a 1.000.000</v>
      </c>
      <c r="E83" s="15">
        <v>2.67</v>
      </c>
      <c r="F83" s="19">
        <f t="shared" si="3"/>
        <v>9.8999999999999991E-3</v>
      </c>
      <c r="G83">
        <v>2.6699999999999998E-2</v>
      </c>
    </row>
    <row r="84" spans="1:7" ht="18.75">
      <c r="A84" s="5" t="s">
        <v>38</v>
      </c>
      <c r="B84" s="9" t="s">
        <v>34</v>
      </c>
      <c r="C84" s="6" t="s">
        <v>26</v>
      </c>
      <c r="D84" s="22" t="str">
        <f t="shared" si="2"/>
        <v>49 o masB1.000.001 a 3.000.000</v>
      </c>
      <c r="E84" s="16">
        <v>2.1800000000000002</v>
      </c>
      <c r="F84" s="19">
        <f t="shared" si="3"/>
        <v>9.8999999999999991E-3</v>
      </c>
      <c r="G84">
        <v>2.18E-2</v>
      </c>
    </row>
    <row r="85" spans="1:7" ht="18.75">
      <c r="A85" s="5" t="s">
        <v>38</v>
      </c>
      <c r="B85" s="9" t="s">
        <v>34</v>
      </c>
      <c r="C85" s="6" t="s">
        <v>27</v>
      </c>
      <c r="D85" s="22" t="str">
        <f t="shared" si="2"/>
        <v>49 o masB3.000.001 a 4.000.000</v>
      </c>
      <c r="E85" s="16">
        <v>2.0699999999999998</v>
      </c>
      <c r="F85" s="19">
        <f t="shared" si="3"/>
        <v>9.8999999999999991E-3</v>
      </c>
      <c r="G85">
        <v>2.07E-2</v>
      </c>
    </row>
    <row r="86" spans="1:7" ht="18.75">
      <c r="A86" s="5" t="s">
        <v>38</v>
      </c>
      <c r="B86" s="9" t="s">
        <v>34</v>
      </c>
      <c r="C86" s="6" t="s">
        <v>28</v>
      </c>
      <c r="D86" s="22" t="str">
        <f t="shared" si="2"/>
        <v>49 o masB4.000.001 a 5.000.000</v>
      </c>
      <c r="E86" s="10">
        <v>1.95</v>
      </c>
      <c r="F86" s="19">
        <f t="shared" si="3"/>
        <v>9.8999999999999991E-3</v>
      </c>
      <c r="G86">
        <v>1.95E-2</v>
      </c>
    </row>
    <row r="87" spans="1:7" ht="18.75">
      <c r="A87" s="5" t="s">
        <v>38</v>
      </c>
      <c r="B87" s="9" t="s">
        <v>34</v>
      </c>
      <c r="C87" s="6" t="s">
        <v>29</v>
      </c>
      <c r="D87" s="22" t="str">
        <f t="shared" si="2"/>
        <v>49 o masB5.000.001 a 7.000.000</v>
      </c>
      <c r="E87" s="7">
        <v>1.17</v>
      </c>
      <c r="F87" s="19">
        <f t="shared" si="3"/>
        <v>9.8999999999999991E-3</v>
      </c>
      <c r="G87">
        <v>1.1699999999999999E-2</v>
      </c>
    </row>
    <row r="88" spans="1:7" ht="18.75">
      <c r="A88" s="5" t="s">
        <v>38</v>
      </c>
      <c r="B88" s="9" t="s">
        <v>34</v>
      </c>
      <c r="C88" s="6" t="s">
        <v>30</v>
      </c>
      <c r="D88" s="22" t="str">
        <f t="shared" si="2"/>
        <v>49 o masB7.000.001 a 10.000.000</v>
      </c>
      <c r="E88" s="7">
        <v>1.155</v>
      </c>
      <c r="F88" s="19">
        <f t="shared" si="3"/>
        <v>9.8999999999999991E-3</v>
      </c>
      <c r="G88">
        <v>1.155E-2</v>
      </c>
    </row>
    <row r="89" spans="1:7" ht="18.75">
      <c r="A89" s="5" t="s">
        <v>38</v>
      </c>
      <c r="B89" s="9" t="s">
        <v>34</v>
      </c>
      <c r="C89" s="6" t="s">
        <v>31</v>
      </c>
      <c r="D89" s="22" t="str">
        <f t="shared" si="2"/>
        <v>49 o masB10.000.001 a 15.000.000</v>
      </c>
      <c r="E89" s="7">
        <v>1.1400000000000001</v>
      </c>
      <c r="F89" s="19">
        <f t="shared" si="3"/>
        <v>9.8999999999999991E-3</v>
      </c>
      <c r="G89">
        <v>1.14E-2</v>
      </c>
    </row>
    <row r="90" spans="1:7" ht="18.75">
      <c r="A90" s="5" t="s">
        <v>38</v>
      </c>
      <c r="B90" s="9" t="s">
        <v>34</v>
      </c>
      <c r="C90" s="6" t="s">
        <v>32</v>
      </c>
      <c r="D90" s="22" t="str">
        <f t="shared" si="2"/>
        <v>49 o masB15.000.001 a 20.000.000</v>
      </c>
      <c r="E90" s="7">
        <v>1.1174999999999999</v>
      </c>
      <c r="F90" s="19">
        <f t="shared" si="3"/>
        <v>9.8999999999999991E-3</v>
      </c>
      <c r="G90">
        <v>1.1174999999999999E-2</v>
      </c>
    </row>
    <row r="91" spans="1:7" ht="19.5" thickBot="1">
      <c r="A91" s="5" t="s">
        <v>38</v>
      </c>
      <c r="B91" s="9" t="s">
        <v>34</v>
      </c>
      <c r="C91" s="8" t="s">
        <v>33</v>
      </c>
      <c r="D91" s="22" t="str">
        <f t="shared" si="2"/>
        <v>49 o masBMayor a 20.000.000</v>
      </c>
      <c r="E91" s="7">
        <v>1.0874999999999999</v>
      </c>
      <c r="F91" s="19">
        <f t="shared" si="3"/>
        <v>9.8999999999999991E-3</v>
      </c>
      <c r="G91">
        <v>1.0874999999999999E-2</v>
      </c>
    </row>
    <row r="92" spans="1:7" ht="18.75">
      <c r="A92" s="5" t="s">
        <v>38</v>
      </c>
      <c r="B92" s="9" t="s">
        <v>35</v>
      </c>
      <c r="C92" s="6" t="s">
        <v>25</v>
      </c>
      <c r="D92" s="22" t="str">
        <f t="shared" si="2"/>
        <v>49 o masR0 a 1.000.000</v>
      </c>
      <c r="E92" s="15">
        <v>2.77</v>
      </c>
      <c r="F92" s="19">
        <f t="shared" si="3"/>
        <v>9.8999999999999991E-3</v>
      </c>
      <c r="G92">
        <v>2.7699999999999999E-2</v>
      </c>
    </row>
    <row r="93" spans="1:7" ht="18.75">
      <c r="A93" s="5" t="s">
        <v>38</v>
      </c>
      <c r="B93" s="9" t="s">
        <v>35</v>
      </c>
      <c r="C93" s="6" t="s">
        <v>26</v>
      </c>
      <c r="D93" s="22" t="str">
        <f t="shared" si="2"/>
        <v>49 o masR1.000.001 a 3.000.000</v>
      </c>
      <c r="E93" s="16">
        <v>2.2000000000000002</v>
      </c>
      <c r="F93" s="19">
        <f t="shared" si="3"/>
        <v>9.8999999999999991E-3</v>
      </c>
      <c r="G93">
        <v>2.2000000000000002E-2</v>
      </c>
    </row>
    <row r="94" spans="1:7" ht="18.75">
      <c r="A94" s="5" t="s">
        <v>38</v>
      </c>
      <c r="B94" s="9" t="s">
        <v>35</v>
      </c>
      <c r="C94" s="6" t="s">
        <v>27</v>
      </c>
      <c r="D94" s="22" t="str">
        <f t="shared" si="2"/>
        <v>49 o masR3.000.001 a 4.000.000</v>
      </c>
      <c r="E94" s="16">
        <v>2.17</v>
      </c>
      <c r="F94" s="19">
        <f t="shared" si="3"/>
        <v>9.8999999999999991E-3</v>
      </c>
      <c r="G94">
        <v>2.1700000000000001E-2</v>
      </c>
    </row>
    <row r="95" spans="1:7" ht="18.75">
      <c r="A95" s="5" t="s">
        <v>38</v>
      </c>
      <c r="B95" s="9" t="s">
        <v>35</v>
      </c>
      <c r="C95" s="6" t="s">
        <v>28</v>
      </c>
      <c r="D95" s="22" t="str">
        <f t="shared" si="2"/>
        <v>49 o masR4.000.001 a 5.000.000</v>
      </c>
      <c r="E95" s="10">
        <v>1.99</v>
      </c>
      <c r="F95" s="19">
        <f t="shared" si="3"/>
        <v>9.8999999999999991E-3</v>
      </c>
      <c r="G95">
        <v>1.9900000000000001E-2</v>
      </c>
    </row>
    <row r="96" spans="1:7" ht="18.75">
      <c r="A96" s="5" t="s">
        <v>38</v>
      </c>
      <c r="B96" s="9" t="s">
        <v>35</v>
      </c>
      <c r="C96" s="6" t="s">
        <v>29</v>
      </c>
      <c r="D96" s="22" t="str">
        <f t="shared" si="2"/>
        <v>49 o masR5.000.001 a 7.000.000</v>
      </c>
      <c r="E96" s="7">
        <v>1.1775</v>
      </c>
      <c r="F96" s="19">
        <f t="shared" si="3"/>
        <v>9.8999999999999991E-3</v>
      </c>
      <c r="G96">
        <v>1.1775000000000001E-2</v>
      </c>
    </row>
    <row r="97" spans="1:7" ht="18.75">
      <c r="A97" s="5" t="s">
        <v>38</v>
      </c>
      <c r="B97" s="9" t="s">
        <v>35</v>
      </c>
      <c r="C97" s="6" t="s">
        <v>30</v>
      </c>
      <c r="D97" s="22" t="str">
        <f t="shared" si="2"/>
        <v>49 o masR7.000.001 a 10.000.000</v>
      </c>
      <c r="E97" s="7">
        <v>1.17</v>
      </c>
      <c r="F97" s="19">
        <f t="shared" si="3"/>
        <v>9.8999999999999991E-3</v>
      </c>
      <c r="G97">
        <v>1.1699999999999999E-2</v>
      </c>
    </row>
    <row r="98" spans="1:7" ht="18.75">
      <c r="A98" s="5" t="s">
        <v>38</v>
      </c>
      <c r="B98" s="9" t="s">
        <v>35</v>
      </c>
      <c r="C98" s="6" t="s">
        <v>31</v>
      </c>
      <c r="D98" s="22" t="str">
        <f t="shared" si="2"/>
        <v>49 o masR10.000.001 a 15.000.000</v>
      </c>
      <c r="E98" s="7">
        <v>1.155</v>
      </c>
      <c r="F98" s="19">
        <f t="shared" si="3"/>
        <v>9.8999999999999991E-3</v>
      </c>
      <c r="G98">
        <v>1.155E-2</v>
      </c>
    </row>
    <row r="99" spans="1:7" ht="18.75">
      <c r="A99" s="5" t="s">
        <v>38</v>
      </c>
      <c r="B99" s="9" t="s">
        <v>35</v>
      </c>
      <c r="C99" s="6" t="s">
        <v>32</v>
      </c>
      <c r="D99" s="22" t="str">
        <f t="shared" si="2"/>
        <v>49 o masR15.000.001 a 20.000.000</v>
      </c>
      <c r="E99" s="7">
        <v>1.1325000000000001</v>
      </c>
      <c r="F99" s="19">
        <f t="shared" si="3"/>
        <v>9.8999999999999991E-3</v>
      </c>
      <c r="G99">
        <v>1.1325E-2</v>
      </c>
    </row>
    <row r="100" spans="1:7" ht="19.5" thickBot="1">
      <c r="A100" s="5" t="s">
        <v>38</v>
      </c>
      <c r="B100" s="9" t="s">
        <v>35</v>
      </c>
      <c r="C100" s="8" t="s">
        <v>33</v>
      </c>
      <c r="D100" s="22" t="str">
        <f t="shared" si="2"/>
        <v>49 o masRMayor a 20.000.000</v>
      </c>
      <c r="E100" s="7">
        <v>1.1025</v>
      </c>
      <c r="F100" s="19">
        <f t="shared" si="3"/>
        <v>9.8999999999999991E-3</v>
      </c>
      <c r="G100">
        <v>1.1025E-2</v>
      </c>
    </row>
    <row r="101" spans="1:7" ht="18.75">
      <c r="A101" s="5" t="s">
        <v>38</v>
      </c>
      <c r="B101" s="11" t="s">
        <v>36</v>
      </c>
      <c r="C101" s="6" t="s">
        <v>25</v>
      </c>
      <c r="D101" s="22" t="str">
        <f t="shared" si="2"/>
        <v>49 o masM0 a 1.000.000</v>
      </c>
      <c r="E101" s="17">
        <v>2.8</v>
      </c>
      <c r="F101" s="19">
        <f t="shared" si="3"/>
        <v>9.8999999999999991E-3</v>
      </c>
      <c r="G101">
        <v>2.7999999999999997E-2</v>
      </c>
    </row>
    <row r="102" spans="1:7" ht="18.75">
      <c r="A102" s="5" t="s">
        <v>38</v>
      </c>
      <c r="B102" s="11" t="s">
        <v>36</v>
      </c>
      <c r="C102" s="6" t="s">
        <v>26</v>
      </c>
      <c r="D102" s="22" t="str">
        <f t="shared" si="2"/>
        <v>49 o masM1.000.001 a 3.000.000</v>
      </c>
      <c r="E102" s="18">
        <v>2.2200000000000002</v>
      </c>
      <c r="F102" s="19">
        <f t="shared" si="3"/>
        <v>9.8999999999999991E-3</v>
      </c>
      <c r="G102">
        <v>2.2200000000000001E-2</v>
      </c>
    </row>
    <row r="103" spans="1:7" ht="18.75">
      <c r="A103" s="5" t="s">
        <v>38</v>
      </c>
      <c r="B103" s="11" t="s">
        <v>36</v>
      </c>
      <c r="C103" s="6" t="s">
        <v>27</v>
      </c>
      <c r="D103" s="22" t="str">
        <f t="shared" si="2"/>
        <v>49 o masM3.000.001 a 4.000.000</v>
      </c>
      <c r="E103" s="18">
        <v>2.21</v>
      </c>
      <c r="F103" s="19">
        <f t="shared" si="3"/>
        <v>9.8999999999999991E-3</v>
      </c>
      <c r="G103">
        <v>2.2099999999999998E-2</v>
      </c>
    </row>
    <row r="104" spans="1:7" ht="18.75">
      <c r="A104" s="5" t="s">
        <v>38</v>
      </c>
      <c r="B104" s="11" t="s">
        <v>36</v>
      </c>
      <c r="C104" s="6" t="s">
        <v>28</v>
      </c>
      <c r="D104" s="22" t="str">
        <f t="shared" si="2"/>
        <v>49 o masM4.000.001 a 5.000.000</v>
      </c>
      <c r="E104" s="12">
        <v>2.0299999999999998</v>
      </c>
      <c r="F104" s="19">
        <f t="shared" si="3"/>
        <v>9.8999999999999991E-3</v>
      </c>
      <c r="G104">
        <v>2.0299999999999999E-2</v>
      </c>
    </row>
    <row r="105" spans="1:7" ht="18.75">
      <c r="A105" s="5" t="s">
        <v>38</v>
      </c>
      <c r="B105" s="11" t="s">
        <v>36</v>
      </c>
      <c r="C105" s="6" t="s">
        <v>29</v>
      </c>
      <c r="D105" s="22" t="str">
        <f t="shared" si="2"/>
        <v>49 o masM5.000.001 a 7.000.000</v>
      </c>
      <c r="E105" s="7">
        <v>1.1850000000000001</v>
      </c>
      <c r="F105" s="19">
        <f t="shared" si="3"/>
        <v>9.8999999999999991E-3</v>
      </c>
      <c r="G105">
        <v>1.1850000000000001E-2</v>
      </c>
    </row>
    <row r="106" spans="1:7" ht="18.75">
      <c r="A106" s="5" t="s">
        <v>38</v>
      </c>
      <c r="B106" s="11" t="s">
        <v>36</v>
      </c>
      <c r="C106" s="6" t="s">
        <v>30</v>
      </c>
      <c r="D106" s="22" t="str">
        <f t="shared" si="2"/>
        <v>49 o masM7.000.001 a 10.000.000</v>
      </c>
      <c r="E106" s="7">
        <v>1.1775</v>
      </c>
      <c r="F106" s="19">
        <f t="shared" si="3"/>
        <v>9.8999999999999991E-3</v>
      </c>
      <c r="G106">
        <v>1.1775000000000001E-2</v>
      </c>
    </row>
    <row r="107" spans="1:7" ht="18.75">
      <c r="A107" s="5" t="s">
        <v>38</v>
      </c>
      <c r="B107" s="11" t="s">
        <v>36</v>
      </c>
      <c r="C107" s="6" t="s">
        <v>31</v>
      </c>
      <c r="D107" s="22" t="str">
        <f t="shared" si="2"/>
        <v>49 o masM10.000.001 a 15.000.000</v>
      </c>
      <c r="E107" s="7">
        <v>1.1625000000000001</v>
      </c>
      <c r="F107" s="19">
        <f t="shared" si="3"/>
        <v>9.8999999999999991E-3</v>
      </c>
      <c r="G107">
        <v>1.1625000000000002E-2</v>
      </c>
    </row>
    <row r="108" spans="1:7" ht="18.75">
      <c r="A108" s="5" t="s">
        <v>38</v>
      </c>
      <c r="B108" s="11" t="s">
        <v>36</v>
      </c>
      <c r="C108" s="6" t="s">
        <v>32</v>
      </c>
      <c r="D108" s="22" t="str">
        <f t="shared" si="2"/>
        <v>49 o masM15.000.001 a 20.000.000</v>
      </c>
      <c r="E108" s="7">
        <v>1.1400000000000001</v>
      </c>
      <c r="F108" s="19">
        <f t="shared" si="3"/>
        <v>9.8999999999999991E-3</v>
      </c>
      <c r="G108">
        <v>1.14E-2</v>
      </c>
    </row>
    <row r="109" spans="1:7" ht="19.5" thickBot="1">
      <c r="A109" s="5" t="s">
        <v>38</v>
      </c>
      <c r="B109" s="11" t="s">
        <v>36</v>
      </c>
      <c r="C109" s="8" t="s">
        <v>33</v>
      </c>
      <c r="D109" s="22" t="str">
        <f t="shared" si="2"/>
        <v>49 o masMMayor a 20.000.000</v>
      </c>
      <c r="E109" s="7">
        <v>1.1099999999999999</v>
      </c>
      <c r="F109" s="19">
        <f t="shared" si="3"/>
        <v>9.8999999999999991E-3</v>
      </c>
      <c r="G109">
        <v>1.1099999999999999E-2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Base2</vt:lpstr>
      <vt:lpstr>Simulador</vt:lpstr>
      <vt:lpstr>Base</vt:lpstr>
      <vt:lpstr>Hoja1</vt:lpstr>
      <vt:lpstr>Tasas</vt:lpstr>
    </vt:vector>
  </TitlesOfParts>
  <Company>BancoEstado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Araos Muñoz</dc:creator>
  <cp:lastModifiedBy>test</cp:lastModifiedBy>
  <dcterms:created xsi:type="dcterms:W3CDTF">2020-03-30T22:16:14Z</dcterms:created>
  <dcterms:modified xsi:type="dcterms:W3CDTF">2020-06-09T15:17:44Z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-795139921</vt:i4>
  </property>
  <property fmtid="{D5CDD505-2E9C-101B-9397-08002B2CF9AE}" pid="3" name="_NewReviewCycle">
    <vt:lpwstr/>
  </property>
  <property fmtid="{D5CDD505-2E9C-101B-9397-08002B2CF9AE}" pid="4" name="_EmailSubject">
    <vt:lpwstr>Simulador Repros Martes 5 de Mayo</vt:lpwstr>
  </property>
  <property fmtid="{D5CDD505-2E9C-101B-9397-08002B2CF9AE}" pid="5" name="_AuthorEmail">
    <vt:lpwstr>daraos60@microempresas.bancoestado.cl</vt:lpwstr>
  </property>
  <property fmtid="{D5CDD505-2E9C-101B-9397-08002B2CF9AE}" pid="6" name="_AuthorEmailDisplayName">
    <vt:lpwstr>Araos Muñoz Diego Alvaro Matias</vt:lpwstr>
  </property>
  <property fmtid="{D5CDD505-2E9C-101B-9397-08002B2CF9AE}" pid="7" name="_ReviewingToolsShownOnce">
    <vt:lpwstr/>
  </property>
</Properties>
</file>